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Cheat Sheet" sheetId="7" state="visible" r:id="rId7"/>
    <sheet name="Weekly Roll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3A3833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i val="1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color rgb="00F2F1EF"/>
      <sz val="8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3A3833"/>
      <sz val="9"/>
    </font>
    <font>
      <name val="Arial"/>
      <b val="1"/>
      <color rgb="001B1916"/>
      <sz val="11"/>
    </font>
    <font>
      <name val="Arial"/>
      <b val="1"/>
      <color rgb="00A83A2C"/>
      <sz val="9"/>
    </font>
    <font>
      <name val="Arial"/>
      <b val="1"/>
      <color rgb="002F6B3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D4B579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EFE1C6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D4B579"/>
      </left>
      <right style="medium">
        <color rgb="00D4B579"/>
      </right>
      <top style="medium">
        <color rgb="00D4B579"/>
      </top>
      <bottom style="medium">
        <color rgb="00D4B579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167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22" fillId="7" borderId="0" applyAlignment="1" pivotButton="0" quotePrefix="0" xfId="0">
      <alignment horizontal="left" vertical="center" indent="1"/>
    </xf>
    <xf numFmtId="0" fontId="24" fillId="4" borderId="1" applyAlignment="1" pivotButton="0" quotePrefix="0" xfId="0">
      <alignment horizontal="left" indent="1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/>
    </xf>
    <xf numFmtId="0" fontId="28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0" fontId="29" fillId="2" borderId="0" applyAlignment="1" pivotButton="0" quotePrefix="0" xfId="0">
      <alignment horizontal="center" vertical="center" wrapText="1"/>
    </xf>
    <xf numFmtId="9" fontId="12" fillId="7" borderId="1" applyAlignment="1" pivotButton="0" quotePrefix="0" xfId="0">
      <alignment horizontal="center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30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vertical="center" indent="1"/>
    </xf>
    <xf numFmtId="9" fontId="16" fillId="6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31" fillId="7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right" vertical="top" indent="1"/>
    </xf>
    <xf numFmtId="0" fontId="32" fillId="0" borderId="0" applyAlignment="1" pivotButton="0" quotePrefix="0" xfId="0">
      <alignment horizontal="right" vertical="top" indent="1"/>
    </xf>
    <xf numFmtId="0" fontId="33" fillId="0" borderId="0" applyAlignment="1" pivotButton="0" quotePrefix="0" xfId="0">
      <alignment horizontal="right" vertical="top" indent="1"/>
    </xf>
    <xf numFmtId="0" fontId="8" fillId="0" borderId="0" applyAlignment="1" pivotButton="0" quotePrefix="0" xfId="0">
      <alignment horizontal="right" vertical="top" indent="1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EFE1C6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Tracker'!$A$20:$A$124</f>
            </numRef>
          </cat>
          <val>
            <numRef>
              <f>'Instagram Tracker'!$B$20:$B$124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Tracker'!$A$20:$A$124</f>
            </numRef>
          </cat>
          <val>
            <numRef>
              <f>'Instagram Tracker'!$E$20:$E$124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REFERENCE — open these when you need them</t>
        </is>
      </c>
    </row>
    <row r="17" ht="26" customHeight="1">
      <c r="B17" s="17" t="inlineStr">
        <is>
          <t>Cheat Sheet</t>
        </is>
      </c>
      <c r="D17" s="18" t="inlineStr">
        <is>
          <t>What every number means, what a low one is telling you, and exactly what to do about it. Read it once, then whenever a number looks wrong.</t>
        </is>
      </c>
    </row>
    <row r="18" ht="26" customHeight="1">
      <c r="B18" s="17" t="inlineStr">
        <is>
          <t>Weekly Rollup</t>
        </is>
      </c>
      <c r="D18" s="18" t="inlineStr">
        <is>
          <t>Feeds the charts on the dashboard. Nothing to fill in.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4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D18:H18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/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/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/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T73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  <col width="12" customWidth="1" min="20" max="20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  <c r="T3" s="6" t="inlineStr">
        <is>
          <t>Logged on
(auto)</t>
        </is>
      </c>
    </row>
    <row r="4">
      <c r="A4" s="36">
        <f>Setup!$C$8</f>
        <v/>
      </c>
      <c r="B4" s="37">
        <f>IF(A4="","",TEXT(A4,"ddd"))</f>
        <v/>
      </c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9" t="n"/>
      <c r="M4" s="39" t="n"/>
      <c r="N4" s="38" t="n"/>
      <c r="O4" s="40">
        <f>IF($Q4=0,"",IF(C4&gt;=C$2,1,0)+IF(D4&gt;=D$2,1,0)+IF(E4&gt;=E$2,1,0)+IF(F4&gt;=F$2,1,0))</f>
        <v/>
      </c>
      <c r="P4" s="41" t="n"/>
      <c r="Q4" s="42">
        <f>IF(COUNT(C4:M4)&gt;0,1,0)</f>
        <v/>
      </c>
      <c r="R4" s="42">
        <f>IF(Q4=0,0,1)</f>
        <v/>
      </c>
      <c r="S4" s="42">
        <f>IF(O4="",0,IF(O4=4,1,0))</f>
        <v/>
      </c>
      <c r="T4" s="43">
        <f>IF(Q4=1,A4,"")</f>
        <v/>
      </c>
    </row>
    <row r="5">
      <c r="A5" s="36">
        <f>A4+1</f>
        <v/>
      </c>
      <c r="B5" s="37">
        <f>IF(A5="","",TEXT(A5,"ddd"))</f>
        <v/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9" t="n"/>
      <c r="M5" s="39" t="n"/>
      <c r="N5" s="38" t="n"/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  <c r="T5" s="43">
        <f>IF(Q5=1,A5,"")</f>
        <v/>
      </c>
    </row>
    <row r="6">
      <c r="A6" s="36">
        <f>A5+1</f>
        <v/>
      </c>
      <c r="B6" s="37">
        <f>IF(A6="","",TEXT(A6,"ddd"))</f>
        <v/>
      </c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9" t="n"/>
      <c r="M6" s="39" t="n"/>
      <c r="N6" s="38" t="n"/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  <c r="T6" s="43">
        <f>IF(Q6=1,A6,"")</f>
        <v/>
      </c>
    </row>
    <row r="7">
      <c r="A7" s="36">
        <f>A6+1</f>
        <v/>
      </c>
      <c r="B7" s="37">
        <f>IF(A7="","",TEXT(A7,"ddd"))</f>
        <v/>
      </c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9" t="n"/>
      <c r="M7" s="39" t="n"/>
      <c r="N7" s="38" t="n"/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  <c r="T7" s="43">
        <f>IF(Q7=1,A7,"")</f>
        <v/>
      </c>
    </row>
    <row r="8">
      <c r="A8" s="36">
        <f>A7+1</f>
        <v/>
      </c>
      <c r="B8" s="37">
        <f>IF(A8="","",TEXT(A8,"ddd"))</f>
        <v/>
      </c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9" t="n"/>
      <c r="M8" s="39" t="n"/>
      <c r="N8" s="38" t="n"/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  <c r="T8" s="43">
        <f>IF(Q8=1,A8,"")</f>
        <v/>
      </c>
    </row>
    <row r="9">
      <c r="A9" s="36">
        <f>A8+1</f>
        <v/>
      </c>
      <c r="B9" s="37">
        <f>IF(A9="","",TEXT(A9,"ddd"))</f>
        <v/>
      </c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9" t="n"/>
      <c r="M9" s="39" t="n"/>
      <c r="N9" s="38" t="n"/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  <c r="T9" s="43">
        <f>IF(Q9=1,A9,"")</f>
        <v/>
      </c>
    </row>
    <row r="10">
      <c r="A10" s="36">
        <f>A9+1</f>
        <v/>
      </c>
      <c r="B10" s="37">
        <f>IF(A10="","",TEXT(A10,"ddd"))</f>
        <v/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9" t="n"/>
      <c r="M10" s="39" t="n"/>
      <c r="N10" s="38" t="n"/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  <c r="T10" s="43">
        <f>IF(Q10=1,A10,"")</f>
        <v/>
      </c>
    </row>
    <row r="11">
      <c r="A11" s="36">
        <f>A10+1</f>
        <v/>
      </c>
      <c r="B11" s="37">
        <f>IF(A11="","",TEXT(A11,"ddd"))</f>
        <v/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 t="n"/>
      <c r="M11" s="39" t="n"/>
      <c r="N11" s="38" t="n"/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  <c r="T11" s="43">
        <f>IF(Q11=1,A11,"")</f>
        <v/>
      </c>
    </row>
    <row r="12">
      <c r="A12" s="36">
        <f>A11+1</f>
        <v/>
      </c>
      <c r="B12" s="37">
        <f>IF(A12="","",TEXT(A12,"ddd"))</f>
        <v/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 t="n"/>
      <c r="M12" s="39" t="n"/>
      <c r="N12" s="38" t="n"/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  <c r="T12" s="43">
        <f>IF(Q12=1,A12,"")</f>
        <v/>
      </c>
    </row>
    <row r="13">
      <c r="A13" s="36">
        <f>A12+1</f>
        <v/>
      </c>
      <c r="B13" s="37">
        <f>IF(A13="","",TEXT(A13,"ddd"))</f>
        <v/>
      </c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 t="n"/>
      <c r="M13" s="39" t="n"/>
      <c r="N13" s="38" t="n"/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  <c r="T13" s="43">
        <f>IF(Q13=1,A13,"")</f>
        <v/>
      </c>
    </row>
    <row r="14">
      <c r="A14" s="36">
        <f>A13+1</f>
        <v/>
      </c>
      <c r="B14" s="37">
        <f>IF(A14="","",TEXT(A14,"ddd"))</f>
        <v/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 t="n"/>
      <c r="M14" s="39" t="n"/>
      <c r="N14" s="38" t="n"/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  <c r="T14" s="43">
        <f>IF(Q14=1,A14,"")</f>
        <v/>
      </c>
    </row>
    <row r="15">
      <c r="A15" s="36">
        <f>A14+1</f>
        <v/>
      </c>
      <c r="B15" s="37">
        <f>IF(A15="","",TEXT(A15,"ddd"))</f>
        <v/>
      </c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 t="n"/>
      <c r="M15" s="39" t="n"/>
      <c r="N15" s="38" t="n"/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  <c r="T15" s="43">
        <f>IF(Q15=1,A15,"")</f>
        <v/>
      </c>
    </row>
    <row r="16">
      <c r="A16" s="36">
        <f>A15+1</f>
        <v/>
      </c>
      <c r="B16" s="37">
        <f>IF(A16="","",TEXT(A16,"ddd"))</f>
        <v/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 t="n"/>
      <c r="M16" s="39" t="n"/>
      <c r="N16" s="38" t="n"/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  <c r="T16" s="43">
        <f>IF(Q16=1,A16,"")</f>
        <v/>
      </c>
    </row>
    <row r="17">
      <c r="A17" s="36">
        <f>A16+1</f>
        <v/>
      </c>
      <c r="B17" s="37">
        <f>IF(A17="","",TEXT(A17,"ddd"))</f>
        <v/>
      </c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 t="n"/>
      <c r="M17" s="39" t="n"/>
      <c r="N17" s="38" t="n"/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  <c r="T17" s="43">
        <f>IF(Q17=1,A17,"")</f>
        <v/>
      </c>
    </row>
    <row r="18">
      <c r="A18" s="36">
        <f>A17+1</f>
        <v/>
      </c>
      <c r="B18" s="37">
        <f>IF(A18="","",TEXT(A18,"ddd"))</f>
        <v/>
      </c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 t="n"/>
      <c r="M18" s="39" t="n"/>
      <c r="N18" s="38" t="n"/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  <c r="T18" s="43">
        <f>IF(Q18=1,A18,"")</f>
        <v/>
      </c>
    </row>
    <row r="19">
      <c r="A19" s="36">
        <f>A18+1</f>
        <v/>
      </c>
      <c r="B19" s="37">
        <f>IF(A19="","",TEXT(A19,"ddd"))</f>
        <v/>
      </c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 t="n"/>
      <c r="M19" s="39" t="n"/>
      <c r="N19" s="38" t="n"/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  <c r="T19" s="43">
        <f>IF(Q19=1,A19,"")</f>
        <v/>
      </c>
    </row>
    <row r="20">
      <c r="A20" s="36">
        <f>A19+1</f>
        <v/>
      </c>
      <c r="B20" s="37">
        <f>IF(A20="","",TEXT(A20,"ddd"))</f>
        <v/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 t="n"/>
      <c r="M20" s="39" t="n"/>
      <c r="N20" s="38" t="n"/>
      <c r="O20" s="40">
        <f>IF($Q20=0,"",IF(C20&gt;=C$2,1,0)+IF(D20&gt;=D$2,1,0)+IF(E20&gt;=E$2,1,0)+IF(F20&gt;=F$2,1,0))</f>
        <v/>
      </c>
      <c r="P20" s="41" t="n"/>
      <c r="Q20" s="42">
        <f>IF(COUNT(C20:M20)&gt;0,1,0)</f>
        <v/>
      </c>
      <c r="R20" s="42">
        <f>IF(Q20=0,0,R19+1)</f>
        <v/>
      </c>
      <c r="S20" s="42">
        <f>IF(O20="",0,IF(O20=4,S19+1,0))</f>
        <v/>
      </c>
      <c r="T20" s="43">
        <f>IF(Q20=1,A20,"")</f>
        <v/>
      </c>
    </row>
    <row r="21">
      <c r="A21" s="36">
        <f>A20+1</f>
        <v/>
      </c>
      <c r="B21" s="37">
        <f>IF(A21="","",TEXT(A21,"ddd"))</f>
        <v/>
      </c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 t="n"/>
      <c r="M21" s="39" t="n"/>
      <c r="N21" s="38" t="n"/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  <c r="T21" s="43">
        <f>IF(Q21=1,A21,"")</f>
        <v/>
      </c>
    </row>
    <row r="22">
      <c r="A22" s="36">
        <f>A21+1</f>
        <v/>
      </c>
      <c r="B22" s="37">
        <f>IF(A22="","",TEXT(A22,"ddd"))</f>
        <v/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 t="n"/>
      <c r="M22" s="39" t="n"/>
      <c r="N22" s="38" t="n"/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  <c r="T22" s="43">
        <f>IF(Q22=1,A22,"")</f>
        <v/>
      </c>
    </row>
    <row r="23">
      <c r="A23" s="36">
        <f>A22+1</f>
        <v/>
      </c>
      <c r="B23" s="37">
        <f>IF(A23="","",TEXT(A23,"ddd"))</f>
        <v/>
      </c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 t="n"/>
      <c r="M23" s="39" t="n"/>
      <c r="N23" s="38" t="n"/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  <c r="T23" s="43">
        <f>IF(Q23=1,A23,"")</f>
        <v/>
      </c>
    </row>
    <row r="24">
      <c r="A24" s="36">
        <f>A23+1</f>
        <v/>
      </c>
      <c r="B24" s="37">
        <f>IF(A24="","",TEXT(A24,"ddd"))</f>
        <v/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 t="n"/>
      <c r="M24" s="39" t="n"/>
      <c r="N24" s="38" t="n"/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  <c r="T24" s="43">
        <f>IF(Q24=1,A24,"")</f>
        <v/>
      </c>
    </row>
    <row r="25">
      <c r="A25" s="36">
        <f>A24+1</f>
        <v/>
      </c>
      <c r="B25" s="37">
        <f>IF(A25="","",TEXT(A25,"ddd"))</f>
        <v/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 t="n"/>
      <c r="M25" s="39" t="n"/>
      <c r="N25" s="38" t="n"/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  <c r="T25" s="43">
        <f>IF(Q25=1,A25,"")</f>
        <v/>
      </c>
    </row>
    <row r="26">
      <c r="A26" s="36">
        <f>A25+1</f>
        <v/>
      </c>
      <c r="B26" s="37">
        <f>IF(A26="","",TEXT(A26,"ddd"))</f>
        <v/>
      </c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 t="n"/>
      <c r="M26" s="39" t="n"/>
      <c r="N26" s="38" t="n"/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  <c r="T26" s="43">
        <f>IF(Q26=1,A26,"")</f>
        <v/>
      </c>
    </row>
    <row r="27">
      <c r="A27" s="36">
        <f>A26+1</f>
        <v/>
      </c>
      <c r="B27" s="37">
        <f>IF(A27="","",TEXT(A27,"ddd"))</f>
        <v/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 t="n"/>
      <c r="M27" s="39" t="n"/>
      <c r="N27" s="38" t="n"/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  <c r="T27" s="43">
        <f>IF(Q27=1,A27,"")</f>
        <v/>
      </c>
    </row>
    <row r="28">
      <c r="A28" s="36">
        <f>A27+1</f>
        <v/>
      </c>
      <c r="B28" s="37">
        <f>IF(A28="","",TEXT(A28,"ddd"))</f>
        <v/>
      </c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 t="n"/>
      <c r="M28" s="39" t="n"/>
      <c r="N28" s="38" t="n"/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  <c r="T28" s="43">
        <f>IF(Q28=1,A28,"")</f>
        <v/>
      </c>
    </row>
    <row r="29">
      <c r="A29" s="36">
        <f>A28+1</f>
        <v/>
      </c>
      <c r="B29" s="37">
        <f>IF(A29="","",TEXT(A29,"ddd"))</f>
        <v/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 t="n"/>
      <c r="M29" s="39" t="n"/>
      <c r="N29" s="38" t="n"/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  <c r="T29" s="43">
        <f>IF(Q29=1,A29,"")</f>
        <v/>
      </c>
    </row>
    <row r="30">
      <c r="A30" s="36">
        <f>A29+1</f>
        <v/>
      </c>
      <c r="B30" s="37">
        <f>IF(A30="","",TEXT(A30,"ddd"))</f>
        <v/>
      </c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 t="n"/>
      <c r="M30" s="39" t="n"/>
      <c r="N30" s="38" t="n"/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  <c r="T30" s="43">
        <f>IF(Q30=1,A30,"")</f>
        <v/>
      </c>
    </row>
    <row r="31">
      <c r="A31" s="36">
        <f>A30+1</f>
        <v/>
      </c>
      <c r="B31" s="37">
        <f>IF(A31="","",TEXT(A31,"ddd"))</f>
        <v/>
      </c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 t="n"/>
      <c r="M31" s="39" t="n"/>
      <c r="N31" s="38" t="n"/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  <c r="T31" s="43">
        <f>IF(Q31=1,A31,"")</f>
        <v/>
      </c>
    </row>
    <row r="32">
      <c r="A32" s="36">
        <f>A31+1</f>
        <v/>
      </c>
      <c r="B32" s="37">
        <f>IF(A32="","",TEXT(A32,"ddd"))</f>
        <v/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 t="n"/>
      <c r="M32" s="39" t="n"/>
      <c r="N32" s="38" t="n"/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  <c r="T32" s="43">
        <f>IF(Q32=1,A32,"")</f>
        <v/>
      </c>
    </row>
    <row r="33">
      <c r="A33" s="36">
        <f>A32+1</f>
        <v/>
      </c>
      <c r="B33" s="37">
        <f>IF(A33="","",TEXT(A33,"ddd"))</f>
        <v/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 t="n"/>
      <c r="M33" s="39" t="n"/>
      <c r="N33" s="38" t="n"/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  <c r="T33" s="43">
        <f>IF(Q33=1,A33,"")</f>
        <v/>
      </c>
    </row>
    <row r="34">
      <c r="A34" s="36">
        <f>A33+1</f>
        <v/>
      </c>
      <c r="B34" s="37">
        <f>IF(A34="","",TEXT(A34,"ddd"))</f>
        <v/>
      </c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 t="n"/>
      <c r="M34" s="39" t="n"/>
      <c r="N34" s="38" t="n"/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  <c r="T34" s="43">
        <f>IF(Q34=1,A34,"")</f>
        <v/>
      </c>
    </row>
    <row r="35">
      <c r="A35" s="36">
        <f>A34+1</f>
        <v/>
      </c>
      <c r="B35" s="37">
        <f>IF(A35="","",TEXT(A35,"ddd"))</f>
        <v/>
      </c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 t="n"/>
      <c r="M35" s="39" t="n"/>
      <c r="N35" s="38" t="n"/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  <c r="T35" s="43">
        <f>IF(Q35=1,A35,"")</f>
        <v/>
      </c>
    </row>
    <row r="36">
      <c r="A36" s="36">
        <f>A35+1</f>
        <v/>
      </c>
      <c r="B36" s="37">
        <f>IF(A36="","",TEXT(A36,"ddd"))</f>
        <v/>
      </c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 t="n"/>
      <c r="M36" s="39" t="n"/>
      <c r="N36" s="38" t="n"/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  <c r="T36" s="43">
        <f>IF(Q36=1,A36,"")</f>
        <v/>
      </c>
    </row>
    <row r="37">
      <c r="A37" s="36">
        <f>A36+1</f>
        <v/>
      </c>
      <c r="B37" s="37">
        <f>IF(A37="","",TEXT(A37,"ddd"))</f>
        <v/>
      </c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 t="n"/>
      <c r="M37" s="39" t="n"/>
      <c r="N37" s="38" t="n"/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  <c r="T37" s="43">
        <f>IF(Q37=1,A37,"")</f>
        <v/>
      </c>
    </row>
    <row r="38">
      <c r="A38" s="36">
        <f>A37+1</f>
        <v/>
      </c>
      <c r="B38" s="37">
        <f>IF(A38="","",TEXT(A38,"ddd"))</f>
        <v/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 t="n"/>
      <c r="M38" s="39" t="n"/>
      <c r="N38" s="38" t="n"/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  <c r="T38" s="43">
        <f>IF(Q38=1,A38,"")</f>
        <v/>
      </c>
    </row>
    <row r="39">
      <c r="A39" s="36">
        <f>A38+1</f>
        <v/>
      </c>
      <c r="B39" s="37">
        <f>IF(A39="","",TEXT(A39,"ddd"))</f>
        <v/>
      </c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 t="n"/>
      <c r="M39" s="39" t="n"/>
      <c r="N39" s="38" t="n"/>
      <c r="O39" s="40">
        <f>IF($Q39=0,"",IF(C39&gt;=C$2,1,0)+IF(D39&gt;=D$2,1,0)+IF(E39&gt;=E$2,1,0)+IF(F39&gt;=F$2,1,0))</f>
        <v/>
      </c>
      <c r="P39" s="41" t="n"/>
      <c r="Q39" s="42">
        <f>IF(COUNT(C39:M39)&gt;0,1,0)</f>
        <v/>
      </c>
      <c r="R39" s="42">
        <f>IF(Q39=0,0,R38+1)</f>
        <v/>
      </c>
      <c r="S39" s="42">
        <f>IF(O39="",0,IF(O39=4,S38+1,0))</f>
        <v/>
      </c>
      <c r="T39" s="43">
        <f>IF(Q39=1,A39,"")</f>
        <v/>
      </c>
    </row>
    <row r="40">
      <c r="A40" s="36">
        <f>A39+1</f>
        <v/>
      </c>
      <c r="B40" s="37">
        <f>IF(A40="","",TEXT(A40,"ddd"))</f>
        <v/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 t="n"/>
      <c r="M40" s="39" t="n"/>
      <c r="N40" s="38" t="n"/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  <c r="T40" s="43">
        <f>IF(Q40=1,A40,"")</f>
        <v/>
      </c>
    </row>
    <row r="41">
      <c r="A41" s="36">
        <f>A40+1</f>
        <v/>
      </c>
      <c r="B41" s="37">
        <f>IF(A41="","",TEXT(A41,"ddd"))</f>
        <v/>
      </c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 t="n"/>
      <c r="M41" s="39" t="n"/>
      <c r="N41" s="38" t="n"/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  <c r="T41" s="43">
        <f>IF(Q41=1,A41,"")</f>
        <v/>
      </c>
    </row>
    <row r="42">
      <c r="A42" s="36">
        <f>A41+1</f>
        <v/>
      </c>
      <c r="B42" s="37">
        <f>IF(A42="","",TEXT(A42,"ddd"))</f>
        <v/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 t="n"/>
      <c r="M42" s="39" t="n"/>
      <c r="N42" s="38" t="n"/>
      <c r="O42" s="40">
        <f>IF($Q42=0,"",IF(C42&gt;=C$2,1,0)+IF(D42&gt;=D$2,1,0)+IF(E42&gt;=E$2,1,0)+IF(F42&gt;=F$2,1,0))</f>
        <v/>
      </c>
      <c r="P42" s="41" t="n"/>
      <c r="Q42" s="42">
        <f>IF(COUNT(C42:M42)&gt;0,1,0)</f>
        <v/>
      </c>
      <c r="R42" s="42">
        <f>IF(Q42=0,0,R41+1)</f>
        <v/>
      </c>
      <c r="S42" s="42">
        <f>IF(O42="",0,IF(O42=4,S41+1,0))</f>
        <v/>
      </c>
      <c r="T42" s="43">
        <f>IF(Q42=1,A42,"")</f>
        <v/>
      </c>
    </row>
    <row r="43">
      <c r="A43" s="36">
        <f>A42+1</f>
        <v/>
      </c>
      <c r="B43" s="37">
        <f>IF(A43="","",TEXT(A43,"ddd"))</f>
        <v/>
      </c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 t="n"/>
      <c r="M43" s="39" t="n"/>
      <c r="N43" s="38" t="n"/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  <c r="T43" s="43">
        <f>IF(Q43=1,A43,"")</f>
        <v/>
      </c>
    </row>
    <row r="44">
      <c r="A44" s="36">
        <f>A43+1</f>
        <v/>
      </c>
      <c r="B44" s="37">
        <f>IF(A44="","",TEXT(A44,"ddd"))</f>
        <v/>
      </c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 t="n"/>
      <c r="M44" s="39" t="n"/>
      <c r="N44" s="38" t="n"/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  <c r="T44" s="43">
        <f>IF(Q44=1,A44,"")</f>
        <v/>
      </c>
    </row>
    <row r="45">
      <c r="A45" s="36">
        <f>A44+1</f>
        <v/>
      </c>
      <c r="B45" s="37">
        <f>IF(A45="","",TEXT(A45,"ddd"))</f>
        <v/>
      </c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 t="n"/>
      <c r="M45" s="39" t="n"/>
      <c r="N45" s="38" t="n"/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  <c r="T45" s="43">
        <f>IF(Q45=1,A45,"")</f>
        <v/>
      </c>
    </row>
    <row r="46">
      <c r="A46" s="36">
        <f>A45+1</f>
        <v/>
      </c>
      <c r="B46" s="37">
        <f>IF(A46="","",TEXT(A46,"ddd"))</f>
        <v/>
      </c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 t="n"/>
      <c r="M46" s="39" t="n"/>
      <c r="N46" s="38" t="n"/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  <c r="T46" s="43">
        <f>IF(Q46=1,A46,"")</f>
        <v/>
      </c>
    </row>
    <row r="47">
      <c r="A47" s="36">
        <f>A46+1</f>
        <v/>
      </c>
      <c r="B47" s="37">
        <f>IF(A47="","",TEXT(A47,"ddd"))</f>
        <v/>
      </c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 t="n"/>
      <c r="M47" s="39" t="n"/>
      <c r="N47" s="38" t="n"/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  <c r="T47" s="43">
        <f>IF(Q47=1,A47,"")</f>
        <v/>
      </c>
    </row>
    <row r="48">
      <c r="A48" s="36">
        <f>A47+1</f>
        <v/>
      </c>
      <c r="B48" s="37">
        <f>IF(A48="","",TEXT(A48,"ddd"))</f>
        <v/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 t="n"/>
      <c r="M48" s="39" t="n"/>
      <c r="N48" s="38" t="n"/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  <c r="T48" s="43">
        <f>IF(Q48=1,A48,"")</f>
        <v/>
      </c>
    </row>
    <row r="49">
      <c r="A49" s="36">
        <f>A48+1</f>
        <v/>
      </c>
      <c r="B49" s="37">
        <f>IF(A49="","",TEXT(A49,"ddd"))</f>
        <v/>
      </c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 t="n"/>
      <c r="M49" s="39" t="n"/>
      <c r="N49" s="38" t="n"/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  <c r="T49" s="43">
        <f>IF(Q49=1,A49,"")</f>
        <v/>
      </c>
    </row>
    <row r="50">
      <c r="A50" s="36">
        <f>A49+1</f>
        <v/>
      </c>
      <c r="B50" s="37">
        <f>IF(A50="","",TEXT(A50,"ddd"))</f>
        <v/>
      </c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 t="n"/>
      <c r="M50" s="39" t="n"/>
      <c r="N50" s="38" t="n"/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  <c r="T50" s="43">
        <f>IF(Q50=1,A50,"")</f>
        <v/>
      </c>
    </row>
    <row r="51">
      <c r="A51" s="36">
        <f>A50+1</f>
        <v/>
      </c>
      <c r="B51" s="37">
        <f>IF(A51="","",TEXT(A51,"ddd"))</f>
        <v/>
      </c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 t="n"/>
      <c r="M51" s="39" t="n"/>
      <c r="N51" s="38" t="n"/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  <c r="T51" s="43">
        <f>IF(Q51=1,A51,"")</f>
        <v/>
      </c>
    </row>
    <row r="52">
      <c r="A52" s="36">
        <f>A51+1</f>
        <v/>
      </c>
      <c r="B52" s="37">
        <f>IF(A52="","",TEXT(A52,"ddd"))</f>
        <v/>
      </c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 t="n"/>
      <c r="M52" s="39" t="n"/>
      <c r="N52" s="38" t="n"/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  <c r="T52" s="43">
        <f>IF(Q52=1,A52,"")</f>
        <v/>
      </c>
    </row>
    <row r="53">
      <c r="A53" s="36">
        <f>A52+1</f>
        <v/>
      </c>
      <c r="B53" s="37">
        <f>IF(A53="","",TEXT(A53,"ddd"))</f>
        <v/>
      </c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 t="n"/>
      <c r="M53" s="39" t="n"/>
      <c r="N53" s="38" t="n"/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  <c r="T53" s="43">
        <f>IF(Q53=1,A53,"")</f>
        <v/>
      </c>
    </row>
    <row r="54">
      <c r="A54" s="36">
        <f>A53+1</f>
        <v/>
      </c>
      <c r="B54" s="37">
        <f>IF(A54="","",TEXT(A54,"ddd"))</f>
        <v/>
      </c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 t="n"/>
      <c r="M54" s="39" t="n"/>
      <c r="N54" s="38" t="n"/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  <c r="T54" s="43">
        <f>IF(Q54=1,A54,"")</f>
        <v/>
      </c>
    </row>
    <row r="55">
      <c r="A55" s="36">
        <f>A54+1</f>
        <v/>
      </c>
      <c r="B55" s="37">
        <f>IF(A55="","",TEXT(A55,"ddd"))</f>
        <v/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 t="n"/>
      <c r="M55" s="39" t="n"/>
      <c r="N55" s="38" t="n"/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  <c r="T55" s="43">
        <f>IF(Q55=1,A55,"")</f>
        <v/>
      </c>
    </row>
    <row r="56">
      <c r="A56" s="36">
        <f>A55+1</f>
        <v/>
      </c>
      <c r="B56" s="37">
        <f>IF(A56="","",TEXT(A56,"ddd"))</f>
        <v/>
      </c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 t="n"/>
      <c r="M56" s="39" t="n"/>
      <c r="N56" s="38" t="n"/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  <c r="T56" s="43">
        <f>IF(Q56=1,A56,"")</f>
        <v/>
      </c>
    </row>
    <row r="57">
      <c r="A57" s="36">
        <f>A56+1</f>
        <v/>
      </c>
      <c r="B57" s="37">
        <f>IF(A57="","",TEXT(A57,"ddd"))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 t="n"/>
      <c r="M57" s="39" t="n"/>
      <c r="N57" s="38" t="n"/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  <c r="T57" s="43">
        <f>IF(Q57=1,A57,"")</f>
        <v/>
      </c>
    </row>
    <row r="58">
      <c r="A58" s="36">
        <f>A57+1</f>
        <v/>
      </c>
      <c r="B58" s="37">
        <f>IF(A58="","",TEXT(A58,"ddd"))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  <c r="M58" s="39" t="n"/>
      <c r="N58" s="38" t="n"/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  <c r="T58" s="43">
        <f>IF(Q58=1,A58,"")</f>
        <v/>
      </c>
    </row>
    <row r="59">
      <c r="A59" s="36">
        <f>A58+1</f>
        <v/>
      </c>
      <c r="B59" s="37">
        <f>IF(A59="","",TEXT(A59,"ddd"))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 t="n"/>
      <c r="M59" s="39" t="n"/>
      <c r="N59" s="38" t="n"/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  <c r="T59" s="43">
        <f>IF(Q59=1,A59,"")</f>
        <v/>
      </c>
    </row>
    <row r="60">
      <c r="A60" s="36">
        <f>A59+1</f>
        <v/>
      </c>
      <c r="B60" s="37">
        <f>IF(A60="","",TEXT(A60,"ddd"))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 t="n"/>
      <c r="M60" s="39" t="n"/>
      <c r="N60" s="38" t="n"/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  <c r="T60" s="43">
        <f>IF(Q60=1,A60,"")</f>
        <v/>
      </c>
    </row>
    <row r="61">
      <c r="A61" s="36">
        <f>A60+1</f>
        <v/>
      </c>
      <c r="B61" s="37">
        <f>IF(A61="","",TEXT(A61,"ddd"))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 t="n"/>
      <c r="M61" s="39" t="n"/>
      <c r="N61" s="38" t="n"/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  <c r="T61" s="43">
        <f>IF(Q61=1,A61,"")</f>
        <v/>
      </c>
    </row>
    <row r="62">
      <c r="A62" s="36">
        <f>A61+1</f>
        <v/>
      </c>
      <c r="B62" s="37">
        <f>IF(A62="","",TEXT(A62,"ddd"))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 t="n"/>
      <c r="M62" s="39" t="n"/>
      <c r="N62" s="38" t="n"/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  <c r="T62" s="43">
        <f>IF(Q62=1,A62,"")</f>
        <v/>
      </c>
    </row>
    <row r="63">
      <c r="A63" s="36">
        <f>A62+1</f>
        <v/>
      </c>
      <c r="B63" s="37">
        <f>IF(A63="","",TEXT(A63,"ddd"))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 t="n"/>
      <c r="M63" s="39" t="n"/>
      <c r="N63" s="38" t="n"/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  <c r="T63" s="43">
        <f>IF(Q63=1,A63,"")</f>
        <v/>
      </c>
    </row>
    <row r="64">
      <c r="A64" s="36">
        <f>A63+1</f>
        <v/>
      </c>
      <c r="B64" s="37">
        <f>IF(A64="","",TEXT(A64,"ddd"))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 t="n"/>
      <c r="M64" s="39" t="n"/>
      <c r="N64" s="38" t="n"/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  <c r="T64" s="43">
        <f>IF(Q64=1,A64,"")</f>
        <v/>
      </c>
    </row>
    <row r="65">
      <c r="A65" s="36">
        <f>A64+1</f>
        <v/>
      </c>
      <c r="B65" s="37">
        <f>IF(A65="","",TEXT(A65,"ddd"))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 t="n"/>
      <c r="M65" s="39" t="n"/>
      <c r="N65" s="38" t="n"/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  <c r="T65" s="43">
        <f>IF(Q65=1,A65,"")</f>
        <v/>
      </c>
    </row>
    <row r="66">
      <c r="A66" s="36">
        <f>A65+1</f>
        <v/>
      </c>
      <c r="B66" s="37">
        <f>IF(A66="","",TEXT(A66,"ddd"))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 t="n"/>
      <c r="M66" s="39" t="n"/>
      <c r="N66" s="38" t="n"/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  <c r="T66" s="43">
        <f>IF(Q66=1,A66,"")</f>
        <v/>
      </c>
    </row>
    <row r="67">
      <c r="A67" s="36">
        <f>A66+1</f>
        <v/>
      </c>
      <c r="B67" s="37">
        <f>IF(A67="","",TEXT(A67,"ddd"))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 t="n"/>
      <c r="M67" s="39" t="n"/>
      <c r="N67" s="38" t="n"/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  <c r="T67" s="43">
        <f>IF(Q67=1,A67,"")</f>
        <v/>
      </c>
    </row>
    <row r="68">
      <c r="A68" s="36">
        <f>A67+1</f>
        <v/>
      </c>
      <c r="B68" s="37">
        <f>IF(A68="","",TEXT(A68,"ddd"))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 t="n"/>
      <c r="M68" s="39" t="n"/>
      <c r="N68" s="38" t="n"/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  <c r="T68" s="43">
        <f>IF(Q68=1,A68,"")</f>
        <v/>
      </c>
    </row>
    <row r="69">
      <c r="A69" s="36">
        <f>A68+1</f>
        <v/>
      </c>
      <c r="B69" s="37">
        <f>IF(A69="","",TEXT(A69,"ddd"))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 t="n"/>
      <c r="M69" s="39" t="n"/>
      <c r="N69" s="38" t="n"/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  <c r="T69" s="43">
        <f>IF(Q69=1,A69,"")</f>
        <v/>
      </c>
    </row>
    <row r="70">
      <c r="A70" s="36">
        <f>A69+1</f>
        <v/>
      </c>
      <c r="B70" s="37">
        <f>IF(A70="","",TEXT(A70,"ddd"))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 t="n"/>
      <c r="M70" s="39" t="n"/>
      <c r="N70" s="38" t="n"/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  <c r="T70" s="43">
        <f>IF(Q70=1,A70,"")</f>
        <v/>
      </c>
    </row>
    <row r="71">
      <c r="A71" s="36">
        <f>A70+1</f>
        <v/>
      </c>
      <c r="B71" s="37">
        <f>IF(A71="","",TEXT(A71,"ddd"))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 t="n"/>
      <c r="M71" s="39" t="n"/>
      <c r="N71" s="38" t="n"/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  <c r="T71" s="43">
        <f>IF(Q71=1,A71,"")</f>
        <v/>
      </c>
    </row>
    <row r="72">
      <c r="A72" s="36">
        <f>A71+1</f>
        <v/>
      </c>
      <c r="B72" s="37">
        <f>IF(A72="","",TEXT(A72,"ddd"))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 t="n"/>
      <c r="M72" s="39" t="n"/>
      <c r="N72" s="38" t="n"/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  <c r="T72" s="43">
        <f>IF(Q72=1,A72,"")</f>
        <v/>
      </c>
    </row>
    <row r="73">
      <c r="A73" s="36">
        <f>A72+1</f>
        <v/>
      </c>
      <c r="B73" s="37">
        <f>IF(A73="","",TEXT(A73,"ddd"))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  <c r="M73" s="39" t="n"/>
      <c r="N73" s="38" t="n"/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  <c r="T73" s="43">
        <f>IF(Q73=1,A73,"")</f>
        <v/>
      </c>
    </row>
    <row r="74">
      <c r="A74" s="36">
        <f>A73+1</f>
        <v/>
      </c>
      <c r="B74" s="37">
        <f>IF(A74="","",TEXT(A74,"ddd"))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  <c r="M74" s="39" t="n"/>
      <c r="N74" s="38" t="n"/>
      <c r="O74" s="40">
        <f>IF($Q74=0,"",IF(C74&gt;=C$2,1,0)+IF(D74&gt;=D$2,1,0)+IF(E74&gt;=E$2,1,0)+IF(F74&gt;=F$2,1,0))</f>
        <v/>
      </c>
      <c r="P74" s="41" t="n"/>
      <c r="Q74" s="42">
        <f>IF(COUNT(C74:M74)&gt;0,1,0)</f>
        <v/>
      </c>
      <c r="R74" s="42">
        <f>IF(Q74=0,0,R73+1)</f>
        <v/>
      </c>
      <c r="S74" s="42">
        <f>IF(O74="",0,IF(O74=4,S73+1,0))</f>
        <v/>
      </c>
      <c r="T74" s="43">
        <f>IF(Q74=1,A74,"")</f>
        <v/>
      </c>
    </row>
    <row r="75">
      <c r="A75" s="36">
        <f>A74+1</f>
        <v/>
      </c>
      <c r="B75" s="37">
        <f>IF(A75="","",TEXT(A75,"ddd"))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 t="n"/>
      <c r="M75" s="39" t="n"/>
      <c r="N75" s="38" t="n"/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  <c r="T75" s="43">
        <f>IF(Q75=1,A75,"")</f>
        <v/>
      </c>
    </row>
    <row r="76">
      <c r="A76" s="36">
        <f>A75+1</f>
        <v/>
      </c>
      <c r="B76" s="37">
        <f>IF(A76="","",TEXT(A76,"ddd"))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 t="n"/>
      <c r="M76" s="39" t="n"/>
      <c r="N76" s="38" t="n"/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  <c r="T76" s="43">
        <f>IF(Q76=1,A76,"")</f>
        <v/>
      </c>
    </row>
    <row r="77">
      <c r="A77" s="36">
        <f>A76+1</f>
        <v/>
      </c>
      <c r="B77" s="37">
        <f>IF(A77="","",TEXT(A77,"ddd"))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 t="n"/>
      <c r="M77" s="39" t="n"/>
      <c r="N77" s="38" t="n"/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  <c r="T77" s="43">
        <f>IF(Q77=1,A77,"")</f>
        <v/>
      </c>
    </row>
    <row r="78">
      <c r="A78" s="36">
        <f>A77+1</f>
        <v/>
      </c>
      <c r="B78" s="37">
        <f>IF(A78="","",TEXT(A78,"ddd"))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 t="n"/>
      <c r="M78" s="39" t="n"/>
      <c r="N78" s="38" t="n"/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  <c r="T78" s="43">
        <f>IF(Q78=1,A78,"")</f>
        <v/>
      </c>
    </row>
    <row r="79">
      <c r="A79" s="36">
        <f>A78+1</f>
        <v/>
      </c>
      <c r="B79" s="37">
        <f>IF(A79="","",TEXT(A79,"ddd"))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 t="n"/>
      <c r="M79" s="39" t="n"/>
      <c r="N79" s="38" t="n"/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  <c r="T79" s="43">
        <f>IF(Q79=1,A79,"")</f>
        <v/>
      </c>
    </row>
    <row r="80">
      <c r="A80" s="36">
        <f>A79+1</f>
        <v/>
      </c>
      <c r="B80" s="37">
        <f>IF(A80="","",TEXT(A80,"ddd"))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  <c r="M80" s="39" t="n"/>
      <c r="N80" s="38" t="n"/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  <c r="T80" s="43">
        <f>IF(Q80=1,A80,"")</f>
        <v/>
      </c>
    </row>
    <row r="81">
      <c r="A81" s="36">
        <f>A80+1</f>
        <v/>
      </c>
      <c r="B81" s="37">
        <f>IF(A81="","",TEXT(A81,"ddd"))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 t="n"/>
      <c r="M81" s="39" t="n"/>
      <c r="N81" s="38" t="n"/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  <c r="T81" s="43">
        <f>IF(Q81=1,A81,"")</f>
        <v/>
      </c>
    </row>
    <row r="82">
      <c r="A82" s="36">
        <f>A81+1</f>
        <v/>
      </c>
      <c r="B82" s="37">
        <f>IF(A82="","",TEXT(A82,"ddd"))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 t="n"/>
      <c r="M82" s="39" t="n"/>
      <c r="N82" s="38" t="n"/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  <c r="T82" s="43">
        <f>IF(Q82=1,A82,"")</f>
        <v/>
      </c>
    </row>
    <row r="83">
      <c r="A83" s="36">
        <f>A82+1</f>
        <v/>
      </c>
      <c r="B83" s="37">
        <f>IF(A83="","",TEXT(A83,"ddd"))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 t="n"/>
      <c r="M83" s="39" t="n"/>
      <c r="N83" s="38" t="n"/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  <c r="T83" s="43">
        <f>IF(Q83=1,A83,"")</f>
        <v/>
      </c>
    </row>
    <row r="84">
      <c r="A84" s="36">
        <f>A83+1</f>
        <v/>
      </c>
      <c r="B84" s="37">
        <f>IF(A84="","",TEXT(A84,"ddd"))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 t="n"/>
      <c r="M84" s="39" t="n"/>
      <c r="N84" s="38" t="n"/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  <c r="T84" s="43">
        <f>IF(Q84=1,A84,"")</f>
        <v/>
      </c>
    </row>
    <row r="85">
      <c r="A85" s="36">
        <f>A84+1</f>
        <v/>
      </c>
      <c r="B85" s="37">
        <f>IF(A85="","",TEXT(A85,"ddd"))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 t="n"/>
      <c r="M85" s="39" t="n"/>
      <c r="N85" s="38" t="n"/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  <c r="T85" s="43">
        <f>IF(Q85=1,A85,"")</f>
        <v/>
      </c>
    </row>
    <row r="86">
      <c r="A86" s="36">
        <f>A85+1</f>
        <v/>
      </c>
      <c r="B86" s="37">
        <f>IF(A86="","",TEXT(A86,"ddd"))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 t="n"/>
      <c r="M86" s="39" t="n"/>
      <c r="N86" s="38" t="n"/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  <c r="T86" s="43">
        <f>IF(Q86=1,A86,"")</f>
        <v/>
      </c>
    </row>
    <row r="87">
      <c r="A87" s="36">
        <f>A86+1</f>
        <v/>
      </c>
      <c r="B87" s="37">
        <f>IF(A87="","",TEXT(A87,"ddd"))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 t="n"/>
      <c r="M87" s="39" t="n"/>
      <c r="N87" s="38" t="n"/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  <c r="T87" s="43">
        <f>IF(Q87=1,A87,"")</f>
        <v/>
      </c>
    </row>
    <row r="88">
      <c r="A88" s="36">
        <f>A87+1</f>
        <v/>
      </c>
      <c r="B88" s="37">
        <f>IF(A88="","",TEXT(A88,"ddd"))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 t="n"/>
      <c r="M88" s="39" t="n"/>
      <c r="N88" s="38" t="n"/>
      <c r="O88" s="40">
        <f>IF($Q88=0,"",IF(C88&gt;=C$2,1,0)+IF(D88&gt;=D$2,1,0)+IF(E88&gt;=E$2,1,0)+IF(F88&gt;=F$2,1,0))</f>
        <v/>
      </c>
      <c r="P88" s="41" t="n"/>
      <c r="Q88" s="42">
        <f>IF(COUNT(C88:M88)&gt;0,1,0)</f>
        <v/>
      </c>
      <c r="R88" s="42">
        <f>IF(Q88=0,0,R87+1)</f>
        <v/>
      </c>
      <c r="S88" s="42">
        <f>IF(O88="",0,IF(O88=4,S87+1,0))</f>
        <v/>
      </c>
      <c r="T88" s="43">
        <f>IF(Q88=1,A88,"")</f>
        <v/>
      </c>
    </row>
    <row r="89">
      <c r="A89" s="36">
        <f>A88+1</f>
        <v/>
      </c>
      <c r="B89" s="37">
        <f>IF(A89="","",TEXT(A89,"ddd"))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 t="n"/>
      <c r="M89" s="39" t="n"/>
      <c r="N89" s="38" t="n"/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  <c r="T89" s="43">
        <f>IF(Q89=1,A89,"")</f>
        <v/>
      </c>
    </row>
    <row r="90">
      <c r="A90" s="36">
        <f>A89+1</f>
        <v/>
      </c>
      <c r="B90" s="37">
        <f>IF(A90="","",TEXT(A90,"ddd"))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 t="n"/>
      <c r="M90" s="39" t="n"/>
      <c r="N90" s="38" t="n"/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  <c r="T90" s="43">
        <f>IF(Q90=1,A90,"")</f>
        <v/>
      </c>
    </row>
    <row r="91">
      <c r="A91" s="36">
        <f>A90+1</f>
        <v/>
      </c>
      <c r="B91" s="37">
        <f>IF(A91="","",TEXT(A91,"ddd"))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 t="n"/>
      <c r="M91" s="39" t="n"/>
      <c r="N91" s="38" t="n"/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  <c r="T91" s="43">
        <f>IF(Q91=1,A91,"")</f>
        <v/>
      </c>
    </row>
    <row r="92">
      <c r="A92" s="36">
        <f>A91+1</f>
        <v/>
      </c>
      <c r="B92" s="37">
        <f>IF(A92="","",TEXT(A92,"ddd"))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 t="n"/>
      <c r="M92" s="39" t="n"/>
      <c r="N92" s="38" t="n"/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  <c r="T92" s="43">
        <f>IF(Q92=1,A92,"")</f>
        <v/>
      </c>
    </row>
    <row r="93">
      <c r="A93" s="36">
        <f>A92+1</f>
        <v/>
      </c>
      <c r="B93" s="37">
        <f>IF(A93="","",TEXT(A93,"ddd"))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 t="n"/>
      <c r="M93" s="39" t="n"/>
      <c r="N93" s="38" t="n"/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  <c r="T93" s="43">
        <f>IF(Q93=1,A93,"")</f>
        <v/>
      </c>
    </row>
    <row r="94">
      <c r="A94" s="36">
        <f>A93+1</f>
        <v/>
      </c>
      <c r="B94" s="37">
        <f>IF(A94="","",TEXT(A94,"ddd"))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 t="n"/>
      <c r="M94" s="39" t="n"/>
      <c r="N94" s="38" t="n"/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  <c r="T94" s="43">
        <f>IF(Q94=1,A94,"")</f>
        <v/>
      </c>
    </row>
    <row r="95">
      <c r="A95" s="36">
        <f>A94+1</f>
        <v/>
      </c>
      <c r="B95" s="37">
        <f>IF(A95="","",TEXT(A95,"ddd"))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 t="n"/>
      <c r="M95" s="39" t="n"/>
      <c r="N95" s="38" t="n"/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  <c r="T95" s="43">
        <f>IF(Q95=1,A95,"")</f>
        <v/>
      </c>
    </row>
    <row r="96">
      <c r="A96" s="36">
        <f>A95+1</f>
        <v/>
      </c>
      <c r="B96" s="37">
        <f>IF(A96="","",TEXT(A96,"ddd"))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 t="n"/>
      <c r="M96" s="39" t="n"/>
      <c r="N96" s="38" t="n"/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  <c r="T96" s="43">
        <f>IF(Q96=1,A96,"")</f>
        <v/>
      </c>
    </row>
    <row r="97">
      <c r="A97" s="36">
        <f>A96+1</f>
        <v/>
      </c>
      <c r="B97" s="37">
        <f>IF(A97="","",TEXT(A97,"ddd"))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 t="n"/>
      <c r="M97" s="39" t="n"/>
      <c r="N97" s="38" t="n"/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  <c r="T97" s="43">
        <f>IF(Q97=1,A97,"")</f>
        <v/>
      </c>
    </row>
    <row r="98">
      <c r="A98" s="36">
        <f>A97+1</f>
        <v/>
      </c>
      <c r="B98" s="37">
        <f>IF(A98="","",TEXT(A98,"ddd"))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 t="n"/>
      <c r="M98" s="39" t="n"/>
      <c r="N98" s="38" t="n"/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  <c r="T98" s="43">
        <f>IF(Q98=1,A98,"")</f>
        <v/>
      </c>
    </row>
    <row r="99">
      <c r="A99" s="36">
        <f>A98+1</f>
        <v/>
      </c>
      <c r="B99" s="37">
        <f>IF(A99="","",TEXT(A99,"ddd"))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 t="n"/>
      <c r="M99" s="39" t="n"/>
      <c r="N99" s="38" t="n"/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  <c r="T99" s="43">
        <f>IF(Q99=1,A99,"")</f>
        <v/>
      </c>
    </row>
    <row r="100">
      <c r="A100" s="36">
        <f>A99+1</f>
        <v/>
      </c>
      <c r="B100" s="37">
        <f>IF(A100="","",TEXT(A100,"ddd"))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 t="n"/>
      <c r="M100" s="39" t="n"/>
      <c r="N100" s="38" t="n"/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  <c r="T100" s="43">
        <f>IF(Q100=1,A100,"")</f>
        <v/>
      </c>
    </row>
    <row r="101">
      <c r="A101" s="36">
        <f>A100+1</f>
        <v/>
      </c>
      <c r="B101" s="37">
        <f>IF(A101="","",TEXT(A101,"ddd"))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 t="n"/>
      <c r="M101" s="39" t="n"/>
      <c r="N101" s="38" t="n"/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  <c r="T101" s="43">
        <f>IF(Q101=1,A101,"")</f>
        <v/>
      </c>
    </row>
    <row r="102">
      <c r="A102" s="36">
        <f>A101+1</f>
        <v/>
      </c>
      <c r="B102" s="37">
        <f>IF(A102="","",TEXT(A102,"ddd"))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 t="n"/>
      <c r="M102" s="39" t="n"/>
      <c r="N102" s="38" t="n"/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  <c r="T102" s="43">
        <f>IF(Q102=1,A102,"")</f>
        <v/>
      </c>
    </row>
    <row r="103">
      <c r="A103" s="36">
        <f>A102+1</f>
        <v/>
      </c>
      <c r="B103" s="37">
        <f>IF(A103="","",TEXT(A103,"ddd"))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 t="n"/>
      <c r="M103" s="39" t="n"/>
      <c r="N103" s="38" t="n"/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  <c r="T103" s="43">
        <f>IF(Q103=1,A103,"")</f>
        <v/>
      </c>
    </row>
    <row r="104">
      <c r="A104" s="36">
        <f>A103+1</f>
        <v/>
      </c>
      <c r="B104" s="37">
        <f>IF(A104="","",TEXT(A104,"ddd"))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 t="n"/>
      <c r="M104" s="39" t="n"/>
      <c r="N104" s="38" t="n"/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  <c r="T104" s="43">
        <f>IF(Q104=1,A104,"")</f>
        <v/>
      </c>
    </row>
    <row r="105">
      <c r="A105" s="36">
        <f>A104+1</f>
        <v/>
      </c>
      <c r="B105" s="37">
        <f>IF(A105="","",TEXT(A105,"ddd"))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 t="n"/>
      <c r="M105" s="39" t="n"/>
      <c r="N105" s="38" t="n"/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  <c r="T105" s="43">
        <f>IF(Q105=1,A105,"")</f>
        <v/>
      </c>
    </row>
    <row r="106">
      <c r="A106" s="36">
        <f>A105+1</f>
        <v/>
      </c>
      <c r="B106" s="37">
        <f>IF(A106="","",TEXT(A106,"ddd"))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 t="n"/>
      <c r="M106" s="39" t="n"/>
      <c r="N106" s="38" t="n"/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  <c r="T106" s="43">
        <f>IF(Q106=1,A106,"")</f>
        <v/>
      </c>
    </row>
    <row r="107">
      <c r="A107" s="36">
        <f>A106+1</f>
        <v/>
      </c>
      <c r="B107" s="37">
        <f>IF(A107="","",TEXT(A107,"ddd"))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 t="n"/>
      <c r="M107" s="39" t="n"/>
      <c r="N107" s="38" t="n"/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  <c r="T107" s="43">
        <f>IF(Q107=1,A107,"")</f>
        <v/>
      </c>
    </row>
    <row r="108">
      <c r="A108" s="36">
        <f>A107+1</f>
        <v/>
      </c>
      <c r="B108" s="37">
        <f>IF(A108="","",TEXT(A108,"ddd"))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 t="n"/>
      <c r="M108" s="39" t="n"/>
      <c r="N108" s="38" t="n"/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  <c r="T108" s="43">
        <f>IF(Q108=1,A108,"")</f>
        <v/>
      </c>
    </row>
    <row r="109">
      <c r="A109" s="36">
        <f>A108+1</f>
        <v/>
      </c>
      <c r="B109" s="37">
        <f>IF(A109="","",TEXT(A109,"ddd"))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  <c r="M109" s="39" t="n"/>
      <c r="N109" s="38" t="n"/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  <c r="T109" s="43">
        <f>IF(Q109=1,A109,"")</f>
        <v/>
      </c>
    </row>
    <row r="110">
      <c r="A110" s="36">
        <f>A109+1</f>
        <v/>
      </c>
      <c r="B110" s="37">
        <f>IF(A110="","",TEXT(A110,"ddd"))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 t="n"/>
      <c r="M110" s="39" t="n"/>
      <c r="N110" s="38" t="n"/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  <c r="T110" s="43">
        <f>IF(Q110=1,A110,"")</f>
        <v/>
      </c>
    </row>
    <row r="111">
      <c r="A111" s="36">
        <f>A110+1</f>
        <v/>
      </c>
      <c r="B111" s="37">
        <f>IF(A111="","",TEXT(A111,"ddd"))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 t="n"/>
      <c r="M111" s="39" t="n"/>
      <c r="N111" s="38" t="n"/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  <c r="T111" s="43">
        <f>IF(Q111=1,A111,"")</f>
        <v/>
      </c>
    </row>
    <row r="112">
      <c r="A112" s="36">
        <f>A111+1</f>
        <v/>
      </c>
      <c r="B112" s="37">
        <f>IF(A112="","",TEXT(A112,"ddd"))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 t="n"/>
      <c r="M112" s="39" t="n"/>
      <c r="N112" s="38" t="n"/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  <c r="T112" s="43">
        <f>IF(Q112=1,A112,"")</f>
        <v/>
      </c>
    </row>
    <row r="113">
      <c r="A113" s="36">
        <f>A112+1</f>
        <v/>
      </c>
      <c r="B113" s="37">
        <f>IF(A113="","",TEXT(A113,"ddd"))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 t="n"/>
      <c r="M113" s="39" t="n"/>
      <c r="N113" s="38" t="n"/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  <c r="T113" s="43">
        <f>IF(Q113=1,A113,"")</f>
        <v/>
      </c>
    </row>
    <row r="114">
      <c r="A114" s="36">
        <f>A113+1</f>
        <v/>
      </c>
      <c r="B114" s="37">
        <f>IF(A114="","",TEXT(A114,"ddd"))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 t="n"/>
      <c r="M114" s="39" t="n"/>
      <c r="N114" s="38" t="n"/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  <c r="T114" s="43">
        <f>IF(Q114=1,A114,"")</f>
        <v/>
      </c>
    </row>
    <row r="115">
      <c r="A115" s="36">
        <f>A114+1</f>
        <v/>
      </c>
      <c r="B115" s="37">
        <f>IF(A115="","",TEXT(A115,"ddd"))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 t="n"/>
      <c r="M115" s="39" t="n"/>
      <c r="N115" s="38" t="n"/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  <c r="T115" s="43">
        <f>IF(Q115=1,A115,"")</f>
        <v/>
      </c>
    </row>
    <row r="116">
      <c r="A116" s="36">
        <f>A115+1</f>
        <v/>
      </c>
      <c r="B116" s="37">
        <f>IF(A116="","",TEXT(A116,"ddd"))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 t="n"/>
      <c r="M116" s="39" t="n"/>
      <c r="N116" s="38" t="n"/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  <c r="T116" s="43">
        <f>IF(Q116=1,A116,"")</f>
        <v/>
      </c>
    </row>
    <row r="117">
      <c r="A117" s="36">
        <f>A116+1</f>
        <v/>
      </c>
      <c r="B117" s="37">
        <f>IF(A117="","",TEXT(A117,"ddd"))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 t="n"/>
      <c r="M117" s="39" t="n"/>
      <c r="N117" s="38" t="n"/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  <c r="T117" s="43">
        <f>IF(Q117=1,A117,"")</f>
        <v/>
      </c>
    </row>
    <row r="118">
      <c r="A118" s="36">
        <f>A117+1</f>
        <v/>
      </c>
      <c r="B118" s="37">
        <f>IF(A118="","",TEXT(A118,"ddd"))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 t="n"/>
      <c r="M118" s="39" t="n"/>
      <c r="N118" s="38" t="n"/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  <c r="T118" s="43">
        <f>IF(Q118=1,A118,"")</f>
        <v/>
      </c>
    </row>
    <row r="119">
      <c r="A119" s="36">
        <f>A118+1</f>
        <v/>
      </c>
      <c r="B119" s="37">
        <f>IF(A119="","",TEXT(A119,"ddd"))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 t="n"/>
      <c r="M119" s="39" t="n"/>
      <c r="N119" s="38" t="n"/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  <c r="T119" s="43">
        <f>IF(Q119=1,A119,"")</f>
        <v/>
      </c>
    </row>
    <row r="120">
      <c r="A120" s="36">
        <f>A119+1</f>
        <v/>
      </c>
      <c r="B120" s="37">
        <f>IF(A120="","",TEXT(A120,"ddd"))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 t="n"/>
      <c r="M120" s="39" t="n"/>
      <c r="N120" s="38" t="n"/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  <c r="T120" s="43">
        <f>IF(Q120=1,A120,"")</f>
        <v/>
      </c>
    </row>
    <row r="121">
      <c r="A121" s="36">
        <f>A120+1</f>
        <v/>
      </c>
      <c r="B121" s="37">
        <f>IF(A121="","",TEXT(A121,"ddd"))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 t="n"/>
      <c r="M121" s="39" t="n"/>
      <c r="N121" s="38" t="n"/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  <c r="T121" s="43">
        <f>IF(Q121=1,A121,"")</f>
        <v/>
      </c>
    </row>
    <row r="122">
      <c r="A122" s="36">
        <f>A121+1</f>
        <v/>
      </c>
      <c r="B122" s="37">
        <f>IF(A122="","",TEXT(A122,"ddd"))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 t="n"/>
      <c r="M122" s="39" t="n"/>
      <c r="N122" s="38" t="n"/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  <c r="T122" s="43">
        <f>IF(Q122=1,A122,"")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  <c r="T123" s="43">
        <f>IF(Q123=1,A123,"")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  <c r="T124" s="43">
        <f>IF(Q124=1,A124,"")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  <c r="T125" s="43">
        <f>IF(Q125=1,A125,"")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  <c r="T126" s="43">
        <f>IF(Q126=1,A126,"")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  <c r="T127" s="43">
        <f>IF(Q127=1,A127,"")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  <c r="T128" s="43">
        <f>IF(Q128=1,A128,"")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  <c r="T129" s="43">
        <f>IF(Q129=1,A129,"")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  <c r="T130" s="43">
        <f>IF(Q130=1,A130,"")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  <c r="T131" s="43">
        <f>IF(Q131=1,A131,"")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  <c r="T132" s="43">
        <f>IF(Q132=1,A132,"")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  <c r="T133" s="43">
        <f>IF(Q133=1,A133,"")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  <c r="T134" s="43">
        <f>IF(Q134=1,A134,"")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  <c r="T135" s="43">
        <f>IF(Q135=1,A135,"")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  <c r="T136" s="43">
        <f>IF(Q136=1,A136,"")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  <c r="T137" s="43">
        <f>IF(Q137=1,A137,"")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  <c r="T138" s="43">
        <f>IF(Q138=1,A138,"")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  <c r="T139" s="43">
        <f>IF(Q139=1,A139,"")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  <c r="T140" s="43">
        <f>IF(Q140=1,A140,"")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  <c r="T141" s="43">
        <f>IF(Q141=1,A141,"")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  <c r="T142" s="43">
        <f>IF(Q142=1,A142,"")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  <c r="T143" s="43">
        <f>IF(Q143=1,A143,"")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  <c r="T144" s="43">
        <f>IF(Q144=1,A144,"")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  <c r="T145" s="43">
        <f>IF(Q145=1,A145,"")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  <c r="T146" s="43">
        <f>IF(Q146=1,A146,"")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  <c r="T147" s="43">
        <f>IF(Q147=1,A147,"")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  <c r="T148" s="43">
        <f>IF(Q148=1,A148,"")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  <c r="T149" s="43">
        <f>IF(Q149=1,A149,"")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  <c r="T150" s="43">
        <f>IF(Q150=1,A150,"")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  <c r="T151" s="43">
        <f>IF(Q151=1,A151,"")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  <c r="T152" s="43">
        <f>IF(Q152=1,A152,"")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  <c r="T153" s="43">
        <f>IF(Q153=1,A153,"")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  <c r="T154" s="43">
        <f>IF(Q154=1,A154,"")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  <c r="T155" s="43">
        <f>IF(Q155=1,A155,"")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  <c r="T156" s="43">
        <f>IF(Q156=1,A156,"")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  <c r="T157" s="43">
        <f>IF(Q157=1,A157,"")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  <c r="T158" s="43">
        <f>IF(Q158=1,A158,"")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  <c r="T159" s="43">
        <f>IF(Q159=1,A159,"")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  <c r="T160" s="43">
        <f>IF(Q160=1,A160,"")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  <c r="T161" s="43">
        <f>IF(Q161=1,A161,"")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  <c r="T162" s="43">
        <f>IF(Q162=1,A162,"")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  <c r="T163" s="43">
        <f>IF(Q163=1,A163,"")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  <c r="T164" s="43">
        <f>IF(Q164=1,A164,"")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  <c r="T165" s="43">
        <f>IF(Q165=1,A165,"")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  <c r="T166" s="43">
        <f>IF(Q166=1,A166,"")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  <c r="T167" s="43">
        <f>IF(Q167=1,A167,"")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  <c r="T168" s="43">
        <f>IF(Q168=1,A168,"")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  <c r="T169" s="43">
        <f>IF(Q169=1,A169,"")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  <c r="T170" s="43">
        <f>IF(Q170=1,A170,"")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  <c r="T171" s="43">
        <f>IF(Q171=1,A171,"")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  <c r="T172" s="43">
        <f>IF(Q172=1,A172,"")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  <c r="T173" s="43">
        <f>IF(Q173=1,A173,"")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  <c r="T174" s="43">
        <f>IF(Q174=1,A174,"")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  <c r="T175" s="43">
        <f>IF(Q175=1,A175,"")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  <c r="T176" s="43">
        <f>IF(Q176=1,A176,"")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  <c r="T177" s="43">
        <f>IF(Q177=1,A177,"")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  <c r="T178" s="43">
        <f>IF(Q178=1,A178,"")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  <c r="T179" s="43">
        <f>IF(Q179=1,A179,"")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  <c r="T180" s="43">
        <f>IF(Q180=1,A180,"")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  <c r="T181" s="43">
        <f>IF(Q181=1,A181,"")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  <c r="T182" s="43">
        <f>IF(Q182=1,A182,"")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  <c r="T183" s="43">
        <f>IF(Q183=1,A183,"")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  <c r="T184" s="43">
        <f>IF(Q184=1,A184,"")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  <c r="T185" s="43">
        <f>IF(Q185=1,A185,"")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  <c r="T186" s="43">
        <f>IF(Q186=1,A186,"")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  <c r="T187" s="43">
        <f>IF(Q187=1,A187,"")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  <c r="T188" s="43">
        <f>IF(Q188=1,A188,"")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  <c r="T189" s="43">
        <f>IF(Q189=1,A189,"")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  <c r="T190" s="43">
        <f>IF(Q190=1,A190,"")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  <c r="T191" s="43">
        <f>IF(Q191=1,A191,"")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  <c r="T192" s="43">
        <f>IF(Q192=1,A192,"")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  <c r="T193" s="43">
        <f>IF(Q193=1,A193,"")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  <c r="T194" s="43">
        <f>IF(Q194=1,A194,"")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  <c r="T195" s="43">
        <f>IF(Q195=1,A195,"")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  <c r="T196" s="43">
        <f>IF(Q196=1,A196,"")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  <c r="T197" s="43">
        <f>IF(Q197=1,A197,"")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  <c r="T198" s="43">
        <f>IF(Q198=1,A198,"")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  <c r="T199" s="43">
        <f>IF(Q199=1,A199,"")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  <c r="T200" s="43">
        <f>IF(Q200=1,A200,"")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  <c r="T201" s="43">
        <f>IF(Q201=1,A201,"")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  <c r="T202" s="43">
        <f>IF(Q202=1,A202,"")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  <c r="T203" s="43">
        <f>IF(Q203=1,A203,"")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  <c r="T204" s="43">
        <f>IF(Q204=1,A204,"")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  <c r="T205" s="43">
        <f>IF(Q205=1,A205,"")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  <c r="T206" s="43">
        <f>IF(Q206=1,A206,"")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  <c r="T207" s="43">
        <f>IF(Q207=1,A207,"")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  <c r="T208" s="43">
        <f>IF(Q208=1,A208,"")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  <c r="T209" s="43">
        <f>IF(Q209=1,A209,"")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  <c r="T210" s="43">
        <f>IF(Q210=1,A210,"")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  <c r="T211" s="43">
        <f>IF(Q211=1,A211,"")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  <c r="T212" s="43">
        <f>IF(Q212=1,A212,"")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  <c r="T213" s="43">
        <f>IF(Q213=1,A213,"")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  <c r="T214" s="43">
        <f>IF(Q214=1,A214,"")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  <c r="T215" s="43">
        <f>IF(Q215=1,A215,"")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  <c r="T216" s="43">
        <f>IF(Q216=1,A216,"")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  <c r="T217" s="43">
        <f>IF(Q217=1,A217,"")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  <c r="T218" s="43">
        <f>IF(Q218=1,A218,"")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  <c r="T219" s="43">
        <f>IF(Q219=1,A219,"")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  <c r="T220" s="43">
        <f>IF(Q220=1,A220,"")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  <c r="T221" s="43">
        <f>IF(Q221=1,A221,"")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  <c r="T222" s="43">
        <f>IF(Q222=1,A222,"")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  <c r="T223" s="43">
        <f>IF(Q223=1,A223,"")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  <c r="T224" s="43">
        <f>IF(Q224=1,A224,"")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  <c r="T225" s="43">
        <f>IF(Q225=1,A225,"")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  <c r="T226" s="43">
        <f>IF(Q226=1,A226,"")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  <c r="T227" s="43">
        <f>IF(Q227=1,A227,"")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  <c r="T228" s="43">
        <f>IF(Q228=1,A228,"")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  <c r="T229" s="43">
        <f>IF(Q229=1,A229,"")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  <c r="T230" s="43">
        <f>IF(Q230=1,A230,"")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  <c r="T231" s="43">
        <f>IF(Q231=1,A231,"")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  <c r="T232" s="43">
        <f>IF(Q232=1,A232,"")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  <c r="T233" s="43">
        <f>IF(Q233=1,A233,"")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  <c r="T234" s="43">
        <f>IF(Q234=1,A234,"")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  <c r="T235" s="43">
        <f>IF(Q235=1,A235,"")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  <c r="T236" s="43">
        <f>IF(Q236=1,A236,"")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  <c r="T237" s="43">
        <f>IF(Q237=1,A237,"")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  <c r="T238" s="43">
        <f>IF(Q238=1,A238,"")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  <c r="T239" s="43">
        <f>IF(Q239=1,A239,"")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  <c r="T240" s="43">
        <f>IF(Q240=1,A240,"")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  <c r="T241" s="43">
        <f>IF(Q241=1,A241,"")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  <c r="T242" s="43">
        <f>IF(Q242=1,A242,"")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  <c r="T243" s="43">
        <f>IF(Q243=1,A243,"")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  <c r="T244" s="43">
        <f>IF(Q244=1,A244,"")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  <c r="T245" s="43">
        <f>IF(Q245=1,A245,"")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  <c r="T246" s="43">
        <f>IF(Q246=1,A246,"")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  <c r="T247" s="43">
        <f>IF(Q247=1,A247,"")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  <c r="T248" s="43">
        <f>IF(Q248=1,A248,"")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  <c r="T249" s="43">
        <f>IF(Q249=1,A249,"")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  <c r="T250" s="43">
        <f>IF(Q250=1,A250,"")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  <c r="T251" s="43">
        <f>IF(Q251=1,A251,"")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  <c r="T252" s="43">
        <f>IF(Q252=1,A252,"")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  <c r="T253" s="43">
        <f>IF(Q253=1,A253,"")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  <c r="T254" s="43">
        <f>IF(Q254=1,A254,"")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  <c r="T255" s="43">
        <f>IF(Q255=1,A255,"")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  <c r="T256" s="43">
        <f>IF(Q256=1,A256,"")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  <c r="T257" s="43">
        <f>IF(Q257=1,A257,"")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  <c r="T258" s="43">
        <f>IF(Q258=1,A258,"")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  <c r="T259" s="43">
        <f>IF(Q259=1,A259,"")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  <c r="T260" s="43">
        <f>IF(Q260=1,A260,"")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  <c r="T261" s="43">
        <f>IF(Q261=1,A261,"")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  <c r="T262" s="43">
        <f>IF(Q262=1,A262,"")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  <c r="T263" s="43">
        <f>IF(Q263=1,A263,"")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  <c r="T264" s="43">
        <f>IF(Q264=1,A264,"")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  <c r="T265" s="43">
        <f>IF(Q265=1,A265,"")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  <c r="T266" s="43">
        <f>IF(Q266=1,A266,"")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  <c r="T267" s="43">
        <f>IF(Q267=1,A267,"")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  <c r="T268" s="43">
        <f>IF(Q268=1,A268,"")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  <c r="T269" s="43">
        <f>IF(Q269=1,A269,"")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  <c r="T270" s="43">
        <f>IF(Q270=1,A270,"")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  <c r="T271" s="43">
        <f>IF(Q271=1,A271,"")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  <c r="T272" s="43">
        <f>IF(Q272=1,A272,"")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  <c r="T273" s="43">
        <f>IF(Q273=1,A273,"")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  <c r="T274" s="43">
        <f>IF(Q274=1,A274,"")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  <c r="T275" s="43">
        <f>IF(Q275=1,A275,"")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  <c r="T276" s="43">
        <f>IF(Q276=1,A276,"")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  <c r="T277" s="43">
        <f>IF(Q277=1,A277,"")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  <c r="T278" s="43">
        <f>IF(Q278=1,A278,"")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  <c r="T279" s="43">
        <f>IF(Q279=1,A279,"")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  <c r="T280" s="43">
        <f>IF(Q280=1,A280,"")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  <c r="T281" s="43">
        <f>IF(Q281=1,A281,"")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  <c r="T282" s="43">
        <f>IF(Q282=1,A282,"")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  <c r="T283" s="43">
        <f>IF(Q283=1,A283,"")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  <c r="T284" s="43">
        <f>IF(Q284=1,A284,"")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  <c r="T285" s="43">
        <f>IF(Q285=1,A285,"")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  <c r="T286" s="43">
        <f>IF(Q286=1,A286,"")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  <c r="T287" s="43">
        <f>IF(Q287=1,A287,"")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  <c r="T288" s="43">
        <f>IF(Q288=1,A288,"")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  <c r="T289" s="43">
        <f>IF(Q289=1,A289,"")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  <c r="T290" s="43">
        <f>IF(Q290=1,A290,"")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  <c r="T291" s="43">
        <f>IF(Q291=1,A291,"")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  <c r="T292" s="43">
        <f>IF(Q292=1,A292,"")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  <c r="T293" s="43">
        <f>IF(Q293=1,A293,"")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  <c r="T294" s="43">
        <f>IF(Q294=1,A294,"")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  <c r="T295" s="43">
        <f>IF(Q295=1,A295,"")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  <c r="T296" s="43">
        <f>IF(Q296=1,A296,"")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  <c r="T297" s="43">
        <f>IF(Q297=1,A297,"")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  <c r="T298" s="43">
        <f>IF(Q298=1,A298,"")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  <c r="T299" s="43">
        <f>IF(Q299=1,A299,"")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  <c r="T300" s="43">
        <f>IF(Q300=1,A300,"")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  <c r="T301" s="43">
        <f>IF(Q301=1,A301,"")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  <c r="T302" s="43">
        <f>IF(Q302=1,A302,"")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  <c r="T303" s="43">
        <f>IF(Q303=1,A303,"")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  <c r="T304" s="43">
        <f>IF(Q304=1,A304,"")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  <c r="T305" s="43">
        <f>IF(Q305=1,A305,"")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  <c r="T306" s="43">
        <f>IF(Q306=1,A306,"")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  <c r="T307" s="43">
        <f>IF(Q307=1,A307,"")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  <c r="T308" s="43">
        <f>IF(Q308=1,A308,"")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  <c r="T309" s="43">
        <f>IF(Q309=1,A309,"")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  <c r="T310" s="43">
        <f>IF(Q310=1,A310,"")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  <c r="T311" s="43">
        <f>IF(Q311=1,A311,"")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  <c r="T312" s="43">
        <f>IF(Q312=1,A312,"")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  <c r="T313" s="43">
        <f>IF(Q313=1,A313,"")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  <c r="T314" s="43">
        <f>IF(Q314=1,A314,"")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  <c r="T315" s="43">
        <f>IF(Q315=1,A315,"")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  <c r="T316" s="43">
        <f>IF(Q316=1,A316,"")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  <c r="T317" s="43">
        <f>IF(Q317=1,A317,"")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  <c r="T318" s="43">
        <f>IF(Q318=1,A318,"")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  <c r="T319" s="43">
        <f>IF(Q319=1,A319,"")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  <c r="T320" s="43">
        <f>IF(Q320=1,A320,"")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  <c r="T321" s="43">
        <f>IF(Q321=1,A321,"")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  <c r="T322" s="43">
        <f>IF(Q322=1,A322,"")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  <c r="T323" s="43">
        <f>IF(Q323=1,A323,"")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  <c r="T324" s="43">
        <f>IF(Q324=1,A324,"")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  <c r="T325" s="43">
        <f>IF(Q325=1,A325,"")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  <c r="T326" s="43">
        <f>IF(Q326=1,A326,"")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  <c r="T327" s="43">
        <f>IF(Q327=1,A327,"")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  <c r="T328" s="43">
        <f>IF(Q328=1,A328,"")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  <c r="T329" s="43">
        <f>IF(Q329=1,A329,"")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  <c r="T330" s="43">
        <f>IF(Q330=1,A330,"")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  <c r="T331" s="43">
        <f>IF(Q331=1,A331,"")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  <c r="T332" s="43">
        <f>IF(Q332=1,A332,"")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  <c r="T333" s="43">
        <f>IF(Q333=1,A333,"")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  <c r="T334" s="43">
        <f>IF(Q334=1,A334,"")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  <c r="T335" s="43">
        <f>IF(Q335=1,A335,"")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  <c r="T336" s="43">
        <f>IF(Q336=1,A336,"")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  <c r="T337" s="43">
        <f>IF(Q337=1,A337,"")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  <c r="T338" s="43">
        <f>IF(Q338=1,A338,"")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  <c r="T339" s="43">
        <f>IF(Q339=1,A339,"")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  <c r="T340" s="43">
        <f>IF(Q340=1,A340,"")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  <c r="T341" s="43">
        <f>IF(Q341=1,A341,"")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  <c r="T342" s="43">
        <f>IF(Q342=1,A342,"")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  <c r="T343" s="43">
        <f>IF(Q343=1,A343,"")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  <c r="T344" s="43">
        <f>IF(Q344=1,A344,"")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  <c r="T345" s="43">
        <f>IF(Q345=1,A345,"")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  <c r="T346" s="43">
        <f>IF(Q346=1,A346,"")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  <c r="T347" s="43">
        <f>IF(Q347=1,A347,"")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  <c r="T348" s="43">
        <f>IF(Q348=1,A348,"")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  <c r="T349" s="43">
        <f>IF(Q349=1,A349,"")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  <c r="T350" s="43">
        <f>IF(Q350=1,A350,"")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  <c r="T351" s="43">
        <f>IF(Q351=1,A351,"")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  <c r="T352" s="43">
        <f>IF(Q352=1,A352,"")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  <c r="T353" s="43">
        <f>IF(Q353=1,A353,"")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  <c r="T354" s="43">
        <f>IF(Q354=1,A354,"")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  <c r="T355" s="43">
        <f>IF(Q355=1,A355,"")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  <c r="T356" s="43">
        <f>IF(Q356=1,A356,"")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  <c r="T357" s="43">
        <f>IF(Q357=1,A357,"")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  <c r="T358" s="43">
        <f>IF(Q358=1,A358,"")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  <c r="T359" s="43">
        <f>IF(Q359=1,A359,"")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  <c r="T360" s="43">
        <f>IF(Q360=1,A360,"")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  <c r="T361" s="43">
        <f>IF(Q361=1,A361,"")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  <c r="T362" s="43">
        <f>IF(Q362=1,A362,"")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  <c r="T363" s="43">
        <f>IF(Q363=1,A363,"")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  <c r="T364" s="43">
        <f>IF(Q364=1,A364,"")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  <c r="T365" s="43">
        <f>IF(Q365=1,A365,"")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  <c r="T366" s="43">
        <f>IF(Q366=1,A366,"")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  <c r="T367" s="43">
        <f>IF(Q367=1,A367,"")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  <c r="T368" s="43">
        <f>IF(Q368=1,A368,"")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  <c r="T369" s="43">
        <f>IF(Q369=1,A369,"")</f>
        <v/>
      </c>
    </row>
    <row r="370">
      <c r="A370" s="36">
        <f>A369+1</f>
        <v/>
      </c>
      <c r="B370" s="37">
        <f>IF(A370="","",TEXT(A370,"ddd"))</f>
        <v/>
      </c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9" t="n"/>
      <c r="M370" s="39" t="n"/>
      <c r="N370" s="38" t="n"/>
      <c r="O370" s="40">
        <f>IF($Q370=0,"",IF(C370&gt;=C$2,1,0)+IF(D370&gt;=D$2,1,0)+IF(E370&gt;=E$2,1,0)+IF(F370&gt;=F$2,1,0))</f>
        <v/>
      </c>
      <c r="P370" s="41" t="n"/>
      <c r="Q370" s="42">
        <f>IF(COUNT(C370:M370)&gt;0,1,0)</f>
        <v/>
      </c>
      <c r="R370" s="42">
        <f>IF(Q370=0,0,R369+1)</f>
        <v/>
      </c>
      <c r="S370" s="42">
        <f>IF(O370="",0,IF(O370=4,S369+1,0))</f>
        <v/>
      </c>
      <c r="T370" s="43">
        <f>IF(Q370=1,A370,"")</f>
        <v/>
      </c>
    </row>
    <row r="371">
      <c r="A371" s="36">
        <f>A370+1</f>
        <v/>
      </c>
      <c r="B371" s="37">
        <f>IF(A371="","",TEXT(A371,"ddd"))</f>
        <v/>
      </c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9" t="n"/>
      <c r="M371" s="39" t="n"/>
      <c r="N371" s="38" t="n"/>
      <c r="O371" s="40">
        <f>IF($Q371=0,"",IF(C371&gt;=C$2,1,0)+IF(D371&gt;=D$2,1,0)+IF(E371&gt;=E$2,1,0)+IF(F371&gt;=F$2,1,0))</f>
        <v/>
      </c>
      <c r="P371" s="41" t="n"/>
      <c r="Q371" s="42">
        <f>IF(COUNT(C371:M371)&gt;0,1,0)</f>
        <v/>
      </c>
      <c r="R371" s="42">
        <f>IF(Q371=0,0,R370+1)</f>
        <v/>
      </c>
      <c r="S371" s="42">
        <f>IF(O371="",0,IF(O371=4,S370+1,0))</f>
        <v/>
      </c>
      <c r="T371" s="43">
        <f>IF(Q371=1,A371,"")</f>
        <v/>
      </c>
    </row>
    <row r="372">
      <c r="A372" s="36">
        <f>A371+1</f>
        <v/>
      </c>
      <c r="B372" s="37">
        <f>IF(A372="","",TEXT(A372,"ddd"))</f>
        <v/>
      </c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9" t="n"/>
      <c r="M372" s="39" t="n"/>
      <c r="N372" s="38" t="n"/>
      <c r="O372" s="40">
        <f>IF($Q372=0,"",IF(C372&gt;=C$2,1,0)+IF(D372&gt;=D$2,1,0)+IF(E372&gt;=E$2,1,0)+IF(F372&gt;=F$2,1,0))</f>
        <v/>
      </c>
      <c r="P372" s="41" t="n"/>
      <c r="Q372" s="42">
        <f>IF(COUNT(C372:M372)&gt;0,1,0)</f>
        <v/>
      </c>
      <c r="R372" s="42">
        <f>IF(Q372=0,0,R371+1)</f>
        <v/>
      </c>
      <c r="S372" s="42">
        <f>IF(O372="",0,IF(O372=4,S371+1,0))</f>
        <v/>
      </c>
      <c r="T372" s="43">
        <f>IF(Q372=1,A372,"")</f>
        <v/>
      </c>
    </row>
    <row r="373">
      <c r="A373" s="36">
        <f>A372+1</f>
        <v/>
      </c>
      <c r="B373" s="37">
        <f>IF(A373="","",TEXT(A373,"ddd"))</f>
        <v/>
      </c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9" t="n"/>
      <c r="M373" s="39" t="n"/>
      <c r="N373" s="38" t="n"/>
      <c r="O373" s="40">
        <f>IF($Q373=0,"",IF(C373&gt;=C$2,1,0)+IF(D373&gt;=D$2,1,0)+IF(E373&gt;=E$2,1,0)+IF(F373&gt;=F$2,1,0))</f>
        <v/>
      </c>
      <c r="P373" s="41" t="n"/>
      <c r="Q373" s="42">
        <f>IF(COUNT(C373:M373)&gt;0,1,0)</f>
        <v/>
      </c>
      <c r="R373" s="42">
        <f>IF(Q373=0,0,R372+1)</f>
        <v/>
      </c>
      <c r="S373" s="42">
        <f>IF(O373="",0,IF(O373=4,S372+1,0))</f>
        <v/>
      </c>
      <c r="T373" s="43">
        <f>IF(Q373=1,A373,"")</f>
        <v/>
      </c>
    </row>
    <row r="374">
      <c r="A374" s="36">
        <f>A373+1</f>
        <v/>
      </c>
      <c r="B374" s="37">
        <f>IF(A374="","",TEXT(A374,"ddd"))</f>
        <v/>
      </c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9" t="n"/>
      <c r="M374" s="39" t="n"/>
      <c r="N374" s="38" t="n"/>
      <c r="O374" s="40">
        <f>IF($Q374=0,"",IF(C374&gt;=C$2,1,0)+IF(D374&gt;=D$2,1,0)+IF(E374&gt;=E$2,1,0)+IF(F374&gt;=F$2,1,0))</f>
        <v/>
      </c>
      <c r="P374" s="41" t="n"/>
      <c r="Q374" s="42">
        <f>IF(COUNT(C374:M374)&gt;0,1,0)</f>
        <v/>
      </c>
      <c r="R374" s="42">
        <f>IF(Q374=0,0,R373+1)</f>
        <v/>
      </c>
      <c r="S374" s="42">
        <f>IF(O374="",0,IF(O374=4,S373+1,0))</f>
        <v/>
      </c>
      <c r="T374" s="43">
        <f>IF(Q374=1,A374,"")</f>
        <v/>
      </c>
    </row>
    <row r="375">
      <c r="A375" s="36">
        <f>A374+1</f>
        <v/>
      </c>
      <c r="B375" s="37">
        <f>IF(A375="","",TEXT(A375,"ddd"))</f>
        <v/>
      </c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9" t="n"/>
      <c r="M375" s="39" t="n"/>
      <c r="N375" s="38" t="n"/>
      <c r="O375" s="40">
        <f>IF($Q375=0,"",IF(C375&gt;=C$2,1,0)+IF(D375&gt;=D$2,1,0)+IF(E375&gt;=E$2,1,0)+IF(F375&gt;=F$2,1,0))</f>
        <v/>
      </c>
      <c r="P375" s="41" t="n"/>
      <c r="Q375" s="42">
        <f>IF(COUNT(C375:M375)&gt;0,1,0)</f>
        <v/>
      </c>
      <c r="R375" s="42">
        <f>IF(Q375=0,0,R374+1)</f>
        <v/>
      </c>
      <c r="S375" s="42">
        <f>IF(O375="",0,IF(O375=4,S374+1,0))</f>
        <v/>
      </c>
      <c r="T375" s="43">
        <f>IF(Q375=1,A375,"")</f>
        <v/>
      </c>
    </row>
    <row r="376">
      <c r="A376" s="36">
        <f>A375+1</f>
        <v/>
      </c>
      <c r="B376" s="37">
        <f>IF(A376="","",TEXT(A376,"ddd"))</f>
        <v/>
      </c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9" t="n"/>
      <c r="M376" s="39" t="n"/>
      <c r="N376" s="38" t="n"/>
      <c r="O376" s="40">
        <f>IF($Q376=0,"",IF(C376&gt;=C$2,1,0)+IF(D376&gt;=D$2,1,0)+IF(E376&gt;=E$2,1,0)+IF(F376&gt;=F$2,1,0))</f>
        <v/>
      </c>
      <c r="P376" s="41" t="n"/>
      <c r="Q376" s="42">
        <f>IF(COUNT(C376:M376)&gt;0,1,0)</f>
        <v/>
      </c>
      <c r="R376" s="42">
        <f>IF(Q376=0,0,R375+1)</f>
        <v/>
      </c>
      <c r="S376" s="42">
        <f>IF(O376="",0,IF(O376=4,S375+1,0))</f>
        <v/>
      </c>
      <c r="T376" s="43">
        <f>IF(Q376=1,A376,"")</f>
        <v/>
      </c>
    </row>
    <row r="377">
      <c r="A377" s="36">
        <f>A376+1</f>
        <v/>
      </c>
      <c r="B377" s="37">
        <f>IF(A377="","",TEXT(A377,"ddd"))</f>
        <v/>
      </c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9" t="n"/>
      <c r="M377" s="39" t="n"/>
      <c r="N377" s="38" t="n"/>
      <c r="O377" s="40">
        <f>IF($Q377=0,"",IF(C377&gt;=C$2,1,0)+IF(D377&gt;=D$2,1,0)+IF(E377&gt;=E$2,1,0)+IF(F377&gt;=F$2,1,0))</f>
        <v/>
      </c>
      <c r="P377" s="41" t="n"/>
      <c r="Q377" s="42">
        <f>IF(COUNT(C377:M377)&gt;0,1,0)</f>
        <v/>
      </c>
      <c r="R377" s="42">
        <f>IF(Q377=0,0,R376+1)</f>
        <v/>
      </c>
      <c r="S377" s="42">
        <f>IF(O377="",0,IF(O377=4,S376+1,0))</f>
        <v/>
      </c>
      <c r="T377" s="43">
        <f>IF(Q377=1,A377,"")</f>
        <v/>
      </c>
    </row>
    <row r="378">
      <c r="A378" s="36">
        <f>A377+1</f>
        <v/>
      </c>
      <c r="B378" s="37">
        <f>IF(A378="","",TEXT(A378,"ddd"))</f>
        <v/>
      </c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9" t="n"/>
      <c r="M378" s="39" t="n"/>
      <c r="N378" s="38" t="n"/>
      <c r="O378" s="40">
        <f>IF($Q378=0,"",IF(C378&gt;=C$2,1,0)+IF(D378&gt;=D$2,1,0)+IF(E378&gt;=E$2,1,0)+IF(F378&gt;=F$2,1,0))</f>
        <v/>
      </c>
      <c r="P378" s="41" t="n"/>
      <c r="Q378" s="42">
        <f>IF(COUNT(C378:M378)&gt;0,1,0)</f>
        <v/>
      </c>
      <c r="R378" s="42">
        <f>IF(Q378=0,0,R377+1)</f>
        <v/>
      </c>
      <c r="S378" s="42">
        <f>IF(O378="",0,IF(O378=4,S377+1,0))</f>
        <v/>
      </c>
      <c r="T378" s="43">
        <f>IF(Q378=1,A378,"")</f>
        <v/>
      </c>
    </row>
    <row r="379">
      <c r="A379" s="36">
        <f>A378+1</f>
        <v/>
      </c>
      <c r="B379" s="37">
        <f>IF(A379="","",TEXT(A379,"ddd"))</f>
        <v/>
      </c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9" t="n"/>
      <c r="M379" s="39" t="n"/>
      <c r="N379" s="38" t="n"/>
      <c r="O379" s="40">
        <f>IF($Q379=0,"",IF(C379&gt;=C$2,1,0)+IF(D379&gt;=D$2,1,0)+IF(E379&gt;=E$2,1,0)+IF(F379&gt;=F$2,1,0))</f>
        <v/>
      </c>
      <c r="P379" s="41" t="n"/>
      <c r="Q379" s="42">
        <f>IF(COUNT(C379:M379)&gt;0,1,0)</f>
        <v/>
      </c>
      <c r="R379" s="42">
        <f>IF(Q379=0,0,R378+1)</f>
        <v/>
      </c>
      <c r="S379" s="42">
        <f>IF(O379="",0,IF(O379=4,S378+1,0))</f>
        <v/>
      </c>
      <c r="T379" s="43">
        <f>IF(Q379=1,A379,"")</f>
        <v/>
      </c>
    </row>
    <row r="380">
      <c r="A380" s="36">
        <f>A379+1</f>
        <v/>
      </c>
      <c r="B380" s="37">
        <f>IF(A380="","",TEXT(A380,"ddd"))</f>
        <v/>
      </c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9" t="n"/>
      <c r="M380" s="39" t="n"/>
      <c r="N380" s="38" t="n"/>
      <c r="O380" s="40">
        <f>IF($Q380=0,"",IF(C380&gt;=C$2,1,0)+IF(D380&gt;=D$2,1,0)+IF(E380&gt;=E$2,1,0)+IF(F380&gt;=F$2,1,0))</f>
        <v/>
      </c>
      <c r="P380" s="41" t="n"/>
      <c r="Q380" s="42">
        <f>IF(COUNT(C380:M380)&gt;0,1,0)</f>
        <v/>
      </c>
      <c r="R380" s="42">
        <f>IF(Q380=0,0,R379+1)</f>
        <v/>
      </c>
      <c r="S380" s="42">
        <f>IF(O380="",0,IF(O380=4,S379+1,0))</f>
        <v/>
      </c>
      <c r="T380" s="43">
        <f>IF(Q380=1,A380,"")</f>
        <v/>
      </c>
    </row>
    <row r="381">
      <c r="A381" s="36">
        <f>A380+1</f>
        <v/>
      </c>
      <c r="B381" s="37">
        <f>IF(A381="","",TEXT(A381,"ddd"))</f>
        <v/>
      </c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9" t="n"/>
      <c r="M381" s="39" t="n"/>
      <c r="N381" s="38" t="n"/>
      <c r="O381" s="40">
        <f>IF($Q381=0,"",IF(C381&gt;=C$2,1,0)+IF(D381&gt;=D$2,1,0)+IF(E381&gt;=E$2,1,0)+IF(F381&gt;=F$2,1,0))</f>
        <v/>
      </c>
      <c r="P381" s="41" t="n"/>
      <c r="Q381" s="42">
        <f>IF(COUNT(C381:M381)&gt;0,1,0)</f>
        <v/>
      </c>
      <c r="R381" s="42">
        <f>IF(Q381=0,0,R380+1)</f>
        <v/>
      </c>
      <c r="S381" s="42">
        <f>IF(O381="",0,IF(O381=4,S380+1,0))</f>
        <v/>
      </c>
      <c r="T381" s="43">
        <f>IF(Q381=1,A381,"")</f>
        <v/>
      </c>
    </row>
    <row r="382">
      <c r="A382" s="36">
        <f>A381+1</f>
        <v/>
      </c>
      <c r="B382" s="37">
        <f>IF(A382="","",TEXT(A382,"ddd"))</f>
        <v/>
      </c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9" t="n"/>
      <c r="M382" s="39" t="n"/>
      <c r="N382" s="38" t="n"/>
      <c r="O382" s="40">
        <f>IF($Q382=0,"",IF(C382&gt;=C$2,1,0)+IF(D382&gt;=D$2,1,0)+IF(E382&gt;=E$2,1,0)+IF(F382&gt;=F$2,1,0))</f>
        <v/>
      </c>
      <c r="P382" s="41" t="n"/>
      <c r="Q382" s="42">
        <f>IF(COUNT(C382:M382)&gt;0,1,0)</f>
        <v/>
      </c>
      <c r="R382" s="42">
        <f>IF(Q382=0,0,R381+1)</f>
        <v/>
      </c>
      <c r="S382" s="42">
        <f>IF(O382="",0,IF(O382=4,S381+1,0))</f>
        <v/>
      </c>
      <c r="T382" s="43">
        <f>IF(Q382=1,A382,"")</f>
        <v/>
      </c>
    </row>
    <row r="383">
      <c r="A383" s="36">
        <f>A382+1</f>
        <v/>
      </c>
      <c r="B383" s="37">
        <f>IF(A383="","",TEXT(A383,"ddd"))</f>
        <v/>
      </c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9" t="n"/>
      <c r="M383" s="39" t="n"/>
      <c r="N383" s="38" t="n"/>
      <c r="O383" s="40">
        <f>IF($Q383=0,"",IF(C383&gt;=C$2,1,0)+IF(D383&gt;=D$2,1,0)+IF(E383&gt;=E$2,1,0)+IF(F383&gt;=F$2,1,0))</f>
        <v/>
      </c>
      <c r="P383" s="41" t="n"/>
      <c r="Q383" s="42">
        <f>IF(COUNT(C383:M383)&gt;0,1,0)</f>
        <v/>
      </c>
      <c r="R383" s="42">
        <f>IF(Q383=0,0,R382+1)</f>
        <v/>
      </c>
      <c r="S383" s="42">
        <f>IF(O383="",0,IF(O383=4,S382+1,0))</f>
        <v/>
      </c>
      <c r="T383" s="43">
        <f>IF(Q383=1,A383,"")</f>
        <v/>
      </c>
    </row>
    <row r="384">
      <c r="A384" s="36">
        <f>A383+1</f>
        <v/>
      </c>
      <c r="B384" s="37">
        <f>IF(A384="","",TEXT(A384,"ddd"))</f>
        <v/>
      </c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9" t="n"/>
      <c r="M384" s="39" t="n"/>
      <c r="N384" s="38" t="n"/>
      <c r="O384" s="40">
        <f>IF($Q384=0,"",IF(C384&gt;=C$2,1,0)+IF(D384&gt;=D$2,1,0)+IF(E384&gt;=E$2,1,0)+IF(F384&gt;=F$2,1,0))</f>
        <v/>
      </c>
      <c r="P384" s="41" t="n"/>
      <c r="Q384" s="42">
        <f>IF(COUNT(C384:M384)&gt;0,1,0)</f>
        <v/>
      </c>
      <c r="R384" s="42">
        <f>IF(Q384=0,0,R383+1)</f>
        <v/>
      </c>
      <c r="S384" s="42">
        <f>IF(O384="",0,IF(O384=4,S383+1,0))</f>
        <v/>
      </c>
      <c r="T384" s="43">
        <f>IF(Q384=1,A384,"")</f>
        <v/>
      </c>
    </row>
    <row r="385">
      <c r="A385" s="36">
        <f>A384+1</f>
        <v/>
      </c>
      <c r="B385" s="37">
        <f>IF(A385="","",TEXT(A385,"ddd"))</f>
        <v/>
      </c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9" t="n"/>
      <c r="M385" s="39" t="n"/>
      <c r="N385" s="38" t="n"/>
      <c r="O385" s="40">
        <f>IF($Q385=0,"",IF(C385&gt;=C$2,1,0)+IF(D385&gt;=D$2,1,0)+IF(E385&gt;=E$2,1,0)+IF(F385&gt;=F$2,1,0))</f>
        <v/>
      </c>
      <c r="P385" s="41" t="n"/>
      <c r="Q385" s="42">
        <f>IF(COUNT(C385:M385)&gt;0,1,0)</f>
        <v/>
      </c>
      <c r="R385" s="42">
        <f>IF(Q385=0,0,R384+1)</f>
        <v/>
      </c>
      <c r="S385" s="42">
        <f>IF(O385="",0,IF(O385=4,S384+1,0))</f>
        <v/>
      </c>
      <c r="T385" s="43">
        <f>IF(Q385=1,A385,"")</f>
        <v/>
      </c>
    </row>
    <row r="386">
      <c r="A386" s="36">
        <f>A385+1</f>
        <v/>
      </c>
      <c r="B386" s="37">
        <f>IF(A386="","",TEXT(A386,"ddd"))</f>
        <v/>
      </c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9" t="n"/>
      <c r="M386" s="39" t="n"/>
      <c r="N386" s="38" t="n"/>
      <c r="O386" s="40">
        <f>IF($Q386=0,"",IF(C386&gt;=C$2,1,0)+IF(D386&gt;=D$2,1,0)+IF(E386&gt;=E$2,1,0)+IF(F386&gt;=F$2,1,0))</f>
        <v/>
      </c>
      <c r="P386" s="41" t="n"/>
      <c r="Q386" s="42">
        <f>IF(COUNT(C386:M386)&gt;0,1,0)</f>
        <v/>
      </c>
      <c r="R386" s="42">
        <f>IF(Q386=0,0,R385+1)</f>
        <v/>
      </c>
      <c r="S386" s="42">
        <f>IF(O386="",0,IF(O386=4,S385+1,0))</f>
        <v/>
      </c>
      <c r="T386" s="43">
        <f>IF(Q386=1,A386,"")</f>
        <v/>
      </c>
    </row>
    <row r="387">
      <c r="A387" s="36">
        <f>A386+1</f>
        <v/>
      </c>
      <c r="B387" s="37">
        <f>IF(A387="","",TEXT(A387,"ddd"))</f>
        <v/>
      </c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9" t="n"/>
      <c r="M387" s="39" t="n"/>
      <c r="N387" s="38" t="n"/>
      <c r="O387" s="40">
        <f>IF($Q387=0,"",IF(C387&gt;=C$2,1,0)+IF(D387&gt;=D$2,1,0)+IF(E387&gt;=E$2,1,0)+IF(F387&gt;=F$2,1,0))</f>
        <v/>
      </c>
      <c r="P387" s="41" t="n"/>
      <c r="Q387" s="42">
        <f>IF(COUNT(C387:M387)&gt;0,1,0)</f>
        <v/>
      </c>
      <c r="R387" s="42">
        <f>IF(Q387=0,0,R386+1)</f>
        <v/>
      </c>
      <c r="S387" s="42">
        <f>IF(O387="",0,IF(O387=4,S386+1,0))</f>
        <v/>
      </c>
      <c r="T387" s="43">
        <f>IF(Q387=1,A387,"")</f>
        <v/>
      </c>
    </row>
    <row r="388">
      <c r="A388" s="36">
        <f>A387+1</f>
        <v/>
      </c>
      <c r="B388" s="37">
        <f>IF(A388="","",TEXT(A388,"ddd"))</f>
        <v/>
      </c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9" t="n"/>
      <c r="M388" s="39" t="n"/>
      <c r="N388" s="38" t="n"/>
      <c r="O388" s="40">
        <f>IF($Q388=0,"",IF(C388&gt;=C$2,1,0)+IF(D388&gt;=D$2,1,0)+IF(E388&gt;=E$2,1,0)+IF(F388&gt;=F$2,1,0))</f>
        <v/>
      </c>
      <c r="P388" s="41" t="n"/>
      <c r="Q388" s="42">
        <f>IF(COUNT(C388:M388)&gt;0,1,0)</f>
        <v/>
      </c>
      <c r="R388" s="42">
        <f>IF(Q388=0,0,R387+1)</f>
        <v/>
      </c>
      <c r="S388" s="42">
        <f>IF(O388="",0,IF(O388=4,S387+1,0))</f>
        <v/>
      </c>
      <c r="T388" s="43">
        <f>IF(Q388=1,A388,"")</f>
        <v/>
      </c>
    </row>
    <row r="389">
      <c r="A389" s="36">
        <f>A388+1</f>
        <v/>
      </c>
      <c r="B389" s="37">
        <f>IF(A389="","",TEXT(A389,"ddd"))</f>
        <v/>
      </c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9" t="n"/>
      <c r="M389" s="39" t="n"/>
      <c r="N389" s="38" t="n"/>
      <c r="O389" s="40">
        <f>IF($Q389=0,"",IF(C389&gt;=C$2,1,0)+IF(D389&gt;=D$2,1,0)+IF(E389&gt;=E$2,1,0)+IF(F389&gt;=F$2,1,0))</f>
        <v/>
      </c>
      <c r="P389" s="41" t="n"/>
      <c r="Q389" s="42">
        <f>IF(COUNT(C389:M389)&gt;0,1,0)</f>
        <v/>
      </c>
      <c r="R389" s="42">
        <f>IF(Q389=0,0,R388+1)</f>
        <v/>
      </c>
      <c r="S389" s="42">
        <f>IF(O389="",0,IF(O389=4,S388+1,0))</f>
        <v/>
      </c>
      <c r="T389" s="43">
        <f>IF(Q389=1,A389,"")</f>
        <v/>
      </c>
    </row>
    <row r="390">
      <c r="A390" s="36">
        <f>A389+1</f>
        <v/>
      </c>
      <c r="B390" s="37">
        <f>IF(A390="","",TEXT(A390,"ddd"))</f>
        <v/>
      </c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9" t="n"/>
      <c r="M390" s="39" t="n"/>
      <c r="N390" s="38" t="n"/>
      <c r="O390" s="40">
        <f>IF($Q390=0,"",IF(C390&gt;=C$2,1,0)+IF(D390&gt;=D$2,1,0)+IF(E390&gt;=E$2,1,0)+IF(F390&gt;=F$2,1,0))</f>
        <v/>
      </c>
      <c r="P390" s="41" t="n"/>
      <c r="Q390" s="42">
        <f>IF(COUNT(C390:M390)&gt;0,1,0)</f>
        <v/>
      </c>
      <c r="R390" s="42">
        <f>IF(Q390=0,0,R389+1)</f>
        <v/>
      </c>
      <c r="S390" s="42">
        <f>IF(O390="",0,IF(O390=4,S389+1,0))</f>
        <v/>
      </c>
      <c r="T390" s="43">
        <f>IF(Q390=1,A390,"")</f>
        <v/>
      </c>
    </row>
    <row r="391">
      <c r="A391" s="36">
        <f>A390+1</f>
        <v/>
      </c>
      <c r="B391" s="37">
        <f>IF(A391="","",TEXT(A391,"ddd"))</f>
        <v/>
      </c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9" t="n"/>
      <c r="M391" s="39" t="n"/>
      <c r="N391" s="38" t="n"/>
      <c r="O391" s="40">
        <f>IF($Q391=0,"",IF(C391&gt;=C$2,1,0)+IF(D391&gt;=D$2,1,0)+IF(E391&gt;=E$2,1,0)+IF(F391&gt;=F$2,1,0))</f>
        <v/>
      </c>
      <c r="P391" s="41" t="n"/>
      <c r="Q391" s="42">
        <f>IF(COUNT(C391:M391)&gt;0,1,0)</f>
        <v/>
      </c>
      <c r="R391" s="42">
        <f>IF(Q391=0,0,R390+1)</f>
        <v/>
      </c>
      <c r="S391" s="42">
        <f>IF(O391="",0,IF(O391=4,S390+1,0))</f>
        <v/>
      </c>
      <c r="T391" s="43">
        <f>IF(Q391=1,A391,"")</f>
        <v/>
      </c>
    </row>
    <row r="392">
      <c r="A392" s="36">
        <f>A391+1</f>
        <v/>
      </c>
      <c r="B392" s="37">
        <f>IF(A392="","",TEXT(A392,"ddd"))</f>
        <v/>
      </c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9" t="n"/>
      <c r="M392" s="39" t="n"/>
      <c r="N392" s="38" t="n"/>
      <c r="O392" s="40">
        <f>IF($Q392=0,"",IF(C392&gt;=C$2,1,0)+IF(D392&gt;=D$2,1,0)+IF(E392&gt;=E$2,1,0)+IF(F392&gt;=F$2,1,0))</f>
        <v/>
      </c>
      <c r="P392" s="41" t="n"/>
      <c r="Q392" s="42">
        <f>IF(COUNT(C392:M392)&gt;0,1,0)</f>
        <v/>
      </c>
      <c r="R392" s="42">
        <f>IF(Q392=0,0,R391+1)</f>
        <v/>
      </c>
      <c r="S392" s="42">
        <f>IF(O392="",0,IF(O392=4,S391+1,0))</f>
        <v/>
      </c>
      <c r="T392" s="43">
        <f>IF(Q392=1,A392,"")</f>
        <v/>
      </c>
    </row>
    <row r="393">
      <c r="A393" s="36">
        <f>A392+1</f>
        <v/>
      </c>
      <c r="B393" s="37">
        <f>IF(A393="","",TEXT(A393,"ddd"))</f>
        <v/>
      </c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9" t="n"/>
      <c r="M393" s="39" t="n"/>
      <c r="N393" s="38" t="n"/>
      <c r="O393" s="40">
        <f>IF($Q393=0,"",IF(C393&gt;=C$2,1,0)+IF(D393&gt;=D$2,1,0)+IF(E393&gt;=E$2,1,0)+IF(F393&gt;=F$2,1,0))</f>
        <v/>
      </c>
      <c r="P393" s="41" t="n"/>
      <c r="Q393" s="42">
        <f>IF(COUNT(C393:M393)&gt;0,1,0)</f>
        <v/>
      </c>
      <c r="R393" s="42">
        <f>IF(Q393=0,0,R392+1)</f>
        <v/>
      </c>
      <c r="S393" s="42">
        <f>IF(O393="",0,IF(O393=4,S392+1,0))</f>
        <v/>
      </c>
      <c r="T393" s="43">
        <f>IF(Q393=1,A393,"")</f>
        <v/>
      </c>
    </row>
    <row r="394">
      <c r="A394" s="36">
        <f>A393+1</f>
        <v/>
      </c>
      <c r="B394" s="37">
        <f>IF(A394="","",TEXT(A394,"ddd"))</f>
        <v/>
      </c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9" t="n"/>
      <c r="M394" s="39" t="n"/>
      <c r="N394" s="38" t="n"/>
      <c r="O394" s="40">
        <f>IF($Q394=0,"",IF(C394&gt;=C$2,1,0)+IF(D394&gt;=D$2,1,0)+IF(E394&gt;=E$2,1,0)+IF(F394&gt;=F$2,1,0))</f>
        <v/>
      </c>
      <c r="P394" s="41" t="n"/>
      <c r="Q394" s="42">
        <f>IF(COUNT(C394:M394)&gt;0,1,0)</f>
        <v/>
      </c>
      <c r="R394" s="42">
        <f>IF(Q394=0,0,R393+1)</f>
        <v/>
      </c>
      <c r="S394" s="42">
        <f>IF(O394="",0,IF(O394=4,S393+1,0))</f>
        <v/>
      </c>
      <c r="T394" s="43">
        <f>IF(Q394=1,A394,"")</f>
        <v/>
      </c>
    </row>
    <row r="395">
      <c r="A395" s="36">
        <f>A394+1</f>
        <v/>
      </c>
      <c r="B395" s="37">
        <f>IF(A395="","",TEXT(A395,"ddd"))</f>
        <v/>
      </c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9" t="n"/>
      <c r="M395" s="39" t="n"/>
      <c r="N395" s="38" t="n"/>
      <c r="O395" s="40">
        <f>IF($Q395=0,"",IF(C395&gt;=C$2,1,0)+IF(D395&gt;=D$2,1,0)+IF(E395&gt;=E$2,1,0)+IF(F395&gt;=F$2,1,0))</f>
        <v/>
      </c>
      <c r="P395" s="41" t="n"/>
      <c r="Q395" s="42">
        <f>IF(COUNT(C395:M395)&gt;0,1,0)</f>
        <v/>
      </c>
      <c r="R395" s="42">
        <f>IF(Q395=0,0,R394+1)</f>
        <v/>
      </c>
      <c r="S395" s="42">
        <f>IF(O395="",0,IF(O395=4,S394+1,0))</f>
        <v/>
      </c>
      <c r="T395" s="43">
        <f>IF(Q395=1,A395,"")</f>
        <v/>
      </c>
    </row>
    <row r="396">
      <c r="A396" s="36">
        <f>A395+1</f>
        <v/>
      </c>
      <c r="B396" s="37">
        <f>IF(A396="","",TEXT(A396,"ddd"))</f>
        <v/>
      </c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9" t="n"/>
      <c r="M396" s="39" t="n"/>
      <c r="N396" s="38" t="n"/>
      <c r="O396" s="40">
        <f>IF($Q396=0,"",IF(C396&gt;=C$2,1,0)+IF(D396&gt;=D$2,1,0)+IF(E396&gt;=E$2,1,0)+IF(F396&gt;=F$2,1,0))</f>
        <v/>
      </c>
      <c r="P396" s="41" t="n"/>
      <c r="Q396" s="42">
        <f>IF(COUNT(C396:M396)&gt;0,1,0)</f>
        <v/>
      </c>
      <c r="R396" s="42">
        <f>IF(Q396=0,0,R395+1)</f>
        <v/>
      </c>
      <c r="S396" s="42">
        <f>IF(O396="",0,IF(O396=4,S395+1,0))</f>
        <v/>
      </c>
      <c r="T396" s="43">
        <f>IF(Q396=1,A396,"")</f>
        <v/>
      </c>
    </row>
    <row r="397">
      <c r="A397" s="36">
        <f>A396+1</f>
        <v/>
      </c>
      <c r="B397" s="37">
        <f>IF(A397="","",TEXT(A397,"ddd"))</f>
        <v/>
      </c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9" t="n"/>
      <c r="M397" s="39" t="n"/>
      <c r="N397" s="38" t="n"/>
      <c r="O397" s="40">
        <f>IF($Q397=0,"",IF(C397&gt;=C$2,1,0)+IF(D397&gt;=D$2,1,0)+IF(E397&gt;=E$2,1,0)+IF(F397&gt;=F$2,1,0))</f>
        <v/>
      </c>
      <c r="P397" s="41" t="n"/>
      <c r="Q397" s="42">
        <f>IF(COUNT(C397:M397)&gt;0,1,0)</f>
        <v/>
      </c>
      <c r="R397" s="42">
        <f>IF(Q397=0,0,R396+1)</f>
        <v/>
      </c>
      <c r="S397" s="42">
        <f>IF(O397="",0,IF(O397=4,S396+1,0))</f>
        <v/>
      </c>
      <c r="T397" s="43">
        <f>IF(Q397=1,A397,"")</f>
        <v/>
      </c>
    </row>
    <row r="398">
      <c r="A398" s="36">
        <f>A397+1</f>
        <v/>
      </c>
      <c r="B398" s="37">
        <f>IF(A398="","",TEXT(A398,"ddd"))</f>
        <v/>
      </c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9" t="n"/>
      <c r="M398" s="39" t="n"/>
      <c r="N398" s="38" t="n"/>
      <c r="O398" s="40">
        <f>IF($Q398=0,"",IF(C398&gt;=C$2,1,0)+IF(D398&gt;=D$2,1,0)+IF(E398&gt;=E$2,1,0)+IF(F398&gt;=F$2,1,0))</f>
        <v/>
      </c>
      <c r="P398" s="41" t="n"/>
      <c r="Q398" s="42">
        <f>IF(COUNT(C398:M398)&gt;0,1,0)</f>
        <v/>
      </c>
      <c r="R398" s="42">
        <f>IF(Q398=0,0,R397+1)</f>
        <v/>
      </c>
      <c r="S398" s="42">
        <f>IF(O398="",0,IF(O398=4,S397+1,0))</f>
        <v/>
      </c>
      <c r="T398" s="43">
        <f>IF(Q398=1,A398,"")</f>
        <v/>
      </c>
    </row>
    <row r="399">
      <c r="A399" s="36">
        <f>A398+1</f>
        <v/>
      </c>
      <c r="B399" s="37">
        <f>IF(A399="","",TEXT(A399,"ddd"))</f>
        <v/>
      </c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9" t="n"/>
      <c r="M399" s="39" t="n"/>
      <c r="N399" s="38" t="n"/>
      <c r="O399" s="40">
        <f>IF($Q399=0,"",IF(C399&gt;=C$2,1,0)+IF(D399&gt;=D$2,1,0)+IF(E399&gt;=E$2,1,0)+IF(F399&gt;=F$2,1,0))</f>
        <v/>
      </c>
      <c r="P399" s="41" t="n"/>
      <c r="Q399" s="42">
        <f>IF(COUNT(C399:M399)&gt;0,1,0)</f>
        <v/>
      </c>
      <c r="R399" s="42">
        <f>IF(Q399=0,0,R398+1)</f>
        <v/>
      </c>
      <c r="S399" s="42">
        <f>IF(O399="",0,IF(O399=4,S398+1,0))</f>
        <v/>
      </c>
      <c r="T399" s="43">
        <f>IF(Q399=1,A399,"")</f>
        <v/>
      </c>
    </row>
    <row r="400">
      <c r="A400" s="36">
        <f>A399+1</f>
        <v/>
      </c>
      <c r="B400" s="37">
        <f>IF(A400="","",TEXT(A400,"ddd"))</f>
        <v/>
      </c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9" t="n"/>
      <c r="M400" s="39" t="n"/>
      <c r="N400" s="38" t="n"/>
      <c r="O400" s="40">
        <f>IF($Q400=0,"",IF(C400&gt;=C$2,1,0)+IF(D400&gt;=D$2,1,0)+IF(E400&gt;=E$2,1,0)+IF(F400&gt;=F$2,1,0))</f>
        <v/>
      </c>
      <c r="P400" s="41" t="n"/>
      <c r="Q400" s="42">
        <f>IF(COUNT(C400:M400)&gt;0,1,0)</f>
        <v/>
      </c>
      <c r="R400" s="42">
        <f>IF(Q400=0,0,R399+1)</f>
        <v/>
      </c>
      <c r="S400" s="42">
        <f>IF(O400="",0,IF(O400=4,S399+1,0))</f>
        <v/>
      </c>
      <c r="T400" s="43">
        <f>IF(Q400=1,A400,"")</f>
        <v/>
      </c>
    </row>
    <row r="401">
      <c r="A401" s="36">
        <f>A400+1</f>
        <v/>
      </c>
      <c r="B401" s="37">
        <f>IF(A401="","",TEXT(A401,"ddd"))</f>
        <v/>
      </c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9" t="n"/>
      <c r="M401" s="39" t="n"/>
      <c r="N401" s="38" t="n"/>
      <c r="O401" s="40">
        <f>IF($Q401=0,"",IF(C401&gt;=C$2,1,0)+IF(D401&gt;=D$2,1,0)+IF(E401&gt;=E$2,1,0)+IF(F401&gt;=F$2,1,0))</f>
        <v/>
      </c>
      <c r="P401" s="41" t="n"/>
      <c r="Q401" s="42">
        <f>IF(COUNT(C401:M401)&gt;0,1,0)</f>
        <v/>
      </c>
      <c r="R401" s="42">
        <f>IF(Q401=0,0,R400+1)</f>
        <v/>
      </c>
      <c r="S401" s="42">
        <f>IF(O401="",0,IF(O401=4,S400+1,0))</f>
        <v/>
      </c>
      <c r="T401" s="43">
        <f>IF(Q401=1,A401,"")</f>
        <v/>
      </c>
    </row>
    <row r="402">
      <c r="A402" s="36">
        <f>A401+1</f>
        <v/>
      </c>
      <c r="B402" s="37">
        <f>IF(A402="","",TEXT(A402,"ddd"))</f>
        <v/>
      </c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9" t="n"/>
      <c r="M402" s="39" t="n"/>
      <c r="N402" s="38" t="n"/>
      <c r="O402" s="40">
        <f>IF($Q402=0,"",IF(C402&gt;=C$2,1,0)+IF(D402&gt;=D$2,1,0)+IF(E402&gt;=E$2,1,0)+IF(F402&gt;=F$2,1,0))</f>
        <v/>
      </c>
      <c r="P402" s="41" t="n"/>
      <c r="Q402" s="42">
        <f>IF(COUNT(C402:M402)&gt;0,1,0)</f>
        <v/>
      </c>
      <c r="R402" s="42">
        <f>IF(Q402=0,0,R401+1)</f>
        <v/>
      </c>
      <c r="S402" s="42">
        <f>IF(O402="",0,IF(O402=4,S401+1,0))</f>
        <v/>
      </c>
      <c r="T402" s="43">
        <f>IF(Q402=1,A402,"")</f>
        <v/>
      </c>
    </row>
    <row r="403">
      <c r="A403" s="36">
        <f>A402+1</f>
        <v/>
      </c>
      <c r="B403" s="37">
        <f>IF(A403="","",TEXT(A403,"ddd"))</f>
        <v/>
      </c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9" t="n"/>
      <c r="M403" s="39" t="n"/>
      <c r="N403" s="38" t="n"/>
      <c r="O403" s="40">
        <f>IF($Q403=0,"",IF(C403&gt;=C$2,1,0)+IF(D403&gt;=D$2,1,0)+IF(E403&gt;=E$2,1,0)+IF(F403&gt;=F$2,1,0))</f>
        <v/>
      </c>
      <c r="P403" s="41" t="n"/>
      <c r="Q403" s="42">
        <f>IF(COUNT(C403:M403)&gt;0,1,0)</f>
        <v/>
      </c>
      <c r="R403" s="42">
        <f>IF(Q403=0,0,R402+1)</f>
        <v/>
      </c>
      <c r="S403" s="42">
        <f>IF(O403="",0,IF(O403=4,S402+1,0))</f>
        <v/>
      </c>
      <c r="T403" s="43">
        <f>IF(Q403=1,A403,"")</f>
        <v/>
      </c>
    </row>
    <row r="404">
      <c r="A404" s="36">
        <f>A403+1</f>
        <v/>
      </c>
      <c r="B404" s="37">
        <f>IF(A404="","",TEXT(A404,"ddd"))</f>
        <v/>
      </c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9" t="n"/>
      <c r="M404" s="39" t="n"/>
      <c r="N404" s="38" t="n"/>
      <c r="O404" s="40">
        <f>IF($Q404=0,"",IF(C404&gt;=C$2,1,0)+IF(D404&gt;=D$2,1,0)+IF(E404&gt;=E$2,1,0)+IF(F404&gt;=F$2,1,0))</f>
        <v/>
      </c>
      <c r="P404" s="41" t="n"/>
      <c r="Q404" s="42">
        <f>IF(COUNT(C404:M404)&gt;0,1,0)</f>
        <v/>
      </c>
      <c r="R404" s="42">
        <f>IF(Q404=0,0,R403+1)</f>
        <v/>
      </c>
      <c r="S404" s="42">
        <f>IF(O404="",0,IF(O404=4,S403+1,0))</f>
        <v/>
      </c>
      <c r="T404" s="43">
        <f>IF(Q404=1,A404,"")</f>
        <v/>
      </c>
    </row>
    <row r="405">
      <c r="A405" s="36">
        <f>A404+1</f>
        <v/>
      </c>
      <c r="B405" s="37">
        <f>IF(A405="","",TEXT(A405,"ddd"))</f>
        <v/>
      </c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9" t="n"/>
      <c r="M405" s="39" t="n"/>
      <c r="N405" s="38" t="n"/>
      <c r="O405" s="40">
        <f>IF($Q405=0,"",IF(C405&gt;=C$2,1,0)+IF(D405&gt;=D$2,1,0)+IF(E405&gt;=E$2,1,0)+IF(F405&gt;=F$2,1,0))</f>
        <v/>
      </c>
      <c r="P405" s="41" t="n"/>
      <c r="Q405" s="42">
        <f>IF(COUNT(C405:M405)&gt;0,1,0)</f>
        <v/>
      </c>
      <c r="R405" s="42">
        <f>IF(Q405=0,0,R404+1)</f>
        <v/>
      </c>
      <c r="S405" s="42">
        <f>IF(O405="",0,IF(O405=4,S404+1,0))</f>
        <v/>
      </c>
      <c r="T405" s="43">
        <f>IF(Q405=1,A405,"")</f>
        <v/>
      </c>
    </row>
    <row r="406">
      <c r="A406" s="36">
        <f>A405+1</f>
        <v/>
      </c>
      <c r="B406" s="37">
        <f>IF(A406="","",TEXT(A406,"ddd"))</f>
        <v/>
      </c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9" t="n"/>
      <c r="M406" s="39" t="n"/>
      <c r="N406" s="38" t="n"/>
      <c r="O406" s="40">
        <f>IF($Q406=0,"",IF(C406&gt;=C$2,1,0)+IF(D406&gt;=D$2,1,0)+IF(E406&gt;=E$2,1,0)+IF(F406&gt;=F$2,1,0))</f>
        <v/>
      </c>
      <c r="P406" s="41" t="n"/>
      <c r="Q406" s="42">
        <f>IF(COUNT(C406:M406)&gt;0,1,0)</f>
        <v/>
      </c>
      <c r="R406" s="42">
        <f>IF(Q406=0,0,R405+1)</f>
        <v/>
      </c>
      <c r="S406" s="42">
        <f>IF(O406="",0,IF(O406=4,S405+1,0))</f>
        <v/>
      </c>
      <c r="T406" s="43">
        <f>IF(Q406=1,A406,"")</f>
        <v/>
      </c>
    </row>
    <row r="407">
      <c r="A407" s="36">
        <f>A406+1</f>
        <v/>
      </c>
      <c r="B407" s="37">
        <f>IF(A407="","",TEXT(A407,"ddd"))</f>
        <v/>
      </c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9" t="n"/>
      <c r="M407" s="39" t="n"/>
      <c r="N407" s="38" t="n"/>
      <c r="O407" s="40">
        <f>IF($Q407=0,"",IF(C407&gt;=C$2,1,0)+IF(D407&gt;=D$2,1,0)+IF(E407&gt;=E$2,1,0)+IF(F407&gt;=F$2,1,0))</f>
        <v/>
      </c>
      <c r="P407" s="41" t="n"/>
      <c r="Q407" s="42">
        <f>IF(COUNT(C407:M407)&gt;0,1,0)</f>
        <v/>
      </c>
      <c r="R407" s="42">
        <f>IF(Q407=0,0,R406+1)</f>
        <v/>
      </c>
      <c r="S407" s="42">
        <f>IF(O407="",0,IF(O407=4,S406+1,0))</f>
        <v/>
      </c>
      <c r="T407" s="43">
        <f>IF(Q407=1,A407,"")</f>
        <v/>
      </c>
    </row>
    <row r="408">
      <c r="A408" s="36">
        <f>A407+1</f>
        <v/>
      </c>
      <c r="B408" s="37">
        <f>IF(A408="","",TEXT(A408,"ddd"))</f>
        <v/>
      </c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9" t="n"/>
      <c r="M408" s="39" t="n"/>
      <c r="N408" s="38" t="n"/>
      <c r="O408" s="40">
        <f>IF($Q408=0,"",IF(C408&gt;=C$2,1,0)+IF(D408&gt;=D$2,1,0)+IF(E408&gt;=E$2,1,0)+IF(F408&gt;=F$2,1,0))</f>
        <v/>
      </c>
      <c r="P408" s="41" t="n"/>
      <c r="Q408" s="42">
        <f>IF(COUNT(C408:M408)&gt;0,1,0)</f>
        <v/>
      </c>
      <c r="R408" s="42">
        <f>IF(Q408=0,0,R407+1)</f>
        <v/>
      </c>
      <c r="S408" s="42">
        <f>IF(O408="",0,IF(O408=4,S407+1,0))</f>
        <v/>
      </c>
      <c r="T408" s="43">
        <f>IF(Q408=1,A408,"")</f>
        <v/>
      </c>
    </row>
    <row r="409">
      <c r="A409" s="36">
        <f>A408+1</f>
        <v/>
      </c>
      <c r="B409" s="37">
        <f>IF(A409="","",TEXT(A409,"ddd"))</f>
        <v/>
      </c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9" t="n"/>
      <c r="M409" s="39" t="n"/>
      <c r="N409" s="38" t="n"/>
      <c r="O409" s="40">
        <f>IF($Q409=0,"",IF(C409&gt;=C$2,1,0)+IF(D409&gt;=D$2,1,0)+IF(E409&gt;=E$2,1,0)+IF(F409&gt;=F$2,1,0))</f>
        <v/>
      </c>
      <c r="P409" s="41" t="n"/>
      <c r="Q409" s="42">
        <f>IF(COUNT(C409:M409)&gt;0,1,0)</f>
        <v/>
      </c>
      <c r="R409" s="42">
        <f>IF(Q409=0,0,R408+1)</f>
        <v/>
      </c>
      <c r="S409" s="42">
        <f>IF(O409="",0,IF(O409=4,S408+1,0))</f>
        <v/>
      </c>
      <c r="T409" s="43">
        <f>IF(Q409=1,A409,"")</f>
        <v/>
      </c>
    </row>
    <row r="410">
      <c r="A410" s="36">
        <f>A409+1</f>
        <v/>
      </c>
      <c r="B410" s="37">
        <f>IF(A410="","",TEXT(A410,"ddd"))</f>
        <v/>
      </c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9" t="n"/>
      <c r="M410" s="39" t="n"/>
      <c r="N410" s="38" t="n"/>
      <c r="O410" s="40">
        <f>IF($Q410=0,"",IF(C410&gt;=C$2,1,0)+IF(D410&gt;=D$2,1,0)+IF(E410&gt;=E$2,1,0)+IF(F410&gt;=F$2,1,0))</f>
        <v/>
      </c>
      <c r="P410" s="41" t="n"/>
      <c r="Q410" s="42">
        <f>IF(COUNT(C410:M410)&gt;0,1,0)</f>
        <v/>
      </c>
      <c r="R410" s="42">
        <f>IF(Q410=0,0,R409+1)</f>
        <v/>
      </c>
      <c r="S410" s="42">
        <f>IF(O410="",0,IF(O410=4,S409+1,0))</f>
        <v/>
      </c>
      <c r="T410" s="43">
        <f>IF(Q410=1,A410,"")</f>
        <v/>
      </c>
    </row>
    <row r="411">
      <c r="A411" s="36">
        <f>A410+1</f>
        <v/>
      </c>
      <c r="B411" s="37">
        <f>IF(A411="","",TEXT(A411,"ddd"))</f>
        <v/>
      </c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9" t="n"/>
      <c r="M411" s="39" t="n"/>
      <c r="N411" s="38" t="n"/>
      <c r="O411" s="40">
        <f>IF($Q411=0,"",IF(C411&gt;=C$2,1,0)+IF(D411&gt;=D$2,1,0)+IF(E411&gt;=E$2,1,0)+IF(F411&gt;=F$2,1,0))</f>
        <v/>
      </c>
      <c r="P411" s="41" t="n"/>
      <c r="Q411" s="42">
        <f>IF(COUNT(C411:M411)&gt;0,1,0)</f>
        <v/>
      </c>
      <c r="R411" s="42">
        <f>IF(Q411=0,0,R410+1)</f>
        <v/>
      </c>
      <c r="S411" s="42">
        <f>IF(O411="",0,IF(O411=4,S410+1,0))</f>
        <v/>
      </c>
      <c r="T411" s="43">
        <f>IF(Q411=1,A411,"")</f>
        <v/>
      </c>
    </row>
    <row r="412">
      <c r="A412" s="36">
        <f>A411+1</f>
        <v/>
      </c>
      <c r="B412" s="37">
        <f>IF(A412="","",TEXT(A412,"ddd"))</f>
        <v/>
      </c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9" t="n"/>
      <c r="M412" s="39" t="n"/>
      <c r="N412" s="38" t="n"/>
      <c r="O412" s="40">
        <f>IF($Q412=0,"",IF(C412&gt;=C$2,1,0)+IF(D412&gt;=D$2,1,0)+IF(E412&gt;=E$2,1,0)+IF(F412&gt;=F$2,1,0))</f>
        <v/>
      </c>
      <c r="P412" s="41" t="n"/>
      <c r="Q412" s="42">
        <f>IF(COUNT(C412:M412)&gt;0,1,0)</f>
        <v/>
      </c>
      <c r="R412" s="42">
        <f>IF(Q412=0,0,R411+1)</f>
        <v/>
      </c>
      <c r="S412" s="42">
        <f>IF(O412="",0,IF(O412=4,S411+1,0))</f>
        <v/>
      </c>
      <c r="T412" s="43">
        <f>IF(Q412=1,A412,"")</f>
        <v/>
      </c>
    </row>
    <row r="413">
      <c r="A413" s="36">
        <f>A412+1</f>
        <v/>
      </c>
      <c r="B413" s="37">
        <f>IF(A413="","",TEXT(A413,"ddd"))</f>
        <v/>
      </c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9" t="n"/>
      <c r="M413" s="39" t="n"/>
      <c r="N413" s="38" t="n"/>
      <c r="O413" s="40">
        <f>IF($Q413=0,"",IF(C413&gt;=C$2,1,0)+IF(D413&gt;=D$2,1,0)+IF(E413&gt;=E$2,1,0)+IF(F413&gt;=F$2,1,0))</f>
        <v/>
      </c>
      <c r="P413" s="41" t="n"/>
      <c r="Q413" s="42">
        <f>IF(COUNT(C413:M413)&gt;0,1,0)</f>
        <v/>
      </c>
      <c r="R413" s="42">
        <f>IF(Q413=0,0,R412+1)</f>
        <v/>
      </c>
      <c r="S413" s="42">
        <f>IF(O413="",0,IF(O413=4,S412+1,0))</f>
        <v/>
      </c>
      <c r="T413" s="43">
        <f>IF(Q413=1,A413,"")</f>
        <v/>
      </c>
    </row>
    <row r="414">
      <c r="A414" s="36">
        <f>A413+1</f>
        <v/>
      </c>
      <c r="B414" s="37">
        <f>IF(A414="","",TEXT(A414,"ddd"))</f>
        <v/>
      </c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9" t="n"/>
      <c r="M414" s="39" t="n"/>
      <c r="N414" s="38" t="n"/>
      <c r="O414" s="40">
        <f>IF($Q414=0,"",IF(C414&gt;=C$2,1,0)+IF(D414&gt;=D$2,1,0)+IF(E414&gt;=E$2,1,0)+IF(F414&gt;=F$2,1,0))</f>
        <v/>
      </c>
      <c r="P414" s="41" t="n"/>
      <c r="Q414" s="42">
        <f>IF(COUNT(C414:M414)&gt;0,1,0)</f>
        <v/>
      </c>
      <c r="R414" s="42">
        <f>IF(Q414=0,0,R413+1)</f>
        <v/>
      </c>
      <c r="S414" s="42">
        <f>IF(O414="",0,IF(O414=4,S413+1,0))</f>
        <v/>
      </c>
      <c r="T414" s="43">
        <f>IF(Q414=1,A414,"")</f>
        <v/>
      </c>
    </row>
    <row r="415">
      <c r="A415" s="36">
        <f>A414+1</f>
        <v/>
      </c>
      <c r="B415" s="37">
        <f>IF(A415="","",TEXT(A415,"ddd"))</f>
        <v/>
      </c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9" t="n"/>
      <c r="M415" s="39" t="n"/>
      <c r="N415" s="38" t="n"/>
      <c r="O415" s="40">
        <f>IF($Q415=0,"",IF(C415&gt;=C$2,1,0)+IF(D415&gt;=D$2,1,0)+IF(E415&gt;=E$2,1,0)+IF(F415&gt;=F$2,1,0))</f>
        <v/>
      </c>
      <c r="P415" s="41" t="n"/>
      <c r="Q415" s="42">
        <f>IF(COUNT(C415:M415)&gt;0,1,0)</f>
        <v/>
      </c>
      <c r="R415" s="42">
        <f>IF(Q415=0,0,R414+1)</f>
        <v/>
      </c>
      <c r="S415" s="42">
        <f>IF(O415="",0,IF(O415=4,S414+1,0))</f>
        <v/>
      </c>
      <c r="T415" s="43">
        <f>IF(Q415=1,A415,"")</f>
        <v/>
      </c>
    </row>
    <row r="416">
      <c r="A416" s="36">
        <f>A415+1</f>
        <v/>
      </c>
      <c r="B416" s="37">
        <f>IF(A416="","",TEXT(A416,"ddd"))</f>
        <v/>
      </c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9" t="n"/>
      <c r="M416" s="39" t="n"/>
      <c r="N416" s="38" t="n"/>
      <c r="O416" s="40">
        <f>IF($Q416=0,"",IF(C416&gt;=C$2,1,0)+IF(D416&gt;=D$2,1,0)+IF(E416&gt;=E$2,1,0)+IF(F416&gt;=F$2,1,0))</f>
        <v/>
      </c>
      <c r="P416" s="41" t="n"/>
      <c r="Q416" s="42">
        <f>IF(COUNT(C416:M416)&gt;0,1,0)</f>
        <v/>
      </c>
      <c r="R416" s="42">
        <f>IF(Q416=0,0,R415+1)</f>
        <v/>
      </c>
      <c r="S416" s="42">
        <f>IF(O416="",0,IF(O416=4,S415+1,0))</f>
        <v/>
      </c>
      <c r="T416" s="43">
        <f>IF(Q416=1,A416,"")</f>
        <v/>
      </c>
    </row>
    <row r="417">
      <c r="A417" s="36">
        <f>A416+1</f>
        <v/>
      </c>
      <c r="B417" s="37">
        <f>IF(A417="","",TEXT(A417,"ddd"))</f>
        <v/>
      </c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9" t="n"/>
      <c r="M417" s="39" t="n"/>
      <c r="N417" s="38" t="n"/>
      <c r="O417" s="40">
        <f>IF($Q417=0,"",IF(C417&gt;=C$2,1,0)+IF(D417&gt;=D$2,1,0)+IF(E417&gt;=E$2,1,0)+IF(F417&gt;=F$2,1,0))</f>
        <v/>
      </c>
      <c r="P417" s="41" t="n"/>
      <c r="Q417" s="42">
        <f>IF(COUNT(C417:M417)&gt;0,1,0)</f>
        <v/>
      </c>
      <c r="R417" s="42">
        <f>IF(Q417=0,0,R416+1)</f>
        <v/>
      </c>
      <c r="S417" s="42">
        <f>IF(O417="",0,IF(O417=4,S416+1,0))</f>
        <v/>
      </c>
      <c r="T417" s="43">
        <f>IF(Q417=1,A417,"")</f>
        <v/>
      </c>
    </row>
    <row r="418">
      <c r="A418" s="36">
        <f>A417+1</f>
        <v/>
      </c>
      <c r="B418" s="37">
        <f>IF(A418="","",TEXT(A418,"ddd"))</f>
        <v/>
      </c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9" t="n"/>
      <c r="M418" s="39" t="n"/>
      <c r="N418" s="38" t="n"/>
      <c r="O418" s="40">
        <f>IF($Q418=0,"",IF(C418&gt;=C$2,1,0)+IF(D418&gt;=D$2,1,0)+IF(E418&gt;=E$2,1,0)+IF(F418&gt;=F$2,1,0))</f>
        <v/>
      </c>
      <c r="P418" s="41" t="n"/>
      <c r="Q418" s="42">
        <f>IF(COUNT(C418:M418)&gt;0,1,0)</f>
        <v/>
      </c>
      <c r="R418" s="42">
        <f>IF(Q418=0,0,R417+1)</f>
        <v/>
      </c>
      <c r="S418" s="42">
        <f>IF(O418="",0,IF(O418=4,S417+1,0))</f>
        <v/>
      </c>
      <c r="T418" s="43">
        <f>IF(Q418=1,A418,"")</f>
        <v/>
      </c>
    </row>
    <row r="419">
      <c r="A419" s="36">
        <f>A418+1</f>
        <v/>
      </c>
      <c r="B419" s="37">
        <f>IF(A419="","",TEXT(A419,"ddd"))</f>
        <v/>
      </c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9" t="n"/>
      <c r="M419" s="39" t="n"/>
      <c r="N419" s="38" t="n"/>
      <c r="O419" s="40">
        <f>IF($Q419=0,"",IF(C419&gt;=C$2,1,0)+IF(D419&gt;=D$2,1,0)+IF(E419&gt;=E$2,1,0)+IF(F419&gt;=F$2,1,0))</f>
        <v/>
      </c>
      <c r="P419" s="41" t="n"/>
      <c r="Q419" s="42">
        <f>IF(COUNT(C419:M419)&gt;0,1,0)</f>
        <v/>
      </c>
      <c r="R419" s="42">
        <f>IF(Q419=0,0,R418+1)</f>
        <v/>
      </c>
      <c r="S419" s="42">
        <f>IF(O419="",0,IF(O419=4,S418+1,0))</f>
        <v/>
      </c>
      <c r="T419" s="43">
        <f>IF(Q419=1,A419,"")</f>
        <v/>
      </c>
    </row>
    <row r="420">
      <c r="A420" s="36">
        <f>A419+1</f>
        <v/>
      </c>
      <c r="B420" s="37">
        <f>IF(A420="","",TEXT(A420,"ddd"))</f>
        <v/>
      </c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9" t="n"/>
      <c r="M420" s="39" t="n"/>
      <c r="N420" s="38" t="n"/>
      <c r="O420" s="40">
        <f>IF($Q420=0,"",IF(C420&gt;=C$2,1,0)+IF(D420&gt;=D$2,1,0)+IF(E420&gt;=E$2,1,0)+IF(F420&gt;=F$2,1,0))</f>
        <v/>
      </c>
      <c r="P420" s="41" t="n"/>
      <c r="Q420" s="42">
        <f>IF(COUNT(C420:M420)&gt;0,1,0)</f>
        <v/>
      </c>
      <c r="R420" s="42">
        <f>IF(Q420=0,0,R419+1)</f>
        <v/>
      </c>
      <c r="S420" s="42">
        <f>IF(O420="",0,IF(O420=4,S419+1,0))</f>
        <v/>
      </c>
      <c r="T420" s="43">
        <f>IF(Q420=1,A420,"")</f>
        <v/>
      </c>
    </row>
    <row r="421">
      <c r="A421" s="36">
        <f>A420+1</f>
        <v/>
      </c>
      <c r="B421" s="37">
        <f>IF(A421="","",TEXT(A421,"ddd"))</f>
        <v/>
      </c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9" t="n"/>
      <c r="M421" s="39" t="n"/>
      <c r="N421" s="38" t="n"/>
      <c r="O421" s="40">
        <f>IF($Q421=0,"",IF(C421&gt;=C$2,1,0)+IF(D421&gt;=D$2,1,0)+IF(E421&gt;=E$2,1,0)+IF(F421&gt;=F$2,1,0))</f>
        <v/>
      </c>
      <c r="P421" s="41" t="n"/>
      <c r="Q421" s="42">
        <f>IF(COUNT(C421:M421)&gt;0,1,0)</f>
        <v/>
      </c>
      <c r="R421" s="42">
        <f>IF(Q421=0,0,R420+1)</f>
        <v/>
      </c>
      <c r="S421" s="42">
        <f>IF(O421="",0,IF(O421=4,S420+1,0))</f>
        <v/>
      </c>
      <c r="T421" s="43">
        <f>IF(Q421=1,A421,"")</f>
        <v/>
      </c>
    </row>
    <row r="422">
      <c r="A422" s="36">
        <f>A421+1</f>
        <v/>
      </c>
      <c r="B422" s="37">
        <f>IF(A422="","",TEXT(A422,"ddd"))</f>
        <v/>
      </c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9" t="n"/>
      <c r="M422" s="39" t="n"/>
      <c r="N422" s="38" t="n"/>
      <c r="O422" s="40">
        <f>IF($Q422=0,"",IF(C422&gt;=C$2,1,0)+IF(D422&gt;=D$2,1,0)+IF(E422&gt;=E$2,1,0)+IF(F422&gt;=F$2,1,0))</f>
        <v/>
      </c>
      <c r="P422" s="41" t="n"/>
      <c r="Q422" s="42">
        <f>IF(COUNT(C422:M422)&gt;0,1,0)</f>
        <v/>
      </c>
      <c r="R422" s="42">
        <f>IF(Q422=0,0,R421+1)</f>
        <v/>
      </c>
      <c r="S422" s="42">
        <f>IF(O422="",0,IF(O422=4,S421+1,0))</f>
        <v/>
      </c>
      <c r="T422" s="43">
        <f>IF(Q422=1,A422,"")</f>
        <v/>
      </c>
    </row>
    <row r="423">
      <c r="A423" s="36">
        <f>A422+1</f>
        <v/>
      </c>
      <c r="B423" s="37">
        <f>IF(A423="","",TEXT(A423,"ddd"))</f>
        <v/>
      </c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9" t="n"/>
      <c r="M423" s="39" t="n"/>
      <c r="N423" s="38" t="n"/>
      <c r="O423" s="40">
        <f>IF($Q423=0,"",IF(C423&gt;=C$2,1,0)+IF(D423&gt;=D$2,1,0)+IF(E423&gt;=E$2,1,0)+IF(F423&gt;=F$2,1,0))</f>
        <v/>
      </c>
      <c r="P423" s="41" t="n"/>
      <c r="Q423" s="42">
        <f>IF(COUNT(C423:M423)&gt;0,1,0)</f>
        <v/>
      </c>
      <c r="R423" s="42">
        <f>IF(Q423=0,0,R422+1)</f>
        <v/>
      </c>
      <c r="S423" s="42">
        <f>IF(O423="",0,IF(O423=4,S422+1,0))</f>
        <v/>
      </c>
      <c r="T423" s="43">
        <f>IF(Q423=1,A423,"")</f>
        <v/>
      </c>
    </row>
    <row r="424">
      <c r="A424" s="36">
        <f>A423+1</f>
        <v/>
      </c>
      <c r="B424" s="37">
        <f>IF(A424="","",TEXT(A424,"ddd"))</f>
        <v/>
      </c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9" t="n"/>
      <c r="M424" s="39" t="n"/>
      <c r="N424" s="38" t="n"/>
      <c r="O424" s="40">
        <f>IF($Q424=0,"",IF(C424&gt;=C$2,1,0)+IF(D424&gt;=D$2,1,0)+IF(E424&gt;=E$2,1,0)+IF(F424&gt;=F$2,1,0))</f>
        <v/>
      </c>
      <c r="P424" s="41" t="n"/>
      <c r="Q424" s="42">
        <f>IF(COUNT(C424:M424)&gt;0,1,0)</f>
        <v/>
      </c>
      <c r="R424" s="42">
        <f>IF(Q424=0,0,R423+1)</f>
        <v/>
      </c>
      <c r="S424" s="42">
        <f>IF(O424="",0,IF(O424=4,S423+1,0))</f>
        <v/>
      </c>
      <c r="T424" s="43">
        <f>IF(Q424=1,A424,"")</f>
        <v/>
      </c>
    </row>
    <row r="425">
      <c r="A425" s="36">
        <f>A424+1</f>
        <v/>
      </c>
      <c r="B425" s="37">
        <f>IF(A425="","",TEXT(A425,"ddd"))</f>
        <v/>
      </c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9" t="n"/>
      <c r="M425" s="39" t="n"/>
      <c r="N425" s="38" t="n"/>
      <c r="O425" s="40">
        <f>IF($Q425=0,"",IF(C425&gt;=C$2,1,0)+IF(D425&gt;=D$2,1,0)+IF(E425&gt;=E$2,1,0)+IF(F425&gt;=F$2,1,0))</f>
        <v/>
      </c>
      <c r="P425" s="41" t="n"/>
      <c r="Q425" s="42">
        <f>IF(COUNT(C425:M425)&gt;0,1,0)</f>
        <v/>
      </c>
      <c r="R425" s="42">
        <f>IF(Q425=0,0,R424+1)</f>
        <v/>
      </c>
      <c r="S425" s="42">
        <f>IF(O425="",0,IF(O425=4,S424+1,0))</f>
        <v/>
      </c>
      <c r="T425" s="43">
        <f>IF(Q425=1,A425,"")</f>
        <v/>
      </c>
    </row>
    <row r="426">
      <c r="A426" s="36">
        <f>A425+1</f>
        <v/>
      </c>
      <c r="B426" s="37">
        <f>IF(A426="","",TEXT(A426,"ddd"))</f>
        <v/>
      </c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9" t="n"/>
      <c r="M426" s="39" t="n"/>
      <c r="N426" s="38" t="n"/>
      <c r="O426" s="40">
        <f>IF($Q426=0,"",IF(C426&gt;=C$2,1,0)+IF(D426&gt;=D$2,1,0)+IF(E426&gt;=E$2,1,0)+IF(F426&gt;=F$2,1,0))</f>
        <v/>
      </c>
      <c r="P426" s="41" t="n"/>
      <c r="Q426" s="42">
        <f>IF(COUNT(C426:M426)&gt;0,1,0)</f>
        <v/>
      </c>
      <c r="R426" s="42">
        <f>IF(Q426=0,0,R425+1)</f>
        <v/>
      </c>
      <c r="S426" s="42">
        <f>IF(O426="",0,IF(O426=4,S425+1,0))</f>
        <v/>
      </c>
      <c r="T426" s="43">
        <f>IF(Q426=1,A426,"")</f>
        <v/>
      </c>
    </row>
    <row r="427">
      <c r="A427" s="36">
        <f>A426+1</f>
        <v/>
      </c>
      <c r="B427" s="37">
        <f>IF(A427="","",TEXT(A427,"ddd"))</f>
        <v/>
      </c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9" t="n"/>
      <c r="M427" s="39" t="n"/>
      <c r="N427" s="38" t="n"/>
      <c r="O427" s="40">
        <f>IF($Q427=0,"",IF(C427&gt;=C$2,1,0)+IF(D427&gt;=D$2,1,0)+IF(E427&gt;=E$2,1,0)+IF(F427&gt;=F$2,1,0))</f>
        <v/>
      </c>
      <c r="P427" s="41" t="n"/>
      <c r="Q427" s="42">
        <f>IF(COUNT(C427:M427)&gt;0,1,0)</f>
        <v/>
      </c>
      <c r="R427" s="42">
        <f>IF(Q427=0,0,R426+1)</f>
        <v/>
      </c>
      <c r="S427" s="42">
        <f>IF(O427="",0,IF(O427=4,S426+1,0))</f>
        <v/>
      </c>
      <c r="T427" s="43">
        <f>IF(Q427=1,A427,"")</f>
        <v/>
      </c>
    </row>
    <row r="428">
      <c r="A428" s="36">
        <f>A427+1</f>
        <v/>
      </c>
      <c r="B428" s="37">
        <f>IF(A428="","",TEXT(A428,"ddd"))</f>
        <v/>
      </c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9" t="n"/>
      <c r="M428" s="39" t="n"/>
      <c r="N428" s="38" t="n"/>
      <c r="O428" s="40">
        <f>IF($Q428=0,"",IF(C428&gt;=C$2,1,0)+IF(D428&gt;=D$2,1,0)+IF(E428&gt;=E$2,1,0)+IF(F428&gt;=F$2,1,0))</f>
        <v/>
      </c>
      <c r="P428" s="41" t="n"/>
      <c r="Q428" s="42">
        <f>IF(COUNT(C428:M428)&gt;0,1,0)</f>
        <v/>
      </c>
      <c r="R428" s="42">
        <f>IF(Q428=0,0,R427+1)</f>
        <v/>
      </c>
      <c r="S428" s="42">
        <f>IF(O428="",0,IF(O428=4,S427+1,0))</f>
        <v/>
      </c>
      <c r="T428" s="43">
        <f>IF(Q428=1,A428,"")</f>
        <v/>
      </c>
    </row>
    <row r="429">
      <c r="A429" s="36">
        <f>A428+1</f>
        <v/>
      </c>
      <c r="B429" s="37">
        <f>IF(A429="","",TEXT(A429,"ddd"))</f>
        <v/>
      </c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9" t="n"/>
      <c r="M429" s="39" t="n"/>
      <c r="N429" s="38" t="n"/>
      <c r="O429" s="40">
        <f>IF($Q429=0,"",IF(C429&gt;=C$2,1,0)+IF(D429&gt;=D$2,1,0)+IF(E429&gt;=E$2,1,0)+IF(F429&gt;=F$2,1,0))</f>
        <v/>
      </c>
      <c r="P429" s="41" t="n"/>
      <c r="Q429" s="42">
        <f>IF(COUNT(C429:M429)&gt;0,1,0)</f>
        <v/>
      </c>
      <c r="R429" s="42">
        <f>IF(Q429=0,0,R428+1)</f>
        <v/>
      </c>
      <c r="S429" s="42">
        <f>IF(O429="",0,IF(O429=4,S428+1,0))</f>
        <v/>
      </c>
      <c r="T429" s="43">
        <f>IF(Q429=1,A429,"")</f>
        <v/>
      </c>
    </row>
    <row r="430">
      <c r="A430" s="36">
        <f>A429+1</f>
        <v/>
      </c>
      <c r="B430" s="37">
        <f>IF(A430="","",TEXT(A430,"ddd"))</f>
        <v/>
      </c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9" t="n"/>
      <c r="M430" s="39" t="n"/>
      <c r="N430" s="38" t="n"/>
      <c r="O430" s="40">
        <f>IF($Q430=0,"",IF(C430&gt;=C$2,1,0)+IF(D430&gt;=D$2,1,0)+IF(E430&gt;=E$2,1,0)+IF(F430&gt;=F$2,1,0))</f>
        <v/>
      </c>
      <c r="P430" s="41" t="n"/>
      <c r="Q430" s="42">
        <f>IF(COUNT(C430:M430)&gt;0,1,0)</f>
        <v/>
      </c>
      <c r="R430" s="42">
        <f>IF(Q430=0,0,R429+1)</f>
        <v/>
      </c>
      <c r="S430" s="42">
        <f>IF(O430="",0,IF(O430=4,S429+1,0))</f>
        <v/>
      </c>
      <c r="T430" s="43">
        <f>IF(Q430=1,A430,"")</f>
        <v/>
      </c>
    </row>
    <row r="431">
      <c r="A431" s="36">
        <f>A430+1</f>
        <v/>
      </c>
      <c r="B431" s="37">
        <f>IF(A431="","",TEXT(A431,"ddd"))</f>
        <v/>
      </c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9" t="n"/>
      <c r="M431" s="39" t="n"/>
      <c r="N431" s="38" t="n"/>
      <c r="O431" s="40">
        <f>IF($Q431=0,"",IF(C431&gt;=C$2,1,0)+IF(D431&gt;=D$2,1,0)+IF(E431&gt;=E$2,1,0)+IF(F431&gt;=F$2,1,0))</f>
        <v/>
      </c>
      <c r="P431" s="41" t="n"/>
      <c r="Q431" s="42">
        <f>IF(COUNT(C431:M431)&gt;0,1,0)</f>
        <v/>
      </c>
      <c r="R431" s="42">
        <f>IF(Q431=0,0,R430+1)</f>
        <v/>
      </c>
      <c r="S431" s="42">
        <f>IF(O431="",0,IF(O431=4,S430+1,0))</f>
        <v/>
      </c>
      <c r="T431" s="43">
        <f>IF(Q431=1,A431,"")</f>
        <v/>
      </c>
    </row>
    <row r="432">
      <c r="A432" s="36">
        <f>A431+1</f>
        <v/>
      </c>
      <c r="B432" s="37">
        <f>IF(A432="","",TEXT(A432,"ddd"))</f>
        <v/>
      </c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9" t="n"/>
      <c r="M432" s="39" t="n"/>
      <c r="N432" s="38" t="n"/>
      <c r="O432" s="40">
        <f>IF($Q432=0,"",IF(C432&gt;=C$2,1,0)+IF(D432&gt;=D$2,1,0)+IF(E432&gt;=E$2,1,0)+IF(F432&gt;=F$2,1,0))</f>
        <v/>
      </c>
      <c r="P432" s="41" t="n"/>
      <c r="Q432" s="42">
        <f>IF(COUNT(C432:M432)&gt;0,1,0)</f>
        <v/>
      </c>
      <c r="R432" s="42">
        <f>IF(Q432=0,0,R431+1)</f>
        <v/>
      </c>
      <c r="S432" s="42">
        <f>IF(O432="",0,IF(O432=4,S431+1,0))</f>
        <v/>
      </c>
      <c r="T432" s="43">
        <f>IF(Q432=1,A432,"")</f>
        <v/>
      </c>
    </row>
    <row r="433">
      <c r="A433" s="36">
        <f>A432+1</f>
        <v/>
      </c>
      <c r="B433" s="37">
        <f>IF(A433="","",TEXT(A433,"ddd"))</f>
        <v/>
      </c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9" t="n"/>
      <c r="M433" s="39" t="n"/>
      <c r="N433" s="38" t="n"/>
      <c r="O433" s="40">
        <f>IF($Q433=0,"",IF(C433&gt;=C$2,1,0)+IF(D433&gt;=D$2,1,0)+IF(E433&gt;=E$2,1,0)+IF(F433&gt;=F$2,1,0))</f>
        <v/>
      </c>
      <c r="P433" s="41" t="n"/>
      <c r="Q433" s="42">
        <f>IF(COUNT(C433:M433)&gt;0,1,0)</f>
        <v/>
      </c>
      <c r="R433" s="42">
        <f>IF(Q433=0,0,R432+1)</f>
        <v/>
      </c>
      <c r="S433" s="42">
        <f>IF(O433="",0,IF(O433=4,S432+1,0))</f>
        <v/>
      </c>
      <c r="T433" s="43">
        <f>IF(Q433=1,A433,"")</f>
        <v/>
      </c>
    </row>
    <row r="434">
      <c r="A434" s="36">
        <f>A433+1</f>
        <v/>
      </c>
      <c r="B434" s="37">
        <f>IF(A434="","",TEXT(A434,"ddd"))</f>
        <v/>
      </c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9" t="n"/>
      <c r="M434" s="39" t="n"/>
      <c r="N434" s="38" t="n"/>
      <c r="O434" s="40">
        <f>IF($Q434=0,"",IF(C434&gt;=C$2,1,0)+IF(D434&gt;=D$2,1,0)+IF(E434&gt;=E$2,1,0)+IF(F434&gt;=F$2,1,0))</f>
        <v/>
      </c>
      <c r="P434" s="41" t="n"/>
      <c r="Q434" s="42">
        <f>IF(COUNT(C434:M434)&gt;0,1,0)</f>
        <v/>
      </c>
      <c r="R434" s="42">
        <f>IF(Q434=0,0,R433+1)</f>
        <v/>
      </c>
      <c r="S434" s="42">
        <f>IF(O434="",0,IF(O434=4,S433+1,0))</f>
        <v/>
      </c>
      <c r="T434" s="43">
        <f>IF(Q434=1,A434,"")</f>
        <v/>
      </c>
    </row>
    <row r="435">
      <c r="A435" s="36">
        <f>A434+1</f>
        <v/>
      </c>
      <c r="B435" s="37">
        <f>IF(A435="","",TEXT(A435,"ddd"))</f>
        <v/>
      </c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9" t="n"/>
      <c r="M435" s="39" t="n"/>
      <c r="N435" s="38" t="n"/>
      <c r="O435" s="40">
        <f>IF($Q435=0,"",IF(C435&gt;=C$2,1,0)+IF(D435&gt;=D$2,1,0)+IF(E435&gt;=E$2,1,0)+IF(F435&gt;=F$2,1,0))</f>
        <v/>
      </c>
      <c r="P435" s="41" t="n"/>
      <c r="Q435" s="42">
        <f>IF(COUNT(C435:M435)&gt;0,1,0)</f>
        <v/>
      </c>
      <c r="R435" s="42">
        <f>IF(Q435=0,0,R434+1)</f>
        <v/>
      </c>
      <c r="S435" s="42">
        <f>IF(O435="",0,IF(O435=4,S434+1,0))</f>
        <v/>
      </c>
      <c r="T435" s="43">
        <f>IF(Q435=1,A435,"")</f>
        <v/>
      </c>
    </row>
    <row r="436">
      <c r="A436" s="36">
        <f>A435+1</f>
        <v/>
      </c>
      <c r="B436" s="37">
        <f>IF(A436="","",TEXT(A436,"ddd"))</f>
        <v/>
      </c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9" t="n"/>
      <c r="M436" s="39" t="n"/>
      <c r="N436" s="38" t="n"/>
      <c r="O436" s="40">
        <f>IF($Q436=0,"",IF(C436&gt;=C$2,1,0)+IF(D436&gt;=D$2,1,0)+IF(E436&gt;=E$2,1,0)+IF(F436&gt;=F$2,1,0))</f>
        <v/>
      </c>
      <c r="P436" s="41" t="n"/>
      <c r="Q436" s="42">
        <f>IF(COUNT(C436:M436)&gt;0,1,0)</f>
        <v/>
      </c>
      <c r="R436" s="42">
        <f>IF(Q436=0,0,R435+1)</f>
        <v/>
      </c>
      <c r="S436" s="42">
        <f>IF(O436="",0,IF(O436=4,S435+1,0))</f>
        <v/>
      </c>
      <c r="T436" s="43">
        <f>IF(Q436=1,A436,"")</f>
        <v/>
      </c>
    </row>
    <row r="437">
      <c r="A437" s="36">
        <f>A436+1</f>
        <v/>
      </c>
      <c r="B437" s="37">
        <f>IF(A437="","",TEXT(A437,"ddd"))</f>
        <v/>
      </c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9" t="n"/>
      <c r="M437" s="39" t="n"/>
      <c r="N437" s="38" t="n"/>
      <c r="O437" s="40">
        <f>IF($Q437=0,"",IF(C437&gt;=C$2,1,0)+IF(D437&gt;=D$2,1,0)+IF(E437&gt;=E$2,1,0)+IF(F437&gt;=F$2,1,0))</f>
        <v/>
      </c>
      <c r="P437" s="41" t="n"/>
      <c r="Q437" s="42">
        <f>IF(COUNT(C437:M437)&gt;0,1,0)</f>
        <v/>
      </c>
      <c r="R437" s="42">
        <f>IF(Q437=0,0,R436+1)</f>
        <v/>
      </c>
      <c r="S437" s="42">
        <f>IF(O437="",0,IF(O437=4,S436+1,0))</f>
        <v/>
      </c>
      <c r="T437" s="43">
        <f>IF(Q437=1,A437,"")</f>
        <v/>
      </c>
    </row>
    <row r="438">
      <c r="A438" s="36">
        <f>A437+1</f>
        <v/>
      </c>
      <c r="B438" s="37">
        <f>IF(A438="","",TEXT(A438,"ddd"))</f>
        <v/>
      </c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9" t="n"/>
      <c r="M438" s="39" t="n"/>
      <c r="N438" s="38" t="n"/>
      <c r="O438" s="40">
        <f>IF($Q438=0,"",IF(C438&gt;=C$2,1,0)+IF(D438&gt;=D$2,1,0)+IF(E438&gt;=E$2,1,0)+IF(F438&gt;=F$2,1,0))</f>
        <v/>
      </c>
      <c r="P438" s="41" t="n"/>
      <c r="Q438" s="42">
        <f>IF(COUNT(C438:M438)&gt;0,1,0)</f>
        <v/>
      </c>
      <c r="R438" s="42">
        <f>IF(Q438=0,0,R437+1)</f>
        <v/>
      </c>
      <c r="S438" s="42">
        <f>IF(O438="",0,IF(O438=4,S437+1,0))</f>
        <v/>
      </c>
      <c r="T438" s="43">
        <f>IF(Q438=1,A438,"")</f>
        <v/>
      </c>
    </row>
    <row r="439">
      <c r="A439" s="36">
        <f>A438+1</f>
        <v/>
      </c>
      <c r="B439" s="37">
        <f>IF(A439="","",TEXT(A439,"ddd"))</f>
        <v/>
      </c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9" t="n"/>
      <c r="M439" s="39" t="n"/>
      <c r="N439" s="38" t="n"/>
      <c r="O439" s="40">
        <f>IF($Q439=0,"",IF(C439&gt;=C$2,1,0)+IF(D439&gt;=D$2,1,0)+IF(E439&gt;=E$2,1,0)+IF(F439&gt;=F$2,1,0))</f>
        <v/>
      </c>
      <c r="P439" s="41" t="n"/>
      <c r="Q439" s="42">
        <f>IF(COUNT(C439:M439)&gt;0,1,0)</f>
        <v/>
      </c>
      <c r="R439" s="42">
        <f>IF(Q439=0,0,R438+1)</f>
        <v/>
      </c>
      <c r="S439" s="42">
        <f>IF(O439="",0,IF(O439=4,S438+1,0))</f>
        <v/>
      </c>
      <c r="T439" s="43">
        <f>IF(Q439=1,A439,"")</f>
        <v/>
      </c>
    </row>
    <row r="440">
      <c r="A440" s="36">
        <f>A439+1</f>
        <v/>
      </c>
      <c r="B440" s="37">
        <f>IF(A440="","",TEXT(A440,"ddd"))</f>
        <v/>
      </c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9" t="n"/>
      <c r="M440" s="39" t="n"/>
      <c r="N440" s="38" t="n"/>
      <c r="O440" s="40">
        <f>IF($Q440=0,"",IF(C440&gt;=C$2,1,0)+IF(D440&gt;=D$2,1,0)+IF(E440&gt;=E$2,1,0)+IF(F440&gt;=F$2,1,0))</f>
        <v/>
      </c>
      <c r="P440" s="41" t="n"/>
      <c r="Q440" s="42">
        <f>IF(COUNT(C440:M440)&gt;0,1,0)</f>
        <v/>
      </c>
      <c r="R440" s="42">
        <f>IF(Q440=0,0,R439+1)</f>
        <v/>
      </c>
      <c r="S440" s="42">
        <f>IF(O440="",0,IF(O440=4,S439+1,0))</f>
        <v/>
      </c>
      <c r="T440" s="43">
        <f>IF(Q440=1,A440,"")</f>
        <v/>
      </c>
    </row>
    <row r="441">
      <c r="A441" s="36">
        <f>A440+1</f>
        <v/>
      </c>
      <c r="B441" s="37">
        <f>IF(A441="","",TEXT(A441,"ddd"))</f>
        <v/>
      </c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9" t="n"/>
      <c r="M441" s="39" t="n"/>
      <c r="N441" s="38" t="n"/>
      <c r="O441" s="40">
        <f>IF($Q441=0,"",IF(C441&gt;=C$2,1,0)+IF(D441&gt;=D$2,1,0)+IF(E441&gt;=E$2,1,0)+IF(F441&gt;=F$2,1,0))</f>
        <v/>
      </c>
      <c r="P441" s="41" t="n"/>
      <c r="Q441" s="42">
        <f>IF(COUNT(C441:M441)&gt;0,1,0)</f>
        <v/>
      </c>
      <c r="R441" s="42">
        <f>IF(Q441=0,0,R440+1)</f>
        <v/>
      </c>
      <c r="S441" s="42">
        <f>IF(O441="",0,IF(O441=4,S440+1,0))</f>
        <v/>
      </c>
      <c r="T441" s="43">
        <f>IF(Q441=1,A441,"")</f>
        <v/>
      </c>
    </row>
    <row r="442">
      <c r="A442" s="36">
        <f>A441+1</f>
        <v/>
      </c>
      <c r="B442" s="37">
        <f>IF(A442="","",TEXT(A442,"ddd"))</f>
        <v/>
      </c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9" t="n"/>
      <c r="M442" s="39" t="n"/>
      <c r="N442" s="38" t="n"/>
      <c r="O442" s="40">
        <f>IF($Q442=0,"",IF(C442&gt;=C$2,1,0)+IF(D442&gt;=D$2,1,0)+IF(E442&gt;=E$2,1,0)+IF(F442&gt;=F$2,1,0))</f>
        <v/>
      </c>
      <c r="P442" s="41" t="n"/>
      <c r="Q442" s="42">
        <f>IF(COUNT(C442:M442)&gt;0,1,0)</f>
        <v/>
      </c>
      <c r="R442" s="42">
        <f>IF(Q442=0,0,R441+1)</f>
        <v/>
      </c>
      <c r="S442" s="42">
        <f>IF(O442="",0,IF(O442=4,S441+1,0))</f>
        <v/>
      </c>
      <c r="T442" s="43">
        <f>IF(Q442=1,A442,"")</f>
        <v/>
      </c>
    </row>
    <row r="443">
      <c r="A443" s="36">
        <f>A442+1</f>
        <v/>
      </c>
      <c r="B443" s="37">
        <f>IF(A443="","",TEXT(A443,"ddd"))</f>
        <v/>
      </c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9" t="n"/>
      <c r="M443" s="39" t="n"/>
      <c r="N443" s="38" t="n"/>
      <c r="O443" s="40">
        <f>IF($Q443=0,"",IF(C443&gt;=C$2,1,0)+IF(D443&gt;=D$2,1,0)+IF(E443&gt;=E$2,1,0)+IF(F443&gt;=F$2,1,0))</f>
        <v/>
      </c>
      <c r="P443" s="41" t="n"/>
      <c r="Q443" s="42">
        <f>IF(COUNT(C443:M443)&gt;0,1,0)</f>
        <v/>
      </c>
      <c r="R443" s="42">
        <f>IF(Q443=0,0,R442+1)</f>
        <v/>
      </c>
      <c r="S443" s="42">
        <f>IF(O443="",0,IF(O443=4,S442+1,0))</f>
        <v/>
      </c>
      <c r="T443" s="43">
        <f>IF(Q443=1,A443,"")</f>
        <v/>
      </c>
    </row>
    <row r="444">
      <c r="A444" s="36">
        <f>A443+1</f>
        <v/>
      </c>
      <c r="B444" s="37">
        <f>IF(A444="","",TEXT(A444,"ddd"))</f>
        <v/>
      </c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9" t="n"/>
      <c r="M444" s="39" t="n"/>
      <c r="N444" s="38" t="n"/>
      <c r="O444" s="40">
        <f>IF($Q444=0,"",IF(C444&gt;=C$2,1,0)+IF(D444&gt;=D$2,1,0)+IF(E444&gt;=E$2,1,0)+IF(F444&gt;=F$2,1,0))</f>
        <v/>
      </c>
      <c r="P444" s="41" t="n"/>
      <c r="Q444" s="42">
        <f>IF(COUNT(C444:M444)&gt;0,1,0)</f>
        <v/>
      </c>
      <c r="R444" s="42">
        <f>IF(Q444=0,0,R443+1)</f>
        <v/>
      </c>
      <c r="S444" s="42">
        <f>IF(O444="",0,IF(O444=4,S443+1,0))</f>
        <v/>
      </c>
      <c r="T444" s="43">
        <f>IF(Q444=1,A444,"")</f>
        <v/>
      </c>
    </row>
    <row r="445">
      <c r="A445" s="36">
        <f>A444+1</f>
        <v/>
      </c>
      <c r="B445" s="37">
        <f>IF(A445="","",TEXT(A445,"ddd"))</f>
        <v/>
      </c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9" t="n"/>
      <c r="M445" s="39" t="n"/>
      <c r="N445" s="38" t="n"/>
      <c r="O445" s="40">
        <f>IF($Q445=0,"",IF(C445&gt;=C$2,1,0)+IF(D445&gt;=D$2,1,0)+IF(E445&gt;=E$2,1,0)+IF(F445&gt;=F$2,1,0))</f>
        <v/>
      </c>
      <c r="P445" s="41" t="n"/>
      <c r="Q445" s="42">
        <f>IF(COUNT(C445:M445)&gt;0,1,0)</f>
        <v/>
      </c>
      <c r="R445" s="42">
        <f>IF(Q445=0,0,R444+1)</f>
        <v/>
      </c>
      <c r="S445" s="42">
        <f>IF(O445="",0,IF(O445=4,S444+1,0))</f>
        <v/>
      </c>
      <c r="T445" s="43">
        <f>IF(Q445=1,A445,"")</f>
        <v/>
      </c>
    </row>
    <row r="446">
      <c r="A446" s="36">
        <f>A445+1</f>
        <v/>
      </c>
      <c r="B446" s="37">
        <f>IF(A446="","",TEXT(A446,"ddd"))</f>
        <v/>
      </c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9" t="n"/>
      <c r="M446" s="39" t="n"/>
      <c r="N446" s="38" t="n"/>
      <c r="O446" s="40">
        <f>IF($Q446=0,"",IF(C446&gt;=C$2,1,0)+IF(D446&gt;=D$2,1,0)+IF(E446&gt;=E$2,1,0)+IF(F446&gt;=F$2,1,0))</f>
        <v/>
      </c>
      <c r="P446" s="41" t="n"/>
      <c r="Q446" s="42">
        <f>IF(COUNT(C446:M446)&gt;0,1,0)</f>
        <v/>
      </c>
      <c r="R446" s="42">
        <f>IF(Q446=0,0,R445+1)</f>
        <v/>
      </c>
      <c r="S446" s="42">
        <f>IF(O446="",0,IF(O446=4,S445+1,0))</f>
        <v/>
      </c>
      <c r="T446" s="43">
        <f>IF(Q446=1,A446,"")</f>
        <v/>
      </c>
    </row>
    <row r="447">
      <c r="A447" s="36">
        <f>A446+1</f>
        <v/>
      </c>
      <c r="B447" s="37">
        <f>IF(A447="","",TEXT(A447,"ddd"))</f>
        <v/>
      </c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9" t="n"/>
      <c r="M447" s="39" t="n"/>
      <c r="N447" s="38" t="n"/>
      <c r="O447" s="40">
        <f>IF($Q447=0,"",IF(C447&gt;=C$2,1,0)+IF(D447&gt;=D$2,1,0)+IF(E447&gt;=E$2,1,0)+IF(F447&gt;=F$2,1,0))</f>
        <v/>
      </c>
      <c r="P447" s="41" t="n"/>
      <c r="Q447" s="42">
        <f>IF(COUNT(C447:M447)&gt;0,1,0)</f>
        <v/>
      </c>
      <c r="R447" s="42">
        <f>IF(Q447=0,0,R446+1)</f>
        <v/>
      </c>
      <c r="S447" s="42">
        <f>IF(O447="",0,IF(O447=4,S446+1,0))</f>
        <v/>
      </c>
      <c r="T447" s="43">
        <f>IF(Q447=1,A447,"")</f>
        <v/>
      </c>
    </row>
    <row r="448">
      <c r="A448" s="36">
        <f>A447+1</f>
        <v/>
      </c>
      <c r="B448" s="37">
        <f>IF(A448="","",TEXT(A448,"ddd"))</f>
        <v/>
      </c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9" t="n"/>
      <c r="M448" s="39" t="n"/>
      <c r="N448" s="38" t="n"/>
      <c r="O448" s="40">
        <f>IF($Q448=0,"",IF(C448&gt;=C$2,1,0)+IF(D448&gt;=D$2,1,0)+IF(E448&gt;=E$2,1,0)+IF(F448&gt;=F$2,1,0))</f>
        <v/>
      </c>
      <c r="P448" s="41" t="n"/>
      <c r="Q448" s="42">
        <f>IF(COUNT(C448:M448)&gt;0,1,0)</f>
        <v/>
      </c>
      <c r="R448" s="42">
        <f>IF(Q448=0,0,R447+1)</f>
        <v/>
      </c>
      <c r="S448" s="42">
        <f>IF(O448="",0,IF(O448=4,S447+1,0))</f>
        <v/>
      </c>
      <c r="T448" s="43">
        <f>IF(Q448=1,A448,"")</f>
        <v/>
      </c>
    </row>
    <row r="449">
      <c r="A449" s="36">
        <f>A448+1</f>
        <v/>
      </c>
      <c r="B449" s="37">
        <f>IF(A449="","",TEXT(A449,"ddd"))</f>
        <v/>
      </c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9" t="n"/>
      <c r="M449" s="39" t="n"/>
      <c r="N449" s="38" t="n"/>
      <c r="O449" s="40">
        <f>IF($Q449=0,"",IF(C449&gt;=C$2,1,0)+IF(D449&gt;=D$2,1,0)+IF(E449&gt;=E$2,1,0)+IF(F449&gt;=F$2,1,0))</f>
        <v/>
      </c>
      <c r="P449" s="41" t="n"/>
      <c r="Q449" s="42">
        <f>IF(COUNT(C449:M449)&gt;0,1,0)</f>
        <v/>
      </c>
      <c r="R449" s="42">
        <f>IF(Q449=0,0,R448+1)</f>
        <v/>
      </c>
      <c r="S449" s="42">
        <f>IF(O449="",0,IF(O449=4,S448+1,0))</f>
        <v/>
      </c>
      <c r="T449" s="43">
        <f>IF(Q449=1,A449,"")</f>
        <v/>
      </c>
    </row>
    <row r="450">
      <c r="A450" s="36">
        <f>A449+1</f>
        <v/>
      </c>
      <c r="B450" s="37">
        <f>IF(A450="","",TEXT(A450,"ddd"))</f>
        <v/>
      </c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9" t="n"/>
      <c r="M450" s="39" t="n"/>
      <c r="N450" s="38" t="n"/>
      <c r="O450" s="40">
        <f>IF($Q450=0,"",IF(C450&gt;=C$2,1,0)+IF(D450&gt;=D$2,1,0)+IF(E450&gt;=E$2,1,0)+IF(F450&gt;=F$2,1,0))</f>
        <v/>
      </c>
      <c r="P450" s="41" t="n"/>
      <c r="Q450" s="42">
        <f>IF(COUNT(C450:M450)&gt;0,1,0)</f>
        <v/>
      </c>
      <c r="R450" s="42">
        <f>IF(Q450=0,0,R449+1)</f>
        <v/>
      </c>
      <c r="S450" s="42">
        <f>IF(O450="",0,IF(O450=4,S449+1,0))</f>
        <v/>
      </c>
      <c r="T450" s="43">
        <f>IF(Q450=1,A450,"")</f>
        <v/>
      </c>
    </row>
    <row r="451">
      <c r="A451" s="36">
        <f>A450+1</f>
        <v/>
      </c>
      <c r="B451" s="37">
        <f>IF(A451="","",TEXT(A451,"ddd"))</f>
        <v/>
      </c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9" t="n"/>
      <c r="M451" s="39" t="n"/>
      <c r="N451" s="38" t="n"/>
      <c r="O451" s="40">
        <f>IF($Q451=0,"",IF(C451&gt;=C$2,1,0)+IF(D451&gt;=D$2,1,0)+IF(E451&gt;=E$2,1,0)+IF(F451&gt;=F$2,1,0))</f>
        <v/>
      </c>
      <c r="P451" s="41" t="n"/>
      <c r="Q451" s="42">
        <f>IF(COUNT(C451:M451)&gt;0,1,0)</f>
        <v/>
      </c>
      <c r="R451" s="42">
        <f>IF(Q451=0,0,R450+1)</f>
        <v/>
      </c>
      <c r="S451" s="42">
        <f>IF(O451="",0,IF(O451=4,S450+1,0))</f>
        <v/>
      </c>
      <c r="T451" s="43">
        <f>IF(Q451=1,A451,"")</f>
        <v/>
      </c>
    </row>
    <row r="452">
      <c r="A452" s="36">
        <f>A451+1</f>
        <v/>
      </c>
      <c r="B452" s="37">
        <f>IF(A452="","",TEXT(A452,"ddd"))</f>
        <v/>
      </c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9" t="n"/>
      <c r="M452" s="39" t="n"/>
      <c r="N452" s="38" t="n"/>
      <c r="O452" s="40">
        <f>IF($Q452=0,"",IF(C452&gt;=C$2,1,0)+IF(D452&gt;=D$2,1,0)+IF(E452&gt;=E$2,1,0)+IF(F452&gt;=F$2,1,0))</f>
        <v/>
      </c>
      <c r="P452" s="41" t="n"/>
      <c r="Q452" s="42">
        <f>IF(COUNT(C452:M452)&gt;0,1,0)</f>
        <v/>
      </c>
      <c r="R452" s="42">
        <f>IF(Q452=0,0,R451+1)</f>
        <v/>
      </c>
      <c r="S452" s="42">
        <f>IF(O452="",0,IF(O452=4,S451+1,0))</f>
        <v/>
      </c>
      <c r="T452" s="43">
        <f>IF(Q452=1,A452,"")</f>
        <v/>
      </c>
    </row>
    <row r="453">
      <c r="A453" s="36">
        <f>A452+1</f>
        <v/>
      </c>
      <c r="B453" s="37">
        <f>IF(A453="","",TEXT(A453,"ddd"))</f>
        <v/>
      </c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9" t="n"/>
      <c r="M453" s="39" t="n"/>
      <c r="N453" s="38" t="n"/>
      <c r="O453" s="40">
        <f>IF($Q453=0,"",IF(C453&gt;=C$2,1,0)+IF(D453&gt;=D$2,1,0)+IF(E453&gt;=E$2,1,0)+IF(F453&gt;=F$2,1,0))</f>
        <v/>
      </c>
      <c r="P453" s="41" t="n"/>
      <c r="Q453" s="42">
        <f>IF(COUNT(C453:M453)&gt;0,1,0)</f>
        <v/>
      </c>
      <c r="R453" s="42">
        <f>IF(Q453=0,0,R452+1)</f>
        <v/>
      </c>
      <c r="S453" s="42">
        <f>IF(O453="",0,IF(O453=4,S452+1,0))</f>
        <v/>
      </c>
      <c r="T453" s="43">
        <f>IF(Q453=1,A453,"")</f>
        <v/>
      </c>
    </row>
    <row r="454">
      <c r="A454" s="36">
        <f>A453+1</f>
        <v/>
      </c>
      <c r="B454" s="37">
        <f>IF(A454="","",TEXT(A454,"ddd"))</f>
        <v/>
      </c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9" t="n"/>
      <c r="M454" s="39" t="n"/>
      <c r="N454" s="38" t="n"/>
      <c r="O454" s="40">
        <f>IF($Q454=0,"",IF(C454&gt;=C$2,1,0)+IF(D454&gt;=D$2,1,0)+IF(E454&gt;=E$2,1,0)+IF(F454&gt;=F$2,1,0))</f>
        <v/>
      </c>
      <c r="P454" s="41" t="n"/>
      <c r="Q454" s="42">
        <f>IF(COUNT(C454:M454)&gt;0,1,0)</f>
        <v/>
      </c>
      <c r="R454" s="42">
        <f>IF(Q454=0,0,R453+1)</f>
        <v/>
      </c>
      <c r="S454" s="42">
        <f>IF(O454="",0,IF(O454=4,S453+1,0))</f>
        <v/>
      </c>
      <c r="T454" s="43">
        <f>IF(Q454=1,A454,"")</f>
        <v/>
      </c>
    </row>
    <row r="455">
      <c r="A455" s="36">
        <f>A454+1</f>
        <v/>
      </c>
      <c r="B455" s="37">
        <f>IF(A455="","",TEXT(A455,"ddd"))</f>
        <v/>
      </c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9" t="n"/>
      <c r="M455" s="39" t="n"/>
      <c r="N455" s="38" t="n"/>
      <c r="O455" s="40">
        <f>IF($Q455=0,"",IF(C455&gt;=C$2,1,0)+IF(D455&gt;=D$2,1,0)+IF(E455&gt;=E$2,1,0)+IF(F455&gt;=F$2,1,0))</f>
        <v/>
      </c>
      <c r="P455" s="41" t="n"/>
      <c r="Q455" s="42">
        <f>IF(COUNT(C455:M455)&gt;0,1,0)</f>
        <v/>
      </c>
      <c r="R455" s="42">
        <f>IF(Q455=0,0,R454+1)</f>
        <v/>
      </c>
      <c r="S455" s="42">
        <f>IF(O455="",0,IF(O455=4,S454+1,0))</f>
        <v/>
      </c>
      <c r="T455" s="43">
        <f>IF(Q455=1,A455,"")</f>
        <v/>
      </c>
    </row>
    <row r="456">
      <c r="A456" s="36">
        <f>A455+1</f>
        <v/>
      </c>
      <c r="B456" s="37">
        <f>IF(A456="","",TEXT(A456,"ddd"))</f>
        <v/>
      </c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9" t="n"/>
      <c r="M456" s="39" t="n"/>
      <c r="N456" s="38" t="n"/>
      <c r="O456" s="40">
        <f>IF($Q456=0,"",IF(C456&gt;=C$2,1,0)+IF(D456&gt;=D$2,1,0)+IF(E456&gt;=E$2,1,0)+IF(F456&gt;=F$2,1,0))</f>
        <v/>
      </c>
      <c r="P456" s="41" t="n"/>
      <c r="Q456" s="42">
        <f>IF(COUNT(C456:M456)&gt;0,1,0)</f>
        <v/>
      </c>
      <c r="R456" s="42">
        <f>IF(Q456=0,0,R455+1)</f>
        <v/>
      </c>
      <c r="S456" s="42">
        <f>IF(O456="",0,IF(O456=4,S455+1,0))</f>
        <v/>
      </c>
      <c r="T456" s="43">
        <f>IF(Q456=1,A456,"")</f>
        <v/>
      </c>
    </row>
    <row r="457">
      <c r="A457" s="36">
        <f>A456+1</f>
        <v/>
      </c>
      <c r="B457" s="37">
        <f>IF(A457="","",TEXT(A457,"ddd"))</f>
        <v/>
      </c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9" t="n"/>
      <c r="M457" s="39" t="n"/>
      <c r="N457" s="38" t="n"/>
      <c r="O457" s="40">
        <f>IF($Q457=0,"",IF(C457&gt;=C$2,1,0)+IF(D457&gt;=D$2,1,0)+IF(E457&gt;=E$2,1,0)+IF(F457&gt;=F$2,1,0))</f>
        <v/>
      </c>
      <c r="P457" s="41" t="n"/>
      <c r="Q457" s="42">
        <f>IF(COUNT(C457:M457)&gt;0,1,0)</f>
        <v/>
      </c>
      <c r="R457" s="42">
        <f>IF(Q457=0,0,R456+1)</f>
        <v/>
      </c>
      <c r="S457" s="42">
        <f>IF(O457="",0,IF(O457=4,S456+1,0))</f>
        <v/>
      </c>
      <c r="T457" s="43">
        <f>IF(Q457=1,A457,"")</f>
        <v/>
      </c>
    </row>
    <row r="458">
      <c r="A458" s="36">
        <f>A457+1</f>
        <v/>
      </c>
      <c r="B458" s="37">
        <f>IF(A458="","",TEXT(A458,"ddd"))</f>
        <v/>
      </c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9" t="n"/>
      <c r="M458" s="39" t="n"/>
      <c r="N458" s="38" t="n"/>
      <c r="O458" s="40">
        <f>IF($Q458=0,"",IF(C458&gt;=C$2,1,0)+IF(D458&gt;=D$2,1,0)+IF(E458&gt;=E$2,1,0)+IF(F458&gt;=F$2,1,0))</f>
        <v/>
      </c>
      <c r="P458" s="41" t="n"/>
      <c r="Q458" s="42">
        <f>IF(COUNT(C458:M458)&gt;0,1,0)</f>
        <v/>
      </c>
      <c r="R458" s="42">
        <f>IF(Q458=0,0,R457+1)</f>
        <v/>
      </c>
      <c r="S458" s="42">
        <f>IF(O458="",0,IF(O458=4,S457+1,0))</f>
        <v/>
      </c>
      <c r="T458" s="43">
        <f>IF(Q458=1,A458,"")</f>
        <v/>
      </c>
    </row>
    <row r="459">
      <c r="A459" s="36">
        <f>A458+1</f>
        <v/>
      </c>
      <c r="B459" s="37">
        <f>IF(A459="","",TEXT(A459,"ddd"))</f>
        <v/>
      </c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9" t="n"/>
      <c r="M459" s="39" t="n"/>
      <c r="N459" s="38" t="n"/>
      <c r="O459" s="40">
        <f>IF($Q459=0,"",IF(C459&gt;=C$2,1,0)+IF(D459&gt;=D$2,1,0)+IF(E459&gt;=E$2,1,0)+IF(F459&gt;=F$2,1,0))</f>
        <v/>
      </c>
      <c r="P459" s="41" t="n"/>
      <c r="Q459" s="42">
        <f>IF(COUNT(C459:M459)&gt;0,1,0)</f>
        <v/>
      </c>
      <c r="R459" s="42">
        <f>IF(Q459=0,0,R458+1)</f>
        <v/>
      </c>
      <c r="S459" s="42">
        <f>IF(O459="",0,IF(O459=4,S458+1,0))</f>
        <v/>
      </c>
      <c r="T459" s="43">
        <f>IF(Q459=1,A459,"")</f>
        <v/>
      </c>
    </row>
    <row r="460">
      <c r="A460" s="36">
        <f>A459+1</f>
        <v/>
      </c>
      <c r="B460" s="37">
        <f>IF(A460="","",TEXT(A460,"ddd"))</f>
        <v/>
      </c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9" t="n"/>
      <c r="M460" s="39" t="n"/>
      <c r="N460" s="38" t="n"/>
      <c r="O460" s="40">
        <f>IF($Q460=0,"",IF(C460&gt;=C$2,1,0)+IF(D460&gt;=D$2,1,0)+IF(E460&gt;=E$2,1,0)+IF(F460&gt;=F$2,1,0))</f>
        <v/>
      </c>
      <c r="P460" s="41" t="n"/>
      <c r="Q460" s="42">
        <f>IF(COUNT(C460:M460)&gt;0,1,0)</f>
        <v/>
      </c>
      <c r="R460" s="42">
        <f>IF(Q460=0,0,R459+1)</f>
        <v/>
      </c>
      <c r="S460" s="42">
        <f>IF(O460="",0,IF(O460=4,S459+1,0))</f>
        <v/>
      </c>
      <c r="T460" s="43">
        <f>IF(Q460=1,A460,"")</f>
        <v/>
      </c>
    </row>
    <row r="461">
      <c r="A461" s="36">
        <f>A460+1</f>
        <v/>
      </c>
      <c r="B461" s="37">
        <f>IF(A461="","",TEXT(A461,"ddd"))</f>
        <v/>
      </c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9" t="n"/>
      <c r="M461" s="39" t="n"/>
      <c r="N461" s="38" t="n"/>
      <c r="O461" s="40">
        <f>IF($Q461=0,"",IF(C461&gt;=C$2,1,0)+IF(D461&gt;=D$2,1,0)+IF(E461&gt;=E$2,1,0)+IF(F461&gt;=F$2,1,0))</f>
        <v/>
      </c>
      <c r="P461" s="41" t="n"/>
      <c r="Q461" s="42">
        <f>IF(COUNT(C461:M461)&gt;0,1,0)</f>
        <v/>
      </c>
      <c r="R461" s="42">
        <f>IF(Q461=0,0,R460+1)</f>
        <v/>
      </c>
      <c r="S461" s="42">
        <f>IF(O461="",0,IF(O461=4,S460+1,0))</f>
        <v/>
      </c>
      <c r="T461" s="43">
        <f>IF(Q461=1,A461,"")</f>
        <v/>
      </c>
    </row>
    <row r="462">
      <c r="A462" s="36">
        <f>A461+1</f>
        <v/>
      </c>
      <c r="B462" s="37">
        <f>IF(A462="","",TEXT(A462,"ddd"))</f>
        <v/>
      </c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9" t="n"/>
      <c r="M462" s="39" t="n"/>
      <c r="N462" s="38" t="n"/>
      <c r="O462" s="40">
        <f>IF($Q462=0,"",IF(C462&gt;=C$2,1,0)+IF(D462&gt;=D$2,1,0)+IF(E462&gt;=E$2,1,0)+IF(F462&gt;=F$2,1,0))</f>
        <v/>
      </c>
      <c r="P462" s="41" t="n"/>
      <c r="Q462" s="42">
        <f>IF(COUNT(C462:M462)&gt;0,1,0)</f>
        <v/>
      </c>
      <c r="R462" s="42">
        <f>IF(Q462=0,0,R461+1)</f>
        <v/>
      </c>
      <c r="S462" s="42">
        <f>IF(O462="",0,IF(O462=4,S461+1,0))</f>
        <v/>
      </c>
      <c r="T462" s="43">
        <f>IF(Q462=1,A462,"")</f>
        <v/>
      </c>
    </row>
    <row r="463">
      <c r="A463" s="36">
        <f>A462+1</f>
        <v/>
      </c>
      <c r="B463" s="37">
        <f>IF(A463="","",TEXT(A463,"ddd"))</f>
        <v/>
      </c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9" t="n"/>
      <c r="M463" s="39" t="n"/>
      <c r="N463" s="38" t="n"/>
      <c r="O463" s="40">
        <f>IF($Q463=0,"",IF(C463&gt;=C$2,1,0)+IF(D463&gt;=D$2,1,0)+IF(E463&gt;=E$2,1,0)+IF(F463&gt;=F$2,1,0))</f>
        <v/>
      </c>
      <c r="P463" s="41" t="n"/>
      <c r="Q463" s="42">
        <f>IF(COUNT(C463:M463)&gt;0,1,0)</f>
        <v/>
      </c>
      <c r="R463" s="42">
        <f>IF(Q463=0,0,R462+1)</f>
        <v/>
      </c>
      <c r="S463" s="42">
        <f>IF(O463="",0,IF(O463=4,S462+1,0))</f>
        <v/>
      </c>
      <c r="T463" s="43">
        <f>IF(Q463=1,A463,"")</f>
        <v/>
      </c>
    </row>
    <row r="464">
      <c r="A464" s="36">
        <f>A463+1</f>
        <v/>
      </c>
      <c r="B464" s="37">
        <f>IF(A464="","",TEXT(A464,"ddd"))</f>
        <v/>
      </c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9" t="n"/>
      <c r="M464" s="39" t="n"/>
      <c r="N464" s="38" t="n"/>
      <c r="O464" s="40">
        <f>IF($Q464=0,"",IF(C464&gt;=C$2,1,0)+IF(D464&gt;=D$2,1,0)+IF(E464&gt;=E$2,1,0)+IF(F464&gt;=F$2,1,0))</f>
        <v/>
      </c>
      <c r="P464" s="41" t="n"/>
      <c r="Q464" s="42">
        <f>IF(COUNT(C464:M464)&gt;0,1,0)</f>
        <v/>
      </c>
      <c r="R464" s="42">
        <f>IF(Q464=0,0,R463+1)</f>
        <v/>
      </c>
      <c r="S464" s="42">
        <f>IF(O464="",0,IF(O464=4,S463+1,0))</f>
        <v/>
      </c>
      <c r="T464" s="43">
        <f>IF(Q464=1,A464,"")</f>
        <v/>
      </c>
    </row>
    <row r="465">
      <c r="A465" s="36">
        <f>A464+1</f>
        <v/>
      </c>
      <c r="B465" s="37">
        <f>IF(A465="","",TEXT(A465,"ddd"))</f>
        <v/>
      </c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9" t="n"/>
      <c r="M465" s="39" t="n"/>
      <c r="N465" s="38" t="n"/>
      <c r="O465" s="40">
        <f>IF($Q465=0,"",IF(C465&gt;=C$2,1,0)+IF(D465&gt;=D$2,1,0)+IF(E465&gt;=E$2,1,0)+IF(F465&gt;=F$2,1,0))</f>
        <v/>
      </c>
      <c r="P465" s="41" t="n"/>
      <c r="Q465" s="42">
        <f>IF(COUNT(C465:M465)&gt;0,1,0)</f>
        <v/>
      </c>
      <c r="R465" s="42">
        <f>IF(Q465=0,0,R464+1)</f>
        <v/>
      </c>
      <c r="S465" s="42">
        <f>IF(O465="",0,IF(O465=4,S464+1,0))</f>
        <v/>
      </c>
      <c r="T465" s="43">
        <f>IF(Q465=1,A465,"")</f>
        <v/>
      </c>
    </row>
    <row r="466">
      <c r="A466" s="36">
        <f>A465+1</f>
        <v/>
      </c>
      <c r="B466" s="37">
        <f>IF(A466="","",TEXT(A466,"ddd"))</f>
        <v/>
      </c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9" t="n"/>
      <c r="M466" s="39" t="n"/>
      <c r="N466" s="38" t="n"/>
      <c r="O466" s="40">
        <f>IF($Q466=0,"",IF(C466&gt;=C$2,1,0)+IF(D466&gt;=D$2,1,0)+IF(E466&gt;=E$2,1,0)+IF(F466&gt;=F$2,1,0))</f>
        <v/>
      </c>
      <c r="P466" s="41" t="n"/>
      <c r="Q466" s="42">
        <f>IF(COUNT(C466:M466)&gt;0,1,0)</f>
        <v/>
      </c>
      <c r="R466" s="42">
        <f>IF(Q466=0,0,R465+1)</f>
        <v/>
      </c>
      <c r="S466" s="42">
        <f>IF(O466="",0,IF(O466=4,S465+1,0))</f>
        <v/>
      </c>
      <c r="T466" s="43">
        <f>IF(Q466=1,A466,"")</f>
        <v/>
      </c>
    </row>
    <row r="467">
      <c r="A467" s="36">
        <f>A466+1</f>
        <v/>
      </c>
      <c r="B467" s="37">
        <f>IF(A467="","",TEXT(A467,"ddd"))</f>
        <v/>
      </c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9" t="n"/>
      <c r="M467" s="39" t="n"/>
      <c r="N467" s="38" t="n"/>
      <c r="O467" s="40">
        <f>IF($Q467=0,"",IF(C467&gt;=C$2,1,0)+IF(D467&gt;=D$2,1,0)+IF(E467&gt;=E$2,1,0)+IF(F467&gt;=F$2,1,0))</f>
        <v/>
      </c>
      <c r="P467" s="41" t="n"/>
      <c r="Q467" s="42">
        <f>IF(COUNT(C467:M467)&gt;0,1,0)</f>
        <v/>
      </c>
      <c r="R467" s="42">
        <f>IF(Q467=0,0,R466+1)</f>
        <v/>
      </c>
      <c r="S467" s="42">
        <f>IF(O467="",0,IF(O467=4,S466+1,0))</f>
        <v/>
      </c>
      <c r="T467" s="43">
        <f>IF(Q467=1,A467,"")</f>
        <v/>
      </c>
    </row>
    <row r="468">
      <c r="A468" s="36">
        <f>A467+1</f>
        <v/>
      </c>
      <c r="B468" s="37">
        <f>IF(A468="","",TEXT(A468,"ddd"))</f>
        <v/>
      </c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9" t="n"/>
      <c r="M468" s="39" t="n"/>
      <c r="N468" s="38" t="n"/>
      <c r="O468" s="40">
        <f>IF($Q468=0,"",IF(C468&gt;=C$2,1,0)+IF(D468&gt;=D$2,1,0)+IF(E468&gt;=E$2,1,0)+IF(F468&gt;=F$2,1,0))</f>
        <v/>
      </c>
      <c r="P468" s="41" t="n"/>
      <c r="Q468" s="42">
        <f>IF(COUNT(C468:M468)&gt;0,1,0)</f>
        <v/>
      </c>
      <c r="R468" s="42">
        <f>IF(Q468=0,0,R467+1)</f>
        <v/>
      </c>
      <c r="S468" s="42">
        <f>IF(O468="",0,IF(O468=4,S467+1,0))</f>
        <v/>
      </c>
      <c r="T468" s="43">
        <f>IF(Q468=1,A468,"")</f>
        <v/>
      </c>
    </row>
    <row r="469">
      <c r="A469" s="36">
        <f>A468+1</f>
        <v/>
      </c>
      <c r="B469" s="37">
        <f>IF(A469="","",TEXT(A469,"ddd"))</f>
        <v/>
      </c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9" t="n"/>
      <c r="M469" s="39" t="n"/>
      <c r="N469" s="38" t="n"/>
      <c r="O469" s="40">
        <f>IF($Q469=0,"",IF(C469&gt;=C$2,1,0)+IF(D469&gt;=D$2,1,0)+IF(E469&gt;=E$2,1,0)+IF(F469&gt;=F$2,1,0))</f>
        <v/>
      </c>
      <c r="P469" s="41" t="n"/>
      <c r="Q469" s="42">
        <f>IF(COUNT(C469:M469)&gt;0,1,0)</f>
        <v/>
      </c>
      <c r="R469" s="42">
        <f>IF(Q469=0,0,R468+1)</f>
        <v/>
      </c>
      <c r="S469" s="42">
        <f>IF(O469="",0,IF(O469=4,S468+1,0))</f>
        <v/>
      </c>
      <c r="T469" s="43">
        <f>IF(Q469=1,A469,"")</f>
        <v/>
      </c>
    </row>
    <row r="470">
      <c r="A470" s="36">
        <f>A469+1</f>
        <v/>
      </c>
      <c r="B470" s="37">
        <f>IF(A470="","",TEXT(A470,"ddd"))</f>
        <v/>
      </c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9" t="n"/>
      <c r="M470" s="39" t="n"/>
      <c r="N470" s="38" t="n"/>
      <c r="O470" s="40">
        <f>IF($Q470=0,"",IF(C470&gt;=C$2,1,0)+IF(D470&gt;=D$2,1,0)+IF(E470&gt;=E$2,1,0)+IF(F470&gt;=F$2,1,0))</f>
        <v/>
      </c>
      <c r="P470" s="41" t="n"/>
      <c r="Q470" s="42">
        <f>IF(COUNT(C470:M470)&gt;0,1,0)</f>
        <v/>
      </c>
      <c r="R470" s="42">
        <f>IF(Q470=0,0,R469+1)</f>
        <v/>
      </c>
      <c r="S470" s="42">
        <f>IF(O470="",0,IF(O470=4,S469+1,0))</f>
        <v/>
      </c>
      <c r="T470" s="43">
        <f>IF(Q470=1,A470,"")</f>
        <v/>
      </c>
    </row>
    <row r="471">
      <c r="A471" s="36">
        <f>A470+1</f>
        <v/>
      </c>
      <c r="B471" s="37">
        <f>IF(A471="","",TEXT(A471,"ddd"))</f>
        <v/>
      </c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9" t="n"/>
      <c r="M471" s="39" t="n"/>
      <c r="N471" s="38" t="n"/>
      <c r="O471" s="40">
        <f>IF($Q471=0,"",IF(C471&gt;=C$2,1,0)+IF(D471&gt;=D$2,1,0)+IF(E471&gt;=E$2,1,0)+IF(F471&gt;=F$2,1,0))</f>
        <v/>
      </c>
      <c r="P471" s="41" t="n"/>
      <c r="Q471" s="42">
        <f>IF(COUNT(C471:M471)&gt;0,1,0)</f>
        <v/>
      </c>
      <c r="R471" s="42">
        <f>IF(Q471=0,0,R470+1)</f>
        <v/>
      </c>
      <c r="S471" s="42">
        <f>IF(O471="",0,IF(O471=4,S470+1,0))</f>
        <v/>
      </c>
      <c r="T471" s="43">
        <f>IF(Q471=1,A471,"")</f>
        <v/>
      </c>
    </row>
    <row r="472">
      <c r="A472" s="36">
        <f>A471+1</f>
        <v/>
      </c>
      <c r="B472" s="37">
        <f>IF(A472="","",TEXT(A472,"ddd"))</f>
        <v/>
      </c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9" t="n"/>
      <c r="M472" s="39" t="n"/>
      <c r="N472" s="38" t="n"/>
      <c r="O472" s="40">
        <f>IF($Q472=0,"",IF(C472&gt;=C$2,1,0)+IF(D472&gt;=D$2,1,0)+IF(E472&gt;=E$2,1,0)+IF(F472&gt;=F$2,1,0))</f>
        <v/>
      </c>
      <c r="P472" s="41" t="n"/>
      <c r="Q472" s="42">
        <f>IF(COUNT(C472:M472)&gt;0,1,0)</f>
        <v/>
      </c>
      <c r="R472" s="42">
        <f>IF(Q472=0,0,R471+1)</f>
        <v/>
      </c>
      <c r="S472" s="42">
        <f>IF(O472="",0,IF(O472=4,S471+1,0))</f>
        <v/>
      </c>
      <c r="T472" s="43">
        <f>IF(Q472=1,A472,"")</f>
        <v/>
      </c>
    </row>
    <row r="473">
      <c r="A473" s="36">
        <f>A472+1</f>
        <v/>
      </c>
      <c r="B473" s="37">
        <f>IF(A473="","",TEXT(A473,"ddd"))</f>
        <v/>
      </c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9" t="n"/>
      <c r="M473" s="39" t="n"/>
      <c r="N473" s="38" t="n"/>
      <c r="O473" s="40">
        <f>IF($Q473=0,"",IF(C473&gt;=C$2,1,0)+IF(D473&gt;=D$2,1,0)+IF(E473&gt;=E$2,1,0)+IF(F473&gt;=F$2,1,0))</f>
        <v/>
      </c>
      <c r="P473" s="41" t="n"/>
      <c r="Q473" s="42">
        <f>IF(COUNT(C473:M473)&gt;0,1,0)</f>
        <v/>
      </c>
      <c r="R473" s="42">
        <f>IF(Q473=0,0,R472+1)</f>
        <v/>
      </c>
      <c r="S473" s="42">
        <f>IF(O473="",0,IF(O473=4,S472+1,0))</f>
        <v/>
      </c>
      <c r="T473" s="43">
        <f>IF(Q473=1,A473,"")</f>
        <v/>
      </c>
    </row>
    <row r="474">
      <c r="A474" s="36">
        <f>A473+1</f>
        <v/>
      </c>
      <c r="B474" s="37">
        <f>IF(A474="","",TEXT(A474,"ddd"))</f>
        <v/>
      </c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9" t="n"/>
      <c r="M474" s="39" t="n"/>
      <c r="N474" s="38" t="n"/>
      <c r="O474" s="40">
        <f>IF($Q474=0,"",IF(C474&gt;=C$2,1,0)+IF(D474&gt;=D$2,1,0)+IF(E474&gt;=E$2,1,0)+IF(F474&gt;=F$2,1,0))</f>
        <v/>
      </c>
      <c r="P474" s="41" t="n"/>
      <c r="Q474" s="42">
        <f>IF(COUNT(C474:M474)&gt;0,1,0)</f>
        <v/>
      </c>
      <c r="R474" s="42">
        <f>IF(Q474=0,0,R473+1)</f>
        <v/>
      </c>
      <c r="S474" s="42">
        <f>IF(O474="",0,IF(O474=4,S473+1,0))</f>
        <v/>
      </c>
      <c r="T474" s="43">
        <f>IF(Q474=1,A474,"")</f>
        <v/>
      </c>
    </row>
    <row r="475">
      <c r="A475" s="36">
        <f>A474+1</f>
        <v/>
      </c>
      <c r="B475" s="37">
        <f>IF(A475="","",TEXT(A475,"ddd"))</f>
        <v/>
      </c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9" t="n"/>
      <c r="M475" s="39" t="n"/>
      <c r="N475" s="38" t="n"/>
      <c r="O475" s="40">
        <f>IF($Q475=0,"",IF(C475&gt;=C$2,1,0)+IF(D475&gt;=D$2,1,0)+IF(E475&gt;=E$2,1,0)+IF(F475&gt;=F$2,1,0))</f>
        <v/>
      </c>
      <c r="P475" s="41" t="n"/>
      <c r="Q475" s="42">
        <f>IF(COUNT(C475:M475)&gt;0,1,0)</f>
        <v/>
      </c>
      <c r="R475" s="42">
        <f>IF(Q475=0,0,R474+1)</f>
        <v/>
      </c>
      <c r="S475" s="42">
        <f>IF(O475="",0,IF(O475=4,S474+1,0))</f>
        <v/>
      </c>
      <c r="T475" s="43">
        <f>IF(Q475=1,A475,"")</f>
        <v/>
      </c>
    </row>
    <row r="476">
      <c r="A476" s="36">
        <f>A475+1</f>
        <v/>
      </c>
      <c r="B476" s="37">
        <f>IF(A476="","",TEXT(A476,"ddd"))</f>
        <v/>
      </c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9" t="n"/>
      <c r="M476" s="39" t="n"/>
      <c r="N476" s="38" t="n"/>
      <c r="O476" s="40">
        <f>IF($Q476=0,"",IF(C476&gt;=C$2,1,0)+IF(D476&gt;=D$2,1,0)+IF(E476&gt;=E$2,1,0)+IF(F476&gt;=F$2,1,0))</f>
        <v/>
      </c>
      <c r="P476" s="41" t="n"/>
      <c r="Q476" s="42">
        <f>IF(COUNT(C476:M476)&gt;0,1,0)</f>
        <v/>
      </c>
      <c r="R476" s="42">
        <f>IF(Q476=0,0,R475+1)</f>
        <v/>
      </c>
      <c r="S476" s="42">
        <f>IF(O476="",0,IF(O476=4,S475+1,0))</f>
        <v/>
      </c>
      <c r="T476" s="43">
        <f>IF(Q476=1,A476,"")</f>
        <v/>
      </c>
    </row>
    <row r="477">
      <c r="A477" s="36">
        <f>A476+1</f>
        <v/>
      </c>
      <c r="B477" s="37">
        <f>IF(A477="","",TEXT(A477,"ddd"))</f>
        <v/>
      </c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9" t="n"/>
      <c r="M477" s="39" t="n"/>
      <c r="N477" s="38" t="n"/>
      <c r="O477" s="40">
        <f>IF($Q477=0,"",IF(C477&gt;=C$2,1,0)+IF(D477&gt;=D$2,1,0)+IF(E477&gt;=E$2,1,0)+IF(F477&gt;=F$2,1,0))</f>
        <v/>
      </c>
      <c r="P477" s="41" t="n"/>
      <c r="Q477" s="42">
        <f>IF(COUNT(C477:M477)&gt;0,1,0)</f>
        <v/>
      </c>
      <c r="R477" s="42">
        <f>IF(Q477=0,0,R476+1)</f>
        <v/>
      </c>
      <c r="S477" s="42">
        <f>IF(O477="",0,IF(O477=4,S476+1,0))</f>
        <v/>
      </c>
      <c r="T477" s="43">
        <f>IF(Q477=1,A477,"")</f>
        <v/>
      </c>
    </row>
    <row r="478">
      <c r="A478" s="36">
        <f>A477+1</f>
        <v/>
      </c>
      <c r="B478" s="37">
        <f>IF(A478="","",TEXT(A478,"ddd"))</f>
        <v/>
      </c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9" t="n"/>
      <c r="M478" s="39" t="n"/>
      <c r="N478" s="38" t="n"/>
      <c r="O478" s="40">
        <f>IF($Q478=0,"",IF(C478&gt;=C$2,1,0)+IF(D478&gt;=D$2,1,0)+IF(E478&gt;=E$2,1,0)+IF(F478&gt;=F$2,1,0))</f>
        <v/>
      </c>
      <c r="P478" s="41" t="n"/>
      <c r="Q478" s="42">
        <f>IF(COUNT(C478:M478)&gt;0,1,0)</f>
        <v/>
      </c>
      <c r="R478" s="42">
        <f>IF(Q478=0,0,R477+1)</f>
        <v/>
      </c>
      <c r="S478" s="42">
        <f>IF(O478="",0,IF(O478=4,S477+1,0))</f>
        <v/>
      </c>
      <c r="T478" s="43">
        <f>IF(Q478=1,A478,"")</f>
        <v/>
      </c>
    </row>
    <row r="479">
      <c r="A479" s="36">
        <f>A478+1</f>
        <v/>
      </c>
      <c r="B479" s="37">
        <f>IF(A479="","",TEXT(A479,"ddd"))</f>
        <v/>
      </c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9" t="n"/>
      <c r="M479" s="39" t="n"/>
      <c r="N479" s="38" t="n"/>
      <c r="O479" s="40">
        <f>IF($Q479=0,"",IF(C479&gt;=C$2,1,0)+IF(D479&gt;=D$2,1,0)+IF(E479&gt;=E$2,1,0)+IF(F479&gt;=F$2,1,0))</f>
        <v/>
      </c>
      <c r="P479" s="41" t="n"/>
      <c r="Q479" s="42">
        <f>IF(COUNT(C479:M479)&gt;0,1,0)</f>
        <v/>
      </c>
      <c r="R479" s="42">
        <f>IF(Q479=0,0,R478+1)</f>
        <v/>
      </c>
      <c r="S479" s="42">
        <f>IF(O479="",0,IF(O479=4,S478+1,0))</f>
        <v/>
      </c>
      <c r="T479" s="43">
        <f>IF(Q479=1,A479,"")</f>
        <v/>
      </c>
    </row>
    <row r="480">
      <c r="A480" s="36">
        <f>A479+1</f>
        <v/>
      </c>
      <c r="B480" s="37">
        <f>IF(A480="","",TEXT(A480,"ddd"))</f>
        <v/>
      </c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9" t="n"/>
      <c r="M480" s="39" t="n"/>
      <c r="N480" s="38" t="n"/>
      <c r="O480" s="40">
        <f>IF($Q480=0,"",IF(C480&gt;=C$2,1,0)+IF(D480&gt;=D$2,1,0)+IF(E480&gt;=E$2,1,0)+IF(F480&gt;=F$2,1,0))</f>
        <v/>
      </c>
      <c r="P480" s="41" t="n"/>
      <c r="Q480" s="42">
        <f>IF(COUNT(C480:M480)&gt;0,1,0)</f>
        <v/>
      </c>
      <c r="R480" s="42">
        <f>IF(Q480=0,0,R479+1)</f>
        <v/>
      </c>
      <c r="S480" s="42">
        <f>IF(O480="",0,IF(O480=4,S479+1,0))</f>
        <v/>
      </c>
      <c r="T480" s="43">
        <f>IF(Q480=1,A480,"")</f>
        <v/>
      </c>
    </row>
    <row r="481">
      <c r="A481" s="36">
        <f>A480+1</f>
        <v/>
      </c>
      <c r="B481" s="37">
        <f>IF(A481="","",TEXT(A481,"ddd"))</f>
        <v/>
      </c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9" t="n"/>
      <c r="M481" s="39" t="n"/>
      <c r="N481" s="38" t="n"/>
      <c r="O481" s="40">
        <f>IF($Q481=0,"",IF(C481&gt;=C$2,1,0)+IF(D481&gt;=D$2,1,0)+IF(E481&gt;=E$2,1,0)+IF(F481&gt;=F$2,1,0))</f>
        <v/>
      </c>
      <c r="P481" s="41" t="n"/>
      <c r="Q481" s="42">
        <f>IF(COUNT(C481:M481)&gt;0,1,0)</f>
        <v/>
      </c>
      <c r="R481" s="42">
        <f>IF(Q481=0,0,R480+1)</f>
        <v/>
      </c>
      <c r="S481" s="42">
        <f>IF(O481="",0,IF(O481=4,S480+1,0))</f>
        <v/>
      </c>
      <c r="T481" s="43">
        <f>IF(Q481=1,A481,"")</f>
        <v/>
      </c>
    </row>
    <row r="482">
      <c r="A482" s="36">
        <f>A481+1</f>
        <v/>
      </c>
      <c r="B482" s="37">
        <f>IF(A482="","",TEXT(A482,"ddd"))</f>
        <v/>
      </c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9" t="n"/>
      <c r="M482" s="39" t="n"/>
      <c r="N482" s="38" t="n"/>
      <c r="O482" s="40">
        <f>IF($Q482=0,"",IF(C482&gt;=C$2,1,0)+IF(D482&gt;=D$2,1,0)+IF(E482&gt;=E$2,1,0)+IF(F482&gt;=F$2,1,0))</f>
        <v/>
      </c>
      <c r="P482" s="41" t="n"/>
      <c r="Q482" s="42">
        <f>IF(COUNT(C482:M482)&gt;0,1,0)</f>
        <v/>
      </c>
      <c r="R482" s="42">
        <f>IF(Q482=0,0,R481+1)</f>
        <v/>
      </c>
      <c r="S482" s="42">
        <f>IF(O482="",0,IF(O482=4,S481+1,0))</f>
        <v/>
      </c>
      <c r="T482" s="43">
        <f>IF(Q482=1,A482,"")</f>
        <v/>
      </c>
    </row>
    <row r="483">
      <c r="A483" s="36">
        <f>A482+1</f>
        <v/>
      </c>
      <c r="B483" s="37">
        <f>IF(A483="","",TEXT(A483,"ddd"))</f>
        <v/>
      </c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9" t="n"/>
      <c r="M483" s="39" t="n"/>
      <c r="N483" s="38" t="n"/>
      <c r="O483" s="40">
        <f>IF($Q483=0,"",IF(C483&gt;=C$2,1,0)+IF(D483&gt;=D$2,1,0)+IF(E483&gt;=E$2,1,0)+IF(F483&gt;=F$2,1,0))</f>
        <v/>
      </c>
      <c r="P483" s="41" t="n"/>
      <c r="Q483" s="42">
        <f>IF(COUNT(C483:M483)&gt;0,1,0)</f>
        <v/>
      </c>
      <c r="R483" s="42">
        <f>IF(Q483=0,0,R482+1)</f>
        <v/>
      </c>
      <c r="S483" s="42">
        <f>IF(O483="",0,IF(O483=4,S482+1,0))</f>
        <v/>
      </c>
      <c r="T483" s="43">
        <f>IF(Q483=1,A483,"")</f>
        <v/>
      </c>
    </row>
    <row r="484">
      <c r="A484" s="36">
        <f>A483+1</f>
        <v/>
      </c>
      <c r="B484" s="37">
        <f>IF(A484="","",TEXT(A484,"ddd"))</f>
        <v/>
      </c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9" t="n"/>
      <c r="M484" s="39" t="n"/>
      <c r="N484" s="38" t="n"/>
      <c r="O484" s="40">
        <f>IF($Q484=0,"",IF(C484&gt;=C$2,1,0)+IF(D484&gt;=D$2,1,0)+IF(E484&gt;=E$2,1,0)+IF(F484&gt;=F$2,1,0))</f>
        <v/>
      </c>
      <c r="P484" s="41" t="n"/>
      <c r="Q484" s="42">
        <f>IF(COUNT(C484:M484)&gt;0,1,0)</f>
        <v/>
      </c>
      <c r="R484" s="42">
        <f>IF(Q484=0,0,R483+1)</f>
        <v/>
      </c>
      <c r="S484" s="42">
        <f>IF(O484="",0,IF(O484=4,S483+1,0))</f>
        <v/>
      </c>
      <c r="T484" s="43">
        <f>IF(Q484=1,A484,"")</f>
        <v/>
      </c>
    </row>
    <row r="485">
      <c r="A485" s="36">
        <f>A484+1</f>
        <v/>
      </c>
      <c r="B485" s="37">
        <f>IF(A485="","",TEXT(A485,"ddd"))</f>
        <v/>
      </c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9" t="n"/>
      <c r="M485" s="39" t="n"/>
      <c r="N485" s="38" t="n"/>
      <c r="O485" s="40">
        <f>IF($Q485=0,"",IF(C485&gt;=C$2,1,0)+IF(D485&gt;=D$2,1,0)+IF(E485&gt;=E$2,1,0)+IF(F485&gt;=F$2,1,0))</f>
        <v/>
      </c>
      <c r="P485" s="41" t="n"/>
      <c r="Q485" s="42">
        <f>IF(COUNT(C485:M485)&gt;0,1,0)</f>
        <v/>
      </c>
      <c r="R485" s="42">
        <f>IF(Q485=0,0,R484+1)</f>
        <v/>
      </c>
      <c r="S485" s="42">
        <f>IF(O485="",0,IF(O485=4,S484+1,0))</f>
        <v/>
      </c>
      <c r="T485" s="43">
        <f>IF(Q485=1,A485,"")</f>
        <v/>
      </c>
    </row>
    <row r="486">
      <c r="A486" s="36">
        <f>A485+1</f>
        <v/>
      </c>
      <c r="B486" s="37">
        <f>IF(A486="","",TEXT(A486,"ddd"))</f>
        <v/>
      </c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9" t="n"/>
      <c r="M486" s="39" t="n"/>
      <c r="N486" s="38" t="n"/>
      <c r="O486" s="40">
        <f>IF($Q486=0,"",IF(C486&gt;=C$2,1,0)+IF(D486&gt;=D$2,1,0)+IF(E486&gt;=E$2,1,0)+IF(F486&gt;=F$2,1,0))</f>
        <v/>
      </c>
      <c r="P486" s="41" t="n"/>
      <c r="Q486" s="42">
        <f>IF(COUNT(C486:M486)&gt;0,1,0)</f>
        <v/>
      </c>
      <c r="R486" s="42">
        <f>IF(Q486=0,0,R485+1)</f>
        <v/>
      </c>
      <c r="S486" s="42">
        <f>IF(O486="",0,IF(O486=4,S485+1,0))</f>
        <v/>
      </c>
      <c r="T486" s="43">
        <f>IF(Q486=1,A486,"")</f>
        <v/>
      </c>
    </row>
    <row r="487">
      <c r="A487" s="36">
        <f>A486+1</f>
        <v/>
      </c>
      <c r="B487" s="37">
        <f>IF(A487="","",TEXT(A487,"ddd"))</f>
        <v/>
      </c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9" t="n"/>
      <c r="M487" s="39" t="n"/>
      <c r="N487" s="38" t="n"/>
      <c r="O487" s="40">
        <f>IF($Q487=0,"",IF(C487&gt;=C$2,1,0)+IF(D487&gt;=D$2,1,0)+IF(E487&gt;=E$2,1,0)+IF(F487&gt;=F$2,1,0))</f>
        <v/>
      </c>
      <c r="P487" s="41" t="n"/>
      <c r="Q487" s="42">
        <f>IF(COUNT(C487:M487)&gt;0,1,0)</f>
        <v/>
      </c>
      <c r="R487" s="42">
        <f>IF(Q487=0,0,R486+1)</f>
        <v/>
      </c>
      <c r="S487" s="42">
        <f>IF(O487="",0,IF(O487=4,S486+1,0))</f>
        <v/>
      </c>
      <c r="T487" s="43">
        <f>IF(Q487=1,A487,"")</f>
        <v/>
      </c>
    </row>
    <row r="488">
      <c r="A488" s="36">
        <f>A487+1</f>
        <v/>
      </c>
      <c r="B488" s="37">
        <f>IF(A488="","",TEXT(A488,"ddd"))</f>
        <v/>
      </c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9" t="n"/>
      <c r="M488" s="39" t="n"/>
      <c r="N488" s="38" t="n"/>
      <c r="O488" s="40">
        <f>IF($Q488=0,"",IF(C488&gt;=C$2,1,0)+IF(D488&gt;=D$2,1,0)+IF(E488&gt;=E$2,1,0)+IF(F488&gt;=F$2,1,0))</f>
        <v/>
      </c>
      <c r="P488" s="41" t="n"/>
      <c r="Q488" s="42">
        <f>IF(COUNT(C488:M488)&gt;0,1,0)</f>
        <v/>
      </c>
      <c r="R488" s="42">
        <f>IF(Q488=0,0,R487+1)</f>
        <v/>
      </c>
      <c r="S488" s="42">
        <f>IF(O488="",0,IF(O488=4,S487+1,0))</f>
        <v/>
      </c>
      <c r="T488" s="43">
        <f>IF(Q488=1,A488,"")</f>
        <v/>
      </c>
    </row>
    <row r="489">
      <c r="A489" s="36">
        <f>A488+1</f>
        <v/>
      </c>
      <c r="B489" s="37">
        <f>IF(A489="","",TEXT(A489,"ddd"))</f>
        <v/>
      </c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9" t="n"/>
      <c r="M489" s="39" t="n"/>
      <c r="N489" s="38" t="n"/>
      <c r="O489" s="40">
        <f>IF($Q489=0,"",IF(C489&gt;=C$2,1,0)+IF(D489&gt;=D$2,1,0)+IF(E489&gt;=E$2,1,0)+IF(F489&gt;=F$2,1,0))</f>
        <v/>
      </c>
      <c r="P489" s="41" t="n"/>
      <c r="Q489" s="42">
        <f>IF(COUNT(C489:M489)&gt;0,1,0)</f>
        <v/>
      </c>
      <c r="R489" s="42">
        <f>IF(Q489=0,0,R488+1)</f>
        <v/>
      </c>
      <c r="S489" s="42">
        <f>IF(O489="",0,IF(O489=4,S488+1,0))</f>
        <v/>
      </c>
      <c r="T489" s="43">
        <f>IF(Q489=1,A489,"")</f>
        <v/>
      </c>
    </row>
    <row r="490">
      <c r="A490" s="36">
        <f>A489+1</f>
        <v/>
      </c>
      <c r="B490" s="37">
        <f>IF(A490="","",TEXT(A490,"ddd"))</f>
        <v/>
      </c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9" t="n"/>
      <c r="M490" s="39" t="n"/>
      <c r="N490" s="38" t="n"/>
      <c r="O490" s="40">
        <f>IF($Q490=0,"",IF(C490&gt;=C$2,1,0)+IF(D490&gt;=D$2,1,0)+IF(E490&gt;=E$2,1,0)+IF(F490&gt;=F$2,1,0))</f>
        <v/>
      </c>
      <c r="P490" s="41" t="n"/>
      <c r="Q490" s="42">
        <f>IF(COUNT(C490:M490)&gt;0,1,0)</f>
        <v/>
      </c>
      <c r="R490" s="42">
        <f>IF(Q490=0,0,R489+1)</f>
        <v/>
      </c>
      <c r="S490" s="42">
        <f>IF(O490="",0,IF(O490=4,S489+1,0))</f>
        <v/>
      </c>
      <c r="T490" s="43">
        <f>IF(Q490=1,A490,"")</f>
        <v/>
      </c>
    </row>
    <row r="491">
      <c r="A491" s="36">
        <f>A490+1</f>
        <v/>
      </c>
      <c r="B491" s="37">
        <f>IF(A491="","",TEXT(A491,"ddd"))</f>
        <v/>
      </c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9" t="n"/>
      <c r="M491" s="39" t="n"/>
      <c r="N491" s="38" t="n"/>
      <c r="O491" s="40">
        <f>IF($Q491=0,"",IF(C491&gt;=C$2,1,0)+IF(D491&gt;=D$2,1,0)+IF(E491&gt;=E$2,1,0)+IF(F491&gt;=F$2,1,0))</f>
        <v/>
      </c>
      <c r="P491" s="41" t="n"/>
      <c r="Q491" s="42">
        <f>IF(COUNT(C491:M491)&gt;0,1,0)</f>
        <v/>
      </c>
      <c r="R491" s="42">
        <f>IF(Q491=0,0,R490+1)</f>
        <v/>
      </c>
      <c r="S491" s="42">
        <f>IF(O491="",0,IF(O491=4,S490+1,0))</f>
        <v/>
      </c>
      <c r="T491" s="43">
        <f>IF(Q491=1,A491,"")</f>
        <v/>
      </c>
    </row>
    <row r="492">
      <c r="A492" s="36">
        <f>A491+1</f>
        <v/>
      </c>
      <c r="B492" s="37">
        <f>IF(A492="","",TEXT(A492,"ddd"))</f>
        <v/>
      </c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9" t="n"/>
      <c r="M492" s="39" t="n"/>
      <c r="N492" s="38" t="n"/>
      <c r="O492" s="40">
        <f>IF($Q492=0,"",IF(C492&gt;=C$2,1,0)+IF(D492&gt;=D$2,1,0)+IF(E492&gt;=E$2,1,0)+IF(F492&gt;=F$2,1,0))</f>
        <v/>
      </c>
      <c r="P492" s="41" t="n"/>
      <c r="Q492" s="42">
        <f>IF(COUNT(C492:M492)&gt;0,1,0)</f>
        <v/>
      </c>
      <c r="R492" s="42">
        <f>IF(Q492=0,0,R491+1)</f>
        <v/>
      </c>
      <c r="S492" s="42">
        <f>IF(O492="",0,IF(O492=4,S491+1,0))</f>
        <v/>
      </c>
      <c r="T492" s="43">
        <f>IF(Q492=1,A492,"")</f>
        <v/>
      </c>
    </row>
    <row r="493">
      <c r="A493" s="36">
        <f>A492+1</f>
        <v/>
      </c>
      <c r="B493" s="37">
        <f>IF(A493="","",TEXT(A493,"ddd"))</f>
        <v/>
      </c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9" t="n"/>
      <c r="M493" s="39" t="n"/>
      <c r="N493" s="38" t="n"/>
      <c r="O493" s="40">
        <f>IF($Q493=0,"",IF(C493&gt;=C$2,1,0)+IF(D493&gt;=D$2,1,0)+IF(E493&gt;=E$2,1,0)+IF(F493&gt;=F$2,1,0))</f>
        <v/>
      </c>
      <c r="P493" s="41" t="n"/>
      <c r="Q493" s="42">
        <f>IF(COUNT(C493:M493)&gt;0,1,0)</f>
        <v/>
      </c>
      <c r="R493" s="42">
        <f>IF(Q493=0,0,R492+1)</f>
        <v/>
      </c>
      <c r="S493" s="42">
        <f>IF(O493="",0,IF(O493=4,S492+1,0))</f>
        <v/>
      </c>
      <c r="T493" s="43">
        <f>IF(Q493=1,A493,"")</f>
        <v/>
      </c>
    </row>
    <row r="494">
      <c r="A494" s="36">
        <f>A493+1</f>
        <v/>
      </c>
      <c r="B494" s="37">
        <f>IF(A494="","",TEXT(A494,"ddd"))</f>
        <v/>
      </c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9" t="n"/>
      <c r="M494" s="39" t="n"/>
      <c r="N494" s="38" t="n"/>
      <c r="O494" s="40">
        <f>IF($Q494=0,"",IF(C494&gt;=C$2,1,0)+IF(D494&gt;=D$2,1,0)+IF(E494&gt;=E$2,1,0)+IF(F494&gt;=F$2,1,0))</f>
        <v/>
      </c>
      <c r="P494" s="41" t="n"/>
      <c r="Q494" s="42">
        <f>IF(COUNT(C494:M494)&gt;0,1,0)</f>
        <v/>
      </c>
      <c r="R494" s="42">
        <f>IF(Q494=0,0,R493+1)</f>
        <v/>
      </c>
      <c r="S494" s="42">
        <f>IF(O494="",0,IF(O494=4,S493+1,0))</f>
        <v/>
      </c>
      <c r="T494" s="43">
        <f>IF(Q494=1,A494,"")</f>
        <v/>
      </c>
    </row>
    <row r="495">
      <c r="A495" s="36">
        <f>A494+1</f>
        <v/>
      </c>
      <c r="B495" s="37">
        <f>IF(A495="","",TEXT(A495,"ddd"))</f>
        <v/>
      </c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9" t="n"/>
      <c r="M495" s="39" t="n"/>
      <c r="N495" s="38" t="n"/>
      <c r="O495" s="40">
        <f>IF($Q495=0,"",IF(C495&gt;=C$2,1,0)+IF(D495&gt;=D$2,1,0)+IF(E495&gt;=E$2,1,0)+IF(F495&gt;=F$2,1,0))</f>
        <v/>
      </c>
      <c r="P495" s="41" t="n"/>
      <c r="Q495" s="42">
        <f>IF(COUNT(C495:M495)&gt;0,1,0)</f>
        <v/>
      </c>
      <c r="R495" s="42">
        <f>IF(Q495=0,0,R494+1)</f>
        <v/>
      </c>
      <c r="S495" s="42">
        <f>IF(O495="",0,IF(O495=4,S494+1,0))</f>
        <v/>
      </c>
      <c r="T495" s="43">
        <f>IF(Q495=1,A495,"")</f>
        <v/>
      </c>
    </row>
    <row r="496">
      <c r="A496" s="36">
        <f>A495+1</f>
        <v/>
      </c>
      <c r="B496" s="37">
        <f>IF(A496="","",TEXT(A496,"ddd"))</f>
        <v/>
      </c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9" t="n"/>
      <c r="M496" s="39" t="n"/>
      <c r="N496" s="38" t="n"/>
      <c r="O496" s="40">
        <f>IF($Q496=0,"",IF(C496&gt;=C$2,1,0)+IF(D496&gt;=D$2,1,0)+IF(E496&gt;=E$2,1,0)+IF(F496&gt;=F$2,1,0))</f>
        <v/>
      </c>
      <c r="P496" s="41" t="n"/>
      <c r="Q496" s="42">
        <f>IF(COUNT(C496:M496)&gt;0,1,0)</f>
        <v/>
      </c>
      <c r="R496" s="42">
        <f>IF(Q496=0,0,R495+1)</f>
        <v/>
      </c>
      <c r="S496" s="42">
        <f>IF(O496="",0,IF(O496=4,S495+1,0))</f>
        <v/>
      </c>
      <c r="T496" s="43">
        <f>IF(Q496=1,A496,"")</f>
        <v/>
      </c>
    </row>
    <row r="497">
      <c r="A497" s="36">
        <f>A496+1</f>
        <v/>
      </c>
      <c r="B497" s="37">
        <f>IF(A497="","",TEXT(A497,"ddd"))</f>
        <v/>
      </c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9" t="n"/>
      <c r="M497" s="39" t="n"/>
      <c r="N497" s="38" t="n"/>
      <c r="O497" s="40">
        <f>IF($Q497=0,"",IF(C497&gt;=C$2,1,0)+IF(D497&gt;=D$2,1,0)+IF(E497&gt;=E$2,1,0)+IF(F497&gt;=F$2,1,0))</f>
        <v/>
      </c>
      <c r="P497" s="41" t="n"/>
      <c r="Q497" s="42">
        <f>IF(COUNT(C497:M497)&gt;0,1,0)</f>
        <v/>
      </c>
      <c r="R497" s="42">
        <f>IF(Q497=0,0,R496+1)</f>
        <v/>
      </c>
      <c r="S497" s="42">
        <f>IF(O497="",0,IF(O497=4,S496+1,0))</f>
        <v/>
      </c>
      <c r="T497" s="43">
        <f>IF(Q497=1,A497,"")</f>
        <v/>
      </c>
    </row>
    <row r="498">
      <c r="A498" s="36">
        <f>A497+1</f>
        <v/>
      </c>
      <c r="B498" s="37">
        <f>IF(A498="","",TEXT(A498,"ddd"))</f>
        <v/>
      </c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9" t="n"/>
      <c r="M498" s="39" t="n"/>
      <c r="N498" s="38" t="n"/>
      <c r="O498" s="40">
        <f>IF($Q498=0,"",IF(C498&gt;=C$2,1,0)+IF(D498&gt;=D$2,1,0)+IF(E498&gt;=E$2,1,0)+IF(F498&gt;=F$2,1,0))</f>
        <v/>
      </c>
      <c r="P498" s="41" t="n"/>
      <c r="Q498" s="42">
        <f>IF(COUNT(C498:M498)&gt;0,1,0)</f>
        <v/>
      </c>
      <c r="R498" s="42">
        <f>IF(Q498=0,0,R497+1)</f>
        <v/>
      </c>
      <c r="S498" s="42">
        <f>IF(O498="",0,IF(O498=4,S497+1,0))</f>
        <v/>
      </c>
      <c r="T498" s="43">
        <f>IF(Q498=1,A498,"")</f>
        <v/>
      </c>
    </row>
    <row r="499">
      <c r="A499" s="36">
        <f>A498+1</f>
        <v/>
      </c>
      <c r="B499" s="37">
        <f>IF(A499="","",TEXT(A499,"ddd"))</f>
        <v/>
      </c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9" t="n"/>
      <c r="M499" s="39" t="n"/>
      <c r="N499" s="38" t="n"/>
      <c r="O499" s="40">
        <f>IF($Q499=0,"",IF(C499&gt;=C$2,1,0)+IF(D499&gt;=D$2,1,0)+IF(E499&gt;=E$2,1,0)+IF(F499&gt;=F$2,1,0))</f>
        <v/>
      </c>
      <c r="P499" s="41" t="n"/>
      <c r="Q499" s="42">
        <f>IF(COUNT(C499:M499)&gt;0,1,0)</f>
        <v/>
      </c>
      <c r="R499" s="42">
        <f>IF(Q499=0,0,R498+1)</f>
        <v/>
      </c>
      <c r="S499" s="42">
        <f>IF(O499="",0,IF(O499=4,S498+1,0))</f>
        <v/>
      </c>
      <c r="T499" s="43">
        <f>IF(Q499=1,A499,"")</f>
        <v/>
      </c>
    </row>
    <row r="500">
      <c r="A500" s="36">
        <f>A499+1</f>
        <v/>
      </c>
      <c r="B500" s="37">
        <f>IF(A500="","",TEXT(A500,"ddd"))</f>
        <v/>
      </c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9" t="n"/>
      <c r="M500" s="39" t="n"/>
      <c r="N500" s="38" t="n"/>
      <c r="O500" s="40">
        <f>IF($Q500=0,"",IF(C500&gt;=C$2,1,0)+IF(D500&gt;=D$2,1,0)+IF(E500&gt;=E$2,1,0)+IF(F500&gt;=F$2,1,0))</f>
        <v/>
      </c>
      <c r="P500" s="41" t="n"/>
      <c r="Q500" s="42">
        <f>IF(COUNT(C500:M500)&gt;0,1,0)</f>
        <v/>
      </c>
      <c r="R500" s="42">
        <f>IF(Q500=0,0,R499+1)</f>
        <v/>
      </c>
      <c r="S500" s="42">
        <f>IF(O500="",0,IF(O500=4,S499+1,0))</f>
        <v/>
      </c>
      <c r="T500" s="43">
        <f>IF(Q500=1,A500,"")</f>
        <v/>
      </c>
    </row>
    <row r="501">
      <c r="A501" s="36">
        <f>A500+1</f>
        <v/>
      </c>
      <c r="B501" s="37">
        <f>IF(A501="","",TEXT(A501,"ddd"))</f>
        <v/>
      </c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9" t="n"/>
      <c r="M501" s="39" t="n"/>
      <c r="N501" s="38" t="n"/>
      <c r="O501" s="40">
        <f>IF($Q501=0,"",IF(C501&gt;=C$2,1,0)+IF(D501&gt;=D$2,1,0)+IF(E501&gt;=E$2,1,0)+IF(F501&gt;=F$2,1,0))</f>
        <v/>
      </c>
      <c r="P501" s="41" t="n"/>
      <c r="Q501" s="42">
        <f>IF(COUNT(C501:M501)&gt;0,1,0)</f>
        <v/>
      </c>
      <c r="R501" s="42">
        <f>IF(Q501=0,0,R500+1)</f>
        <v/>
      </c>
      <c r="S501" s="42">
        <f>IF(O501="",0,IF(O501=4,S500+1,0))</f>
        <v/>
      </c>
      <c r="T501" s="43">
        <f>IF(Q501=1,A501,"")</f>
        <v/>
      </c>
    </row>
    <row r="502">
      <c r="A502" s="36">
        <f>A501+1</f>
        <v/>
      </c>
      <c r="B502" s="37">
        <f>IF(A502="","",TEXT(A502,"ddd"))</f>
        <v/>
      </c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9" t="n"/>
      <c r="M502" s="39" t="n"/>
      <c r="N502" s="38" t="n"/>
      <c r="O502" s="40">
        <f>IF($Q502=0,"",IF(C502&gt;=C$2,1,0)+IF(D502&gt;=D$2,1,0)+IF(E502&gt;=E$2,1,0)+IF(F502&gt;=F$2,1,0))</f>
        <v/>
      </c>
      <c r="P502" s="41" t="n"/>
      <c r="Q502" s="42">
        <f>IF(COUNT(C502:M502)&gt;0,1,0)</f>
        <v/>
      </c>
      <c r="R502" s="42">
        <f>IF(Q502=0,0,R501+1)</f>
        <v/>
      </c>
      <c r="S502" s="42">
        <f>IF(O502="",0,IF(O502=4,S501+1,0))</f>
        <v/>
      </c>
      <c r="T502" s="43">
        <f>IF(Q502=1,A502,"")</f>
        <v/>
      </c>
    </row>
    <row r="503">
      <c r="A503" s="36">
        <f>A502+1</f>
        <v/>
      </c>
      <c r="B503" s="37">
        <f>IF(A503="","",TEXT(A503,"ddd"))</f>
        <v/>
      </c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9" t="n"/>
      <c r="M503" s="39" t="n"/>
      <c r="N503" s="38" t="n"/>
      <c r="O503" s="40">
        <f>IF($Q503=0,"",IF(C503&gt;=C$2,1,0)+IF(D503&gt;=D$2,1,0)+IF(E503&gt;=E$2,1,0)+IF(F503&gt;=F$2,1,0))</f>
        <v/>
      </c>
      <c r="P503" s="41" t="n"/>
      <c r="Q503" s="42">
        <f>IF(COUNT(C503:M503)&gt;0,1,0)</f>
        <v/>
      </c>
      <c r="R503" s="42">
        <f>IF(Q503=0,0,R502+1)</f>
        <v/>
      </c>
      <c r="S503" s="42">
        <f>IF(O503="",0,IF(O503=4,S502+1,0))</f>
        <v/>
      </c>
      <c r="T503" s="43">
        <f>IF(Q503=1,A503,"")</f>
        <v/>
      </c>
    </row>
    <row r="504">
      <c r="A504" s="36">
        <f>A503+1</f>
        <v/>
      </c>
      <c r="B504" s="37">
        <f>IF(A504="","",TEXT(A504,"ddd"))</f>
        <v/>
      </c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9" t="n"/>
      <c r="M504" s="39" t="n"/>
      <c r="N504" s="38" t="n"/>
      <c r="O504" s="40">
        <f>IF($Q504=0,"",IF(C504&gt;=C$2,1,0)+IF(D504&gt;=D$2,1,0)+IF(E504&gt;=E$2,1,0)+IF(F504&gt;=F$2,1,0))</f>
        <v/>
      </c>
      <c r="P504" s="41" t="n"/>
      <c r="Q504" s="42">
        <f>IF(COUNT(C504:M504)&gt;0,1,0)</f>
        <v/>
      </c>
      <c r="R504" s="42">
        <f>IF(Q504=0,0,R503+1)</f>
        <v/>
      </c>
      <c r="S504" s="42">
        <f>IF(O504="",0,IF(O504=4,S503+1,0))</f>
        <v/>
      </c>
      <c r="T504" s="43">
        <f>IF(Q504=1,A504,"")</f>
        <v/>
      </c>
    </row>
    <row r="505">
      <c r="A505" s="36">
        <f>A504+1</f>
        <v/>
      </c>
      <c r="B505" s="37">
        <f>IF(A505="","",TEXT(A505,"ddd"))</f>
        <v/>
      </c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9" t="n"/>
      <c r="M505" s="39" t="n"/>
      <c r="N505" s="38" t="n"/>
      <c r="O505" s="40">
        <f>IF($Q505=0,"",IF(C505&gt;=C$2,1,0)+IF(D505&gt;=D$2,1,0)+IF(E505&gt;=E$2,1,0)+IF(F505&gt;=F$2,1,0))</f>
        <v/>
      </c>
      <c r="P505" s="41" t="n"/>
      <c r="Q505" s="42">
        <f>IF(COUNT(C505:M505)&gt;0,1,0)</f>
        <v/>
      </c>
      <c r="R505" s="42">
        <f>IF(Q505=0,0,R504+1)</f>
        <v/>
      </c>
      <c r="S505" s="42">
        <f>IF(O505="",0,IF(O505=4,S504+1,0))</f>
        <v/>
      </c>
      <c r="T505" s="43">
        <f>IF(Q505=1,A505,"")</f>
        <v/>
      </c>
    </row>
    <row r="506">
      <c r="A506" s="36">
        <f>A505+1</f>
        <v/>
      </c>
      <c r="B506" s="37">
        <f>IF(A506="","",TEXT(A506,"ddd"))</f>
        <v/>
      </c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9" t="n"/>
      <c r="M506" s="39" t="n"/>
      <c r="N506" s="38" t="n"/>
      <c r="O506" s="40">
        <f>IF($Q506=0,"",IF(C506&gt;=C$2,1,0)+IF(D506&gt;=D$2,1,0)+IF(E506&gt;=E$2,1,0)+IF(F506&gt;=F$2,1,0))</f>
        <v/>
      </c>
      <c r="P506" s="41" t="n"/>
      <c r="Q506" s="42">
        <f>IF(COUNT(C506:M506)&gt;0,1,0)</f>
        <v/>
      </c>
      <c r="R506" s="42">
        <f>IF(Q506=0,0,R505+1)</f>
        <v/>
      </c>
      <c r="S506" s="42">
        <f>IF(O506="",0,IF(O506=4,S505+1,0))</f>
        <v/>
      </c>
      <c r="T506" s="43">
        <f>IF(Q506=1,A506,"")</f>
        <v/>
      </c>
    </row>
    <row r="507">
      <c r="A507" s="36">
        <f>A506+1</f>
        <v/>
      </c>
      <c r="B507" s="37">
        <f>IF(A507="","",TEXT(A507,"ddd"))</f>
        <v/>
      </c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9" t="n"/>
      <c r="M507" s="39" t="n"/>
      <c r="N507" s="38" t="n"/>
      <c r="O507" s="40">
        <f>IF($Q507=0,"",IF(C507&gt;=C$2,1,0)+IF(D507&gt;=D$2,1,0)+IF(E507&gt;=E$2,1,0)+IF(F507&gt;=F$2,1,0))</f>
        <v/>
      </c>
      <c r="P507" s="41" t="n"/>
      <c r="Q507" s="42">
        <f>IF(COUNT(C507:M507)&gt;0,1,0)</f>
        <v/>
      </c>
      <c r="R507" s="42">
        <f>IF(Q507=0,0,R506+1)</f>
        <v/>
      </c>
      <c r="S507" s="42">
        <f>IF(O507="",0,IF(O507=4,S506+1,0))</f>
        <v/>
      </c>
      <c r="T507" s="43">
        <f>IF(Q507=1,A507,"")</f>
        <v/>
      </c>
    </row>
    <row r="508">
      <c r="A508" s="36">
        <f>A507+1</f>
        <v/>
      </c>
      <c r="B508" s="37">
        <f>IF(A508="","",TEXT(A508,"ddd"))</f>
        <v/>
      </c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9" t="n"/>
      <c r="M508" s="39" t="n"/>
      <c r="N508" s="38" t="n"/>
      <c r="O508" s="40">
        <f>IF($Q508=0,"",IF(C508&gt;=C$2,1,0)+IF(D508&gt;=D$2,1,0)+IF(E508&gt;=E$2,1,0)+IF(F508&gt;=F$2,1,0))</f>
        <v/>
      </c>
      <c r="P508" s="41" t="n"/>
      <c r="Q508" s="42">
        <f>IF(COUNT(C508:M508)&gt;0,1,0)</f>
        <v/>
      </c>
      <c r="R508" s="42">
        <f>IF(Q508=0,0,R507+1)</f>
        <v/>
      </c>
      <c r="S508" s="42">
        <f>IF(O508="",0,IF(O508=4,S507+1,0))</f>
        <v/>
      </c>
      <c r="T508" s="43">
        <f>IF(Q508=1,A508,"")</f>
        <v/>
      </c>
    </row>
    <row r="509">
      <c r="A509" s="36">
        <f>A508+1</f>
        <v/>
      </c>
      <c r="B509" s="37">
        <f>IF(A509="","",TEXT(A509,"ddd"))</f>
        <v/>
      </c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9" t="n"/>
      <c r="M509" s="39" t="n"/>
      <c r="N509" s="38" t="n"/>
      <c r="O509" s="40">
        <f>IF($Q509=0,"",IF(C509&gt;=C$2,1,0)+IF(D509&gt;=D$2,1,0)+IF(E509&gt;=E$2,1,0)+IF(F509&gt;=F$2,1,0))</f>
        <v/>
      </c>
      <c r="P509" s="41" t="n"/>
      <c r="Q509" s="42">
        <f>IF(COUNT(C509:M509)&gt;0,1,0)</f>
        <v/>
      </c>
      <c r="R509" s="42">
        <f>IF(Q509=0,0,R508+1)</f>
        <v/>
      </c>
      <c r="S509" s="42">
        <f>IF(O509="",0,IF(O509=4,S508+1,0))</f>
        <v/>
      </c>
      <c r="T509" s="43">
        <f>IF(Q509=1,A509,"")</f>
        <v/>
      </c>
    </row>
    <row r="510">
      <c r="A510" s="36">
        <f>A509+1</f>
        <v/>
      </c>
      <c r="B510" s="37">
        <f>IF(A510="","",TEXT(A510,"ddd"))</f>
        <v/>
      </c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9" t="n"/>
      <c r="M510" s="39" t="n"/>
      <c r="N510" s="38" t="n"/>
      <c r="O510" s="40">
        <f>IF($Q510=0,"",IF(C510&gt;=C$2,1,0)+IF(D510&gt;=D$2,1,0)+IF(E510&gt;=E$2,1,0)+IF(F510&gt;=F$2,1,0))</f>
        <v/>
      </c>
      <c r="P510" s="41" t="n"/>
      <c r="Q510" s="42">
        <f>IF(COUNT(C510:M510)&gt;0,1,0)</f>
        <v/>
      </c>
      <c r="R510" s="42">
        <f>IF(Q510=0,0,R509+1)</f>
        <v/>
      </c>
      <c r="S510" s="42">
        <f>IF(O510="",0,IF(O510=4,S509+1,0))</f>
        <v/>
      </c>
      <c r="T510" s="43">
        <f>IF(Q510=1,A510,"")</f>
        <v/>
      </c>
    </row>
    <row r="511">
      <c r="A511" s="36">
        <f>A510+1</f>
        <v/>
      </c>
      <c r="B511" s="37">
        <f>IF(A511="","",TEXT(A511,"ddd"))</f>
        <v/>
      </c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9" t="n"/>
      <c r="M511" s="39" t="n"/>
      <c r="N511" s="38" t="n"/>
      <c r="O511" s="40">
        <f>IF($Q511=0,"",IF(C511&gt;=C$2,1,0)+IF(D511&gt;=D$2,1,0)+IF(E511&gt;=E$2,1,0)+IF(F511&gt;=F$2,1,0))</f>
        <v/>
      </c>
      <c r="P511" s="41" t="n"/>
      <c r="Q511" s="42">
        <f>IF(COUNT(C511:M511)&gt;0,1,0)</f>
        <v/>
      </c>
      <c r="R511" s="42">
        <f>IF(Q511=0,0,R510+1)</f>
        <v/>
      </c>
      <c r="S511" s="42">
        <f>IF(O511="",0,IF(O511=4,S510+1,0))</f>
        <v/>
      </c>
      <c r="T511" s="43">
        <f>IF(Q511=1,A511,"")</f>
        <v/>
      </c>
    </row>
    <row r="512">
      <c r="A512" s="36">
        <f>A511+1</f>
        <v/>
      </c>
      <c r="B512" s="37">
        <f>IF(A512="","",TEXT(A512,"ddd"))</f>
        <v/>
      </c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9" t="n"/>
      <c r="M512" s="39" t="n"/>
      <c r="N512" s="38" t="n"/>
      <c r="O512" s="40">
        <f>IF($Q512=0,"",IF(C512&gt;=C$2,1,0)+IF(D512&gt;=D$2,1,0)+IF(E512&gt;=E$2,1,0)+IF(F512&gt;=F$2,1,0))</f>
        <v/>
      </c>
      <c r="P512" s="41" t="n"/>
      <c r="Q512" s="42">
        <f>IF(COUNT(C512:M512)&gt;0,1,0)</f>
        <v/>
      </c>
      <c r="R512" s="42">
        <f>IF(Q512=0,0,R511+1)</f>
        <v/>
      </c>
      <c r="S512" s="42">
        <f>IF(O512="",0,IF(O512=4,S511+1,0))</f>
        <v/>
      </c>
      <c r="T512" s="43">
        <f>IF(Q512=1,A512,"")</f>
        <v/>
      </c>
    </row>
    <row r="513">
      <c r="A513" s="36">
        <f>A512+1</f>
        <v/>
      </c>
      <c r="B513" s="37">
        <f>IF(A513="","",TEXT(A513,"ddd"))</f>
        <v/>
      </c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9" t="n"/>
      <c r="M513" s="39" t="n"/>
      <c r="N513" s="38" t="n"/>
      <c r="O513" s="40">
        <f>IF($Q513=0,"",IF(C513&gt;=C$2,1,0)+IF(D513&gt;=D$2,1,0)+IF(E513&gt;=E$2,1,0)+IF(F513&gt;=F$2,1,0))</f>
        <v/>
      </c>
      <c r="P513" s="41" t="n"/>
      <c r="Q513" s="42">
        <f>IF(COUNT(C513:M513)&gt;0,1,0)</f>
        <v/>
      </c>
      <c r="R513" s="42">
        <f>IF(Q513=0,0,R512+1)</f>
        <v/>
      </c>
      <c r="S513" s="42">
        <f>IF(O513="",0,IF(O513=4,S512+1,0))</f>
        <v/>
      </c>
      <c r="T513" s="43">
        <f>IF(Q513=1,A513,"")</f>
        <v/>
      </c>
    </row>
    <row r="514">
      <c r="A514" s="36">
        <f>A513+1</f>
        <v/>
      </c>
      <c r="B514" s="37">
        <f>IF(A514="","",TEXT(A514,"ddd"))</f>
        <v/>
      </c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9" t="n"/>
      <c r="M514" s="39" t="n"/>
      <c r="N514" s="38" t="n"/>
      <c r="O514" s="40">
        <f>IF($Q514=0,"",IF(C514&gt;=C$2,1,0)+IF(D514&gt;=D$2,1,0)+IF(E514&gt;=E$2,1,0)+IF(F514&gt;=F$2,1,0))</f>
        <v/>
      </c>
      <c r="P514" s="41" t="n"/>
      <c r="Q514" s="42">
        <f>IF(COUNT(C514:M514)&gt;0,1,0)</f>
        <v/>
      </c>
      <c r="R514" s="42">
        <f>IF(Q514=0,0,R513+1)</f>
        <v/>
      </c>
      <c r="S514" s="42">
        <f>IF(O514="",0,IF(O514=4,S513+1,0))</f>
        <v/>
      </c>
      <c r="T514" s="43">
        <f>IF(Q514=1,A514,"")</f>
        <v/>
      </c>
    </row>
    <row r="515">
      <c r="A515" s="36">
        <f>A514+1</f>
        <v/>
      </c>
      <c r="B515" s="37">
        <f>IF(A515="","",TEXT(A515,"ddd"))</f>
        <v/>
      </c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9" t="n"/>
      <c r="M515" s="39" t="n"/>
      <c r="N515" s="38" t="n"/>
      <c r="O515" s="40">
        <f>IF($Q515=0,"",IF(C515&gt;=C$2,1,0)+IF(D515&gt;=D$2,1,0)+IF(E515&gt;=E$2,1,0)+IF(F515&gt;=F$2,1,0))</f>
        <v/>
      </c>
      <c r="P515" s="41" t="n"/>
      <c r="Q515" s="42">
        <f>IF(COUNT(C515:M515)&gt;0,1,0)</f>
        <v/>
      </c>
      <c r="R515" s="42">
        <f>IF(Q515=0,0,R514+1)</f>
        <v/>
      </c>
      <c r="S515" s="42">
        <f>IF(O515="",0,IF(O515=4,S514+1,0))</f>
        <v/>
      </c>
      <c r="T515" s="43">
        <f>IF(Q515=1,A515,"")</f>
        <v/>
      </c>
    </row>
    <row r="516">
      <c r="A516" s="36">
        <f>A515+1</f>
        <v/>
      </c>
      <c r="B516" s="37">
        <f>IF(A516="","",TEXT(A516,"ddd"))</f>
        <v/>
      </c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9" t="n"/>
      <c r="M516" s="39" t="n"/>
      <c r="N516" s="38" t="n"/>
      <c r="O516" s="40">
        <f>IF($Q516=0,"",IF(C516&gt;=C$2,1,0)+IF(D516&gt;=D$2,1,0)+IF(E516&gt;=E$2,1,0)+IF(F516&gt;=F$2,1,0))</f>
        <v/>
      </c>
      <c r="P516" s="41" t="n"/>
      <c r="Q516" s="42">
        <f>IF(COUNT(C516:M516)&gt;0,1,0)</f>
        <v/>
      </c>
      <c r="R516" s="42">
        <f>IF(Q516=0,0,R515+1)</f>
        <v/>
      </c>
      <c r="S516" s="42">
        <f>IF(O516="",0,IF(O516=4,S515+1,0))</f>
        <v/>
      </c>
      <c r="T516" s="43">
        <f>IF(Q516=1,A516,"")</f>
        <v/>
      </c>
    </row>
    <row r="517">
      <c r="A517" s="36">
        <f>A516+1</f>
        <v/>
      </c>
      <c r="B517" s="37">
        <f>IF(A517="","",TEXT(A517,"ddd"))</f>
        <v/>
      </c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9" t="n"/>
      <c r="M517" s="39" t="n"/>
      <c r="N517" s="38" t="n"/>
      <c r="O517" s="40">
        <f>IF($Q517=0,"",IF(C517&gt;=C$2,1,0)+IF(D517&gt;=D$2,1,0)+IF(E517&gt;=E$2,1,0)+IF(F517&gt;=F$2,1,0))</f>
        <v/>
      </c>
      <c r="P517" s="41" t="n"/>
      <c r="Q517" s="42">
        <f>IF(COUNT(C517:M517)&gt;0,1,0)</f>
        <v/>
      </c>
      <c r="R517" s="42">
        <f>IF(Q517=0,0,R516+1)</f>
        <v/>
      </c>
      <c r="S517" s="42">
        <f>IF(O517="",0,IF(O517=4,S516+1,0))</f>
        <v/>
      </c>
      <c r="T517" s="43">
        <f>IF(Q517=1,A517,"")</f>
        <v/>
      </c>
    </row>
    <row r="518">
      <c r="A518" s="36">
        <f>A517+1</f>
        <v/>
      </c>
      <c r="B518" s="37">
        <f>IF(A518="","",TEXT(A518,"ddd"))</f>
        <v/>
      </c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9" t="n"/>
      <c r="M518" s="39" t="n"/>
      <c r="N518" s="38" t="n"/>
      <c r="O518" s="40">
        <f>IF($Q518=0,"",IF(C518&gt;=C$2,1,0)+IF(D518&gt;=D$2,1,0)+IF(E518&gt;=E$2,1,0)+IF(F518&gt;=F$2,1,0))</f>
        <v/>
      </c>
      <c r="P518" s="41" t="n"/>
      <c r="Q518" s="42">
        <f>IF(COUNT(C518:M518)&gt;0,1,0)</f>
        <v/>
      </c>
      <c r="R518" s="42">
        <f>IF(Q518=0,0,R517+1)</f>
        <v/>
      </c>
      <c r="S518" s="42">
        <f>IF(O518="",0,IF(O518=4,S517+1,0))</f>
        <v/>
      </c>
      <c r="T518" s="43">
        <f>IF(Q518=1,A518,"")</f>
        <v/>
      </c>
    </row>
    <row r="519">
      <c r="A519" s="36">
        <f>A518+1</f>
        <v/>
      </c>
      <c r="B519" s="37">
        <f>IF(A519="","",TEXT(A519,"ddd"))</f>
        <v/>
      </c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9" t="n"/>
      <c r="M519" s="39" t="n"/>
      <c r="N519" s="38" t="n"/>
      <c r="O519" s="40">
        <f>IF($Q519=0,"",IF(C519&gt;=C$2,1,0)+IF(D519&gt;=D$2,1,0)+IF(E519&gt;=E$2,1,0)+IF(F519&gt;=F$2,1,0))</f>
        <v/>
      </c>
      <c r="P519" s="41" t="n"/>
      <c r="Q519" s="42">
        <f>IF(COUNT(C519:M519)&gt;0,1,0)</f>
        <v/>
      </c>
      <c r="R519" s="42">
        <f>IF(Q519=0,0,R518+1)</f>
        <v/>
      </c>
      <c r="S519" s="42">
        <f>IF(O519="",0,IF(O519=4,S518+1,0))</f>
        <v/>
      </c>
      <c r="T519" s="43">
        <f>IF(Q519=1,A519,"")</f>
        <v/>
      </c>
    </row>
    <row r="520">
      <c r="A520" s="36">
        <f>A519+1</f>
        <v/>
      </c>
      <c r="B520" s="37">
        <f>IF(A520="","",TEXT(A520,"ddd"))</f>
        <v/>
      </c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9" t="n"/>
      <c r="M520" s="39" t="n"/>
      <c r="N520" s="38" t="n"/>
      <c r="O520" s="40">
        <f>IF($Q520=0,"",IF(C520&gt;=C$2,1,0)+IF(D520&gt;=D$2,1,0)+IF(E520&gt;=E$2,1,0)+IF(F520&gt;=F$2,1,0))</f>
        <v/>
      </c>
      <c r="P520" s="41" t="n"/>
      <c r="Q520" s="42">
        <f>IF(COUNT(C520:M520)&gt;0,1,0)</f>
        <v/>
      </c>
      <c r="R520" s="42">
        <f>IF(Q520=0,0,R519+1)</f>
        <v/>
      </c>
      <c r="S520" s="42">
        <f>IF(O520="",0,IF(O520=4,S519+1,0))</f>
        <v/>
      </c>
      <c r="T520" s="43">
        <f>IF(Q520=1,A520,"")</f>
        <v/>
      </c>
    </row>
    <row r="521">
      <c r="A521" s="36">
        <f>A520+1</f>
        <v/>
      </c>
      <c r="B521" s="37">
        <f>IF(A521="","",TEXT(A521,"ddd"))</f>
        <v/>
      </c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9" t="n"/>
      <c r="M521" s="39" t="n"/>
      <c r="N521" s="38" t="n"/>
      <c r="O521" s="40">
        <f>IF($Q521=0,"",IF(C521&gt;=C$2,1,0)+IF(D521&gt;=D$2,1,0)+IF(E521&gt;=E$2,1,0)+IF(F521&gt;=F$2,1,0))</f>
        <v/>
      </c>
      <c r="P521" s="41" t="n"/>
      <c r="Q521" s="42">
        <f>IF(COUNT(C521:M521)&gt;0,1,0)</f>
        <v/>
      </c>
      <c r="R521" s="42">
        <f>IF(Q521=0,0,R520+1)</f>
        <v/>
      </c>
      <c r="S521" s="42">
        <f>IF(O521="",0,IF(O521=4,S520+1,0))</f>
        <v/>
      </c>
      <c r="T521" s="43">
        <f>IF(Q521=1,A521,"")</f>
        <v/>
      </c>
    </row>
    <row r="522">
      <c r="A522" s="36">
        <f>A521+1</f>
        <v/>
      </c>
      <c r="B522" s="37">
        <f>IF(A522="","",TEXT(A522,"ddd"))</f>
        <v/>
      </c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9" t="n"/>
      <c r="M522" s="39" t="n"/>
      <c r="N522" s="38" t="n"/>
      <c r="O522" s="40">
        <f>IF($Q522=0,"",IF(C522&gt;=C$2,1,0)+IF(D522&gt;=D$2,1,0)+IF(E522&gt;=E$2,1,0)+IF(F522&gt;=F$2,1,0))</f>
        <v/>
      </c>
      <c r="P522" s="41" t="n"/>
      <c r="Q522" s="42">
        <f>IF(COUNT(C522:M522)&gt;0,1,0)</f>
        <v/>
      </c>
      <c r="R522" s="42">
        <f>IF(Q522=0,0,R521+1)</f>
        <v/>
      </c>
      <c r="S522" s="42">
        <f>IF(O522="",0,IF(O522=4,S521+1,0))</f>
        <v/>
      </c>
      <c r="T522" s="43">
        <f>IF(Q522=1,A522,"")</f>
        <v/>
      </c>
    </row>
    <row r="523">
      <c r="A523" s="36">
        <f>A522+1</f>
        <v/>
      </c>
      <c r="B523" s="37">
        <f>IF(A523="","",TEXT(A523,"ddd"))</f>
        <v/>
      </c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9" t="n"/>
      <c r="M523" s="39" t="n"/>
      <c r="N523" s="38" t="n"/>
      <c r="O523" s="40">
        <f>IF($Q523=0,"",IF(C523&gt;=C$2,1,0)+IF(D523&gt;=D$2,1,0)+IF(E523&gt;=E$2,1,0)+IF(F523&gt;=F$2,1,0))</f>
        <v/>
      </c>
      <c r="P523" s="41" t="n"/>
      <c r="Q523" s="42">
        <f>IF(COUNT(C523:M523)&gt;0,1,0)</f>
        <v/>
      </c>
      <c r="R523" s="42">
        <f>IF(Q523=0,0,R522+1)</f>
        <v/>
      </c>
      <c r="S523" s="42">
        <f>IF(O523="",0,IF(O523=4,S522+1,0))</f>
        <v/>
      </c>
      <c r="T523" s="43">
        <f>IF(Q523=1,A523,"")</f>
        <v/>
      </c>
    </row>
    <row r="524">
      <c r="A524" s="36">
        <f>A523+1</f>
        <v/>
      </c>
      <c r="B524" s="37">
        <f>IF(A524="","",TEXT(A524,"ddd"))</f>
        <v/>
      </c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9" t="n"/>
      <c r="M524" s="39" t="n"/>
      <c r="N524" s="38" t="n"/>
      <c r="O524" s="40">
        <f>IF($Q524=0,"",IF(C524&gt;=C$2,1,0)+IF(D524&gt;=D$2,1,0)+IF(E524&gt;=E$2,1,0)+IF(F524&gt;=F$2,1,0))</f>
        <v/>
      </c>
      <c r="P524" s="41" t="n"/>
      <c r="Q524" s="42">
        <f>IF(COUNT(C524:M524)&gt;0,1,0)</f>
        <v/>
      </c>
      <c r="R524" s="42">
        <f>IF(Q524=0,0,R523+1)</f>
        <v/>
      </c>
      <c r="S524" s="42">
        <f>IF(O524="",0,IF(O524=4,S523+1,0))</f>
        <v/>
      </c>
      <c r="T524" s="43">
        <f>IF(Q524=1,A524,"")</f>
        <v/>
      </c>
    </row>
    <row r="525">
      <c r="A525" s="36">
        <f>A524+1</f>
        <v/>
      </c>
      <c r="B525" s="37">
        <f>IF(A525="","",TEXT(A525,"ddd"))</f>
        <v/>
      </c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9" t="n"/>
      <c r="M525" s="39" t="n"/>
      <c r="N525" s="38" t="n"/>
      <c r="O525" s="40">
        <f>IF($Q525=0,"",IF(C525&gt;=C$2,1,0)+IF(D525&gt;=D$2,1,0)+IF(E525&gt;=E$2,1,0)+IF(F525&gt;=F$2,1,0))</f>
        <v/>
      </c>
      <c r="P525" s="41" t="n"/>
      <c r="Q525" s="42">
        <f>IF(COUNT(C525:M525)&gt;0,1,0)</f>
        <v/>
      </c>
      <c r="R525" s="42">
        <f>IF(Q525=0,0,R524+1)</f>
        <v/>
      </c>
      <c r="S525" s="42">
        <f>IF(O525="",0,IF(O525=4,S524+1,0))</f>
        <v/>
      </c>
      <c r="T525" s="43">
        <f>IF(Q525=1,A525,"")</f>
        <v/>
      </c>
    </row>
    <row r="526">
      <c r="A526" s="36">
        <f>A525+1</f>
        <v/>
      </c>
      <c r="B526" s="37">
        <f>IF(A526="","",TEXT(A526,"ddd"))</f>
        <v/>
      </c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9" t="n"/>
      <c r="M526" s="39" t="n"/>
      <c r="N526" s="38" t="n"/>
      <c r="O526" s="40">
        <f>IF($Q526=0,"",IF(C526&gt;=C$2,1,0)+IF(D526&gt;=D$2,1,0)+IF(E526&gt;=E$2,1,0)+IF(F526&gt;=F$2,1,0))</f>
        <v/>
      </c>
      <c r="P526" s="41" t="n"/>
      <c r="Q526" s="42">
        <f>IF(COUNT(C526:M526)&gt;0,1,0)</f>
        <v/>
      </c>
      <c r="R526" s="42">
        <f>IF(Q526=0,0,R525+1)</f>
        <v/>
      </c>
      <c r="S526" s="42">
        <f>IF(O526="",0,IF(O526=4,S525+1,0))</f>
        <v/>
      </c>
      <c r="T526" s="43">
        <f>IF(Q526=1,A526,"")</f>
        <v/>
      </c>
    </row>
    <row r="527">
      <c r="A527" s="36">
        <f>A526+1</f>
        <v/>
      </c>
      <c r="B527" s="37">
        <f>IF(A527="","",TEXT(A527,"ddd"))</f>
        <v/>
      </c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9" t="n"/>
      <c r="M527" s="39" t="n"/>
      <c r="N527" s="38" t="n"/>
      <c r="O527" s="40">
        <f>IF($Q527=0,"",IF(C527&gt;=C$2,1,0)+IF(D527&gt;=D$2,1,0)+IF(E527&gt;=E$2,1,0)+IF(F527&gt;=F$2,1,0))</f>
        <v/>
      </c>
      <c r="P527" s="41" t="n"/>
      <c r="Q527" s="42">
        <f>IF(COUNT(C527:M527)&gt;0,1,0)</f>
        <v/>
      </c>
      <c r="R527" s="42">
        <f>IF(Q527=0,0,R526+1)</f>
        <v/>
      </c>
      <c r="S527" s="42">
        <f>IF(O527="",0,IF(O527=4,S526+1,0))</f>
        <v/>
      </c>
      <c r="T527" s="43">
        <f>IF(Q527=1,A527,"")</f>
        <v/>
      </c>
    </row>
    <row r="528">
      <c r="A528" s="36">
        <f>A527+1</f>
        <v/>
      </c>
      <c r="B528" s="37">
        <f>IF(A528="","",TEXT(A528,"ddd"))</f>
        <v/>
      </c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9" t="n"/>
      <c r="M528" s="39" t="n"/>
      <c r="N528" s="38" t="n"/>
      <c r="O528" s="40">
        <f>IF($Q528=0,"",IF(C528&gt;=C$2,1,0)+IF(D528&gt;=D$2,1,0)+IF(E528&gt;=E$2,1,0)+IF(F528&gt;=F$2,1,0))</f>
        <v/>
      </c>
      <c r="P528" s="41" t="n"/>
      <c r="Q528" s="42">
        <f>IF(COUNT(C528:M528)&gt;0,1,0)</f>
        <v/>
      </c>
      <c r="R528" s="42">
        <f>IF(Q528=0,0,R527+1)</f>
        <v/>
      </c>
      <c r="S528" s="42">
        <f>IF(O528="",0,IF(O528=4,S527+1,0))</f>
        <v/>
      </c>
      <c r="T528" s="43">
        <f>IF(Q528=1,A528,"")</f>
        <v/>
      </c>
    </row>
    <row r="529">
      <c r="A529" s="36">
        <f>A528+1</f>
        <v/>
      </c>
      <c r="B529" s="37">
        <f>IF(A529="","",TEXT(A529,"ddd"))</f>
        <v/>
      </c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9" t="n"/>
      <c r="M529" s="39" t="n"/>
      <c r="N529" s="38" t="n"/>
      <c r="O529" s="40">
        <f>IF($Q529=0,"",IF(C529&gt;=C$2,1,0)+IF(D529&gt;=D$2,1,0)+IF(E529&gt;=E$2,1,0)+IF(F529&gt;=F$2,1,0))</f>
        <v/>
      </c>
      <c r="P529" s="41" t="n"/>
      <c r="Q529" s="42">
        <f>IF(COUNT(C529:M529)&gt;0,1,0)</f>
        <v/>
      </c>
      <c r="R529" s="42">
        <f>IF(Q529=0,0,R528+1)</f>
        <v/>
      </c>
      <c r="S529" s="42">
        <f>IF(O529="",0,IF(O529=4,S528+1,0))</f>
        <v/>
      </c>
      <c r="T529" s="43">
        <f>IF(Q529=1,A529,"")</f>
        <v/>
      </c>
    </row>
    <row r="530">
      <c r="A530" s="36">
        <f>A529+1</f>
        <v/>
      </c>
      <c r="B530" s="37">
        <f>IF(A530="","",TEXT(A530,"ddd"))</f>
        <v/>
      </c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9" t="n"/>
      <c r="M530" s="39" t="n"/>
      <c r="N530" s="38" t="n"/>
      <c r="O530" s="40">
        <f>IF($Q530=0,"",IF(C530&gt;=C$2,1,0)+IF(D530&gt;=D$2,1,0)+IF(E530&gt;=E$2,1,0)+IF(F530&gt;=F$2,1,0))</f>
        <v/>
      </c>
      <c r="P530" s="41" t="n"/>
      <c r="Q530" s="42">
        <f>IF(COUNT(C530:M530)&gt;0,1,0)</f>
        <v/>
      </c>
      <c r="R530" s="42">
        <f>IF(Q530=0,0,R529+1)</f>
        <v/>
      </c>
      <c r="S530" s="42">
        <f>IF(O530="",0,IF(O530=4,S529+1,0))</f>
        <v/>
      </c>
      <c r="T530" s="43">
        <f>IF(Q530=1,A530,"")</f>
        <v/>
      </c>
    </row>
    <row r="531">
      <c r="A531" s="36">
        <f>A530+1</f>
        <v/>
      </c>
      <c r="B531" s="37">
        <f>IF(A531="","",TEXT(A531,"ddd"))</f>
        <v/>
      </c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9" t="n"/>
      <c r="M531" s="39" t="n"/>
      <c r="N531" s="38" t="n"/>
      <c r="O531" s="40">
        <f>IF($Q531=0,"",IF(C531&gt;=C$2,1,0)+IF(D531&gt;=D$2,1,0)+IF(E531&gt;=E$2,1,0)+IF(F531&gt;=F$2,1,0))</f>
        <v/>
      </c>
      <c r="P531" s="41" t="n"/>
      <c r="Q531" s="42">
        <f>IF(COUNT(C531:M531)&gt;0,1,0)</f>
        <v/>
      </c>
      <c r="R531" s="42">
        <f>IF(Q531=0,0,R530+1)</f>
        <v/>
      </c>
      <c r="S531" s="42">
        <f>IF(O531="",0,IF(O531=4,S530+1,0))</f>
        <v/>
      </c>
      <c r="T531" s="43">
        <f>IF(Q531=1,A531,"")</f>
        <v/>
      </c>
    </row>
    <row r="532">
      <c r="A532" s="36">
        <f>A531+1</f>
        <v/>
      </c>
      <c r="B532" s="37">
        <f>IF(A532="","",TEXT(A532,"ddd"))</f>
        <v/>
      </c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9" t="n"/>
      <c r="M532" s="39" t="n"/>
      <c r="N532" s="38" t="n"/>
      <c r="O532" s="40">
        <f>IF($Q532=0,"",IF(C532&gt;=C$2,1,0)+IF(D532&gt;=D$2,1,0)+IF(E532&gt;=E$2,1,0)+IF(F532&gt;=F$2,1,0))</f>
        <v/>
      </c>
      <c r="P532" s="41" t="n"/>
      <c r="Q532" s="42">
        <f>IF(COUNT(C532:M532)&gt;0,1,0)</f>
        <v/>
      </c>
      <c r="R532" s="42">
        <f>IF(Q532=0,0,R531+1)</f>
        <v/>
      </c>
      <c r="S532" s="42">
        <f>IF(O532="",0,IF(O532=4,S531+1,0))</f>
        <v/>
      </c>
      <c r="T532" s="43">
        <f>IF(Q532=1,A532,"")</f>
        <v/>
      </c>
    </row>
    <row r="533">
      <c r="A533" s="36">
        <f>A532+1</f>
        <v/>
      </c>
      <c r="B533" s="37">
        <f>IF(A533="","",TEXT(A533,"ddd"))</f>
        <v/>
      </c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9" t="n"/>
      <c r="M533" s="39" t="n"/>
      <c r="N533" s="38" t="n"/>
      <c r="O533" s="40">
        <f>IF($Q533=0,"",IF(C533&gt;=C$2,1,0)+IF(D533&gt;=D$2,1,0)+IF(E533&gt;=E$2,1,0)+IF(F533&gt;=F$2,1,0))</f>
        <v/>
      </c>
      <c r="P533" s="41" t="n"/>
      <c r="Q533" s="42">
        <f>IF(COUNT(C533:M533)&gt;0,1,0)</f>
        <v/>
      </c>
      <c r="R533" s="42">
        <f>IF(Q533=0,0,R532+1)</f>
        <v/>
      </c>
      <c r="S533" s="42">
        <f>IF(O533="",0,IF(O533=4,S532+1,0))</f>
        <v/>
      </c>
      <c r="T533" s="43">
        <f>IF(Q533=1,A533,"")</f>
        <v/>
      </c>
    </row>
    <row r="534">
      <c r="A534" s="36">
        <f>A533+1</f>
        <v/>
      </c>
      <c r="B534" s="37">
        <f>IF(A534="","",TEXT(A534,"ddd"))</f>
        <v/>
      </c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9" t="n"/>
      <c r="M534" s="39" t="n"/>
      <c r="N534" s="38" t="n"/>
      <c r="O534" s="40">
        <f>IF($Q534=0,"",IF(C534&gt;=C$2,1,0)+IF(D534&gt;=D$2,1,0)+IF(E534&gt;=E$2,1,0)+IF(F534&gt;=F$2,1,0))</f>
        <v/>
      </c>
      <c r="P534" s="41" t="n"/>
      <c r="Q534" s="42">
        <f>IF(COUNT(C534:M534)&gt;0,1,0)</f>
        <v/>
      </c>
      <c r="R534" s="42">
        <f>IF(Q534=0,0,R533+1)</f>
        <v/>
      </c>
      <c r="S534" s="42">
        <f>IF(O534="",0,IF(O534=4,S533+1,0))</f>
        <v/>
      </c>
      <c r="T534" s="43">
        <f>IF(Q534=1,A534,"")</f>
        <v/>
      </c>
    </row>
    <row r="535">
      <c r="A535" s="36">
        <f>A534+1</f>
        <v/>
      </c>
      <c r="B535" s="37">
        <f>IF(A535="","",TEXT(A535,"ddd"))</f>
        <v/>
      </c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9" t="n"/>
      <c r="M535" s="39" t="n"/>
      <c r="N535" s="38" t="n"/>
      <c r="O535" s="40">
        <f>IF($Q535=0,"",IF(C535&gt;=C$2,1,0)+IF(D535&gt;=D$2,1,0)+IF(E535&gt;=E$2,1,0)+IF(F535&gt;=F$2,1,0))</f>
        <v/>
      </c>
      <c r="P535" s="41" t="n"/>
      <c r="Q535" s="42">
        <f>IF(COUNT(C535:M535)&gt;0,1,0)</f>
        <v/>
      </c>
      <c r="R535" s="42">
        <f>IF(Q535=0,0,R534+1)</f>
        <v/>
      </c>
      <c r="S535" s="42">
        <f>IF(O535="",0,IF(O535=4,S534+1,0))</f>
        <v/>
      </c>
      <c r="T535" s="43">
        <f>IF(Q535=1,A535,"")</f>
        <v/>
      </c>
    </row>
    <row r="536">
      <c r="A536" s="36">
        <f>A535+1</f>
        <v/>
      </c>
      <c r="B536" s="37">
        <f>IF(A536="","",TEXT(A536,"ddd"))</f>
        <v/>
      </c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9" t="n"/>
      <c r="M536" s="39" t="n"/>
      <c r="N536" s="38" t="n"/>
      <c r="O536" s="40">
        <f>IF($Q536=0,"",IF(C536&gt;=C$2,1,0)+IF(D536&gt;=D$2,1,0)+IF(E536&gt;=E$2,1,0)+IF(F536&gt;=F$2,1,0))</f>
        <v/>
      </c>
      <c r="P536" s="41" t="n"/>
      <c r="Q536" s="42">
        <f>IF(COUNT(C536:M536)&gt;0,1,0)</f>
        <v/>
      </c>
      <c r="R536" s="42">
        <f>IF(Q536=0,0,R535+1)</f>
        <v/>
      </c>
      <c r="S536" s="42">
        <f>IF(O536="",0,IF(O536=4,S535+1,0))</f>
        <v/>
      </c>
      <c r="T536" s="43">
        <f>IF(Q536=1,A536,"")</f>
        <v/>
      </c>
    </row>
    <row r="537">
      <c r="A537" s="36">
        <f>A536+1</f>
        <v/>
      </c>
      <c r="B537" s="37">
        <f>IF(A537="","",TEXT(A537,"ddd"))</f>
        <v/>
      </c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9" t="n"/>
      <c r="M537" s="39" t="n"/>
      <c r="N537" s="38" t="n"/>
      <c r="O537" s="40">
        <f>IF($Q537=0,"",IF(C537&gt;=C$2,1,0)+IF(D537&gt;=D$2,1,0)+IF(E537&gt;=E$2,1,0)+IF(F537&gt;=F$2,1,0))</f>
        <v/>
      </c>
      <c r="P537" s="41" t="n"/>
      <c r="Q537" s="42">
        <f>IF(COUNT(C537:M537)&gt;0,1,0)</f>
        <v/>
      </c>
      <c r="R537" s="42">
        <f>IF(Q537=0,0,R536+1)</f>
        <v/>
      </c>
      <c r="S537" s="42">
        <f>IF(O537="",0,IF(O537=4,S536+1,0))</f>
        <v/>
      </c>
      <c r="T537" s="43">
        <f>IF(Q537=1,A537,"")</f>
        <v/>
      </c>
    </row>
    <row r="538">
      <c r="A538" s="36">
        <f>A537+1</f>
        <v/>
      </c>
      <c r="B538" s="37">
        <f>IF(A538="","",TEXT(A538,"ddd"))</f>
        <v/>
      </c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9" t="n"/>
      <c r="M538" s="39" t="n"/>
      <c r="N538" s="38" t="n"/>
      <c r="O538" s="40">
        <f>IF($Q538=0,"",IF(C538&gt;=C$2,1,0)+IF(D538&gt;=D$2,1,0)+IF(E538&gt;=E$2,1,0)+IF(F538&gt;=F$2,1,0))</f>
        <v/>
      </c>
      <c r="P538" s="41" t="n"/>
      <c r="Q538" s="42">
        <f>IF(COUNT(C538:M538)&gt;0,1,0)</f>
        <v/>
      </c>
      <c r="R538" s="42">
        <f>IF(Q538=0,0,R537+1)</f>
        <v/>
      </c>
      <c r="S538" s="42">
        <f>IF(O538="",0,IF(O538=4,S537+1,0))</f>
        <v/>
      </c>
      <c r="T538" s="43">
        <f>IF(Q538=1,A538,"")</f>
        <v/>
      </c>
    </row>
    <row r="539">
      <c r="A539" s="36">
        <f>A538+1</f>
        <v/>
      </c>
      <c r="B539" s="37">
        <f>IF(A539="","",TEXT(A539,"ddd"))</f>
        <v/>
      </c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9" t="n"/>
      <c r="M539" s="39" t="n"/>
      <c r="N539" s="38" t="n"/>
      <c r="O539" s="40">
        <f>IF($Q539=0,"",IF(C539&gt;=C$2,1,0)+IF(D539&gt;=D$2,1,0)+IF(E539&gt;=E$2,1,0)+IF(F539&gt;=F$2,1,0))</f>
        <v/>
      </c>
      <c r="P539" s="41" t="n"/>
      <c r="Q539" s="42">
        <f>IF(COUNT(C539:M539)&gt;0,1,0)</f>
        <v/>
      </c>
      <c r="R539" s="42">
        <f>IF(Q539=0,0,R538+1)</f>
        <v/>
      </c>
      <c r="S539" s="42">
        <f>IF(O539="",0,IF(O539=4,S538+1,0))</f>
        <v/>
      </c>
      <c r="T539" s="43">
        <f>IF(Q539=1,A539,"")</f>
        <v/>
      </c>
    </row>
    <row r="540">
      <c r="A540" s="36">
        <f>A539+1</f>
        <v/>
      </c>
      <c r="B540" s="37">
        <f>IF(A540="","",TEXT(A540,"ddd"))</f>
        <v/>
      </c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9" t="n"/>
      <c r="M540" s="39" t="n"/>
      <c r="N540" s="38" t="n"/>
      <c r="O540" s="40">
        <f>IF($Q540=0,"",IF(C540&gt;=C$2,1,0)+IF(D540&gt;=D$2,1,0)+IF(E540&gt;=E$2,1,0)+IF(F540&gt;=F$2,1,0))</f>
        <v/>
      </c>
      <c r="P540" s="41" t="n"/>
      <c r="Q540" s="42">
        <f>IF(COUNT(C540:M540)&gt;0,1,0)</f>
        <v/>
      </c>
      <c r="R540" s="42">
        <f>IF(Q540=0,0,R539+1)</f>
        <v/>
      </c>
      <c r="S540" s="42">
        <f>IF(O540="",0,IF(O540=4,S539+1,0))</f>
        <v/>
      </c>
      <c r="T540" s="43">
        <f>IF(Q540=1,A540,"")</f>
        <v/>
      </c>
    </row>
    <row r="541">
      <c r="A541" s="36">
        <f>A540+1</f>
        <v/>
      </c>
      <c r="B541" s="37">
        <f>IF(A541="","",TEXT(A541,"ddd"))</f>
        <v/>
      </c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9" t="n"/>
      <c r="M541" s="39" t="n"/>
      <c r="N541" s="38" t="n"/>
      <c r="O541" s="40">
        <f>IF($Q541=0,"",IF(C541&gt;=C$2,1,0)+IF(D541&gt;=D$2,1,0)+IF(E541&gt;=E$2,1,0)+IF(F541&gt;=F$2,1,0))</f>
        <v/>
      </c>
      <c r="P541" s="41" t="n"/>
      <c r="Q541" s="42">
        <f>IF(COUNT(C541:M541)&gt;0,1,0)</f>
        <v/>
      </c>
      <c r="R541" s="42">
        <f>IF(Q541=0,0,R540+1)</f>
        <v/>
      </c>
      <c r="S541" s="42">
        <f>IF(O541="",0,IF(O541=4,S540+1,0))</f>
        <v/>
      </c>
      <c r="T541" s="43">
        <f>IF(Q541=1,A541,"")</f>
        <v/>
      </c>
    </row>
    <row r="542">
      <c r="A542" s="36">
        <f>A541+1</f>
        <v/>
      </c>
      <c r="B542" s="37">
        <f>IF(A542="","",TEXT(A542,"ddd"))</f>
        <v/>
      </c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9" t="n"/>
      <c r="M542" s="39" t="n"/>
      <c r="N542" s="38" t="n"/>
      <c r="O542" s="40">
        <f>IF($Q542=0,"",IF(C542&gt;=C$2,1,0)+IF(D542&gt;=D$2,1,0)+IF(E542&gt;=E$2,1,0)+IF(F542&gt;=F$2,1,0))</f>
        <v/>
      </c>
      <c r="P542" s="41" t="n"/>
      <c r="Q542" s="42">
        <f>IF(COUNT(C542:M542)&gt;0,1,0)</f>
        <v/>
      </c>
      <c r="R542" s="42">
        <f>IF(Q542=0,0,R541+1)</f>
        <v/>
      </c>
      <c r="S542" s="42">
        <f>IF(O542="",0,IF(O542=4,S541+1,0))</f>
        <v/>
      </c>
      <c r="T542" s="43">
        <f>IF(Q542=1,A542,"")</f>
        <v/>
      </c>
    </row>
    <row r="543">
      <c r="A543" s="36">
        <f>A542+1</f>
        <v/>
      </c>
      <c r="B543" s="37">
        <f>IF(A543="","",TEXT(A543,"ddd"))</f>
        <v/>
      </c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9" t="n"/>
      <c r="M543" s="39" t="n"/>
      <c r="N543" s="38" t="n"/>
      <c r="O543" s="40">
        <f>IF($Q543=0,"",IF(C543&gt;=C$2,1,0)+IF(D543&gt;=D$2,1,0)+IF(E543&gt;=E$2,1,0)+IF(F543&gt;=F$2,1,0))</f>
        <v/>
      </c>
      <c r="P543" s="41" t="n"/>
      <c r="Q543" s="42">
        <f>IF(COUNT(C543:M543)&gt;0,1,0)</f>
        <v/>
      </c>
      <c r="R543" s="42">
        <f>IF(Q543=0,0,R542+1)</f>
        <v/>
      </c>
      <c r="S543" s="42">
        <f>IF(O543="",0,IF(O543=4,S542+1,0))</f>
        <v/>
      </c>
      <c r="T543" s="43">
        <f>IF(Q543=1,A543,"")</f>
        <v/>
      </c>
    </row>
    <row r="544">
      <c r="A544" s="36">
        <f>A543+1</f>
        <v/>
      </c>
      <c r="B544" s="37">
        <f>IF(A544="","",TEXT(A544,"ddd"))</f>
        <v/>
      </c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9" t="n"/>
      <c r="M544" s="39" t="n"/>
      <c r="N544" s="38" t="n"/>
      <c r="O544" s="40">
        <f>IF($Q544=0,"",IF(C544&gt;=C$2,1,0)+IF(D544&gt;=D$2,1,0)+IF(E544&gt;=E$2,1,0)+IF(F544&gt;=F$2,1,0))</f>
        <v/>
      </c>
      <c r="P544" s="41" t="n"/>
      <c r="Q544" s="42">
        <f>IF(COUNT(C544:M544)&gt;0,1,0)</f>
        <v/>
      </c>
      <c r="R544" s="42">
        <f>IF(Q544=0,0,R543+1)</f>
        <v/>
      </c>
      <c r="S544" s="42">
        <f>IF(O544="",0,IF(O544=4,S543+1,0))</f>
        <v/>
      </c>
      <c r="T544" s="43">
        <f>IF(Q544=1,A544,"")</f>
        <v/>
      </c>
    </row>
    <row r="545">
      <c r="A545" s="36">
        <f>A544+1</f>
        <v/>
      </c>
      <c r="B545" s="37">
        <f>IF(A545="","",TEXT(A545,"ddd"))</f>
        <v/>
      </c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9" t="n"/>
      <c r="M545" s="39" t="n"/>
      <c r="N545" s="38" t="n"/>
      <c r="O545" s="40">
        <f>IF($Q545=0,"",IF(C545&gt;=C$2,1,0)+IF(D545&gt;=D$2,1,0)+IF(E545&gt;=E$2,1,0)+IF(F545&gt;=F$2,1,0))</f>
        <v/>
      </c>
      <c r="P545" s="41" t="n"/>
      <c r="Q545" s="42">
        <f>IF(COUNT(C545:M545)&gt;0,1,0)</f>
        <v/>
      </c>
      <c r="R545" s="42">
        <f>IF(Q545=0,0,R544+1)</f>
        <v/>
      </c>
      <c r="S545" s="42">
        <f>IF(O545="",0,IF(O545=4,S544+1,0))</f>
        <v/>
      </c>
      <c r="T545" s="43">
        <f>IF(Q545=1,A545,"")</f>
        <v/>
      </c>
    </row>
    <row r="546">
      <c r="A546" s="36">
        <f>A545+1</f>
        <v/>
      </c>
      <c r="B546" s="37">
        <f>IF(A546="","",TEXT(A546,"ddd"))</f>
        <v/>
      </c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9" t="n"/>
      <c r="M546" s="39" t="n"/>
      <c r="N546" s="38" t="n"/>
      <c r="O546" s="40">
        <f>IF($Q546=0,"",IF(C546&gt;=C$2,1,0)+IF(D546&gt;=D$2,1,0)+IF(E546&gt;=E$2,1,0)+IF(F546&gt;=F$2,1,0))</f>
        <v/>
      </c>
      <c r="P546" s="41" t="n"/>
      <c r="Q546" s="42">
        <f>IF(COUNT(C546:M546)&gt;0,1,0)</f>
        <v/>
      </c>
      <c r="R546" s="42">
        <f>IF(Q546=0,0,R545+1)</f>
        <v/>
      </c>
      <c r="S546" s="42">
        <f>IF(O546="",0,IF(O546=4,S545+1,0))</f>
        <v/>
      </c>
      <c r="T546" s="43">
        <f>IF(Q546=1,A546,"")</f>
        <v/>
      </c>
    </row>
    <row r="547">
      <c r="A547" s="36">
        <f>A546+1</f>
        <v/>
      </c>
      <c r="B547" s="37">
        <f>IF(A547="","",TEXT(A547,"ddd"))</f>
        <v/>
      </c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9" t="n"/>
      <c r="M547" s="39" t="n"/>
      <c r="N547" s="38" t="n"/>
      <c r="O547" s="40">
        <f>IF($Q547=0,"",IF(C547&gt;=C$2,1,0)+IF(D547&gt;=D$2,1,0)+IF(E547&gt;=E$2,1,0)+IF(F547&gt;=F$2,1,0))</f>
        <v/>
      </c>
      <c r="P547" s="41" t="n"/>
      <c r="Q547" s="42">
        <f>IF(COUNT(C547:M547)&gt;0,1,0)</f>
        <v/>
      </c>
      <c r="R547" s="42">
        <f>IF(Q547=0,0,R546+1)</f>
        <v/>
      </c>
      <c r="S547" s="42">
        <f>IF(O547="",0,IF(O547=4,S546+1,0))</f>
        <v/>
      </c>
      <c r="T547" s="43">
        <f>IF(Q547=1,A547,"")</f>
        <v/>
      </c>
    </row>
    <row r="548">
      <c r="A548" s="36">
        <f>A547+1</f>
        <v/>
      </c>
      <c r="B548" s="37">
        <f>IF(A548="","",TEXT(A548,"ddd"))</f>
        <v/>
      </c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9" t="n"/>
      <c r="M548" s="39" t="n"/>
      <c r="N548" s="38" t="n"/>
      <c r="O548" s="40">
        <f>IF($Q548=0,"",IF(C548&gt;=C$2,1,0)+IF(D548&gt;=D$2,1,0)+IF(E548&gt;=E$2,1,0)+IF(F548&gt;=F$2,1,0))</f>
        <v/>
      </c>
      <c r="P548" s="41" t="n"/>
      <c r="Q548" s="42">
        <f>IF(COUNT(C548:M548)&gt;0,1,0)</f>
        <v/>
      </c>
      <c r="R548" s="42">
        <f>IF(Q548=0,0,R547+1)</f>
        <v/>
      </c>
      <c r="S548" s="42">
        <f>IF(O548="",0,IF(O548=4,S547+1,0))</f>
        <v/>
      </c>
      <c r="T548" s="43">
        <f>IF(Q548=1,A548,"")</f>
        <v/>
      </c>
    </row>
    <row r="549">
      <c r="A549" s="36">
        <f>A548+1</f>
        <v/>
      </c>
      <c r="B549" s="37">
        <f>IF(A549="","",TEXT(A549,"ddd"))</f>
        <v/>
      </c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9" t="n"/>
      <c r="M549" s="39" t="n"/>
      <c r="N549" s="38" t="n"/>
      <c r="O549" s="40">
        <f>IF($Q549=0,"",IF(C549&gt;=C$2,1,0)+IF(D549&gt;=D$2,1,0)+IF(E549&gt;=E$2,1,0)+IF(F549&gt;=F$2,1,0))</f>
        <v/>
      </c>
      <c r="P549" s="41" t="n"/>
      <c r="Q549" s="42">
        <f>IF(COUNT(C549:M549)&gt;0,1,0)</f>
        <v/>
      </c>
      <c r="R549" s="42">
        <f>IF(Q549=0,0,R548+1)</f>
        <v/>
      </c>
      <c r="S549" s="42">
        <f>IF(O549="",0,IF(O549=4,S548+1,0))</f>
        <v/>
      </c>
      <c r="T549" s="43">
        <f>IF(Q549=1,A549,"")</f>
        <v/>
      </c>
    </row>
    <row r="550">
      <c r="A550" s="36">
        <f>A549+1</f>
        <v/>
      </c>
      <c r="B550" s="37">
        <f>IF(A550="","",TEXT(A550,"ddd"))</f>
        <v/>
      </c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9" t="n"/>
      <c r="M550" s="39" t="n"/>
      <c r="N550" s="38" t="n"/>
      <c r="O550" s="40">
        <f>IF($Q550=0,"",IF(C550&gt;=C$2,1,0)+IF(D550&gt;=D$2,1,0)+IF(E550&gt;=E$2,1,0)+IF(F550&gt;=F$2,1,0))</f>
        <v/>
      </c>
      <c r="P550" s="41" t="n"/>
      <c r="Q550" s="42">
        <f>IF(COUNT(C550:M550)&gt;0,1,0)</f>
        <v/>
      </c>
      <c r="R550" s="42">
        <f>IF(Q550=0,0,R549+1)</f>
        <v/>
      </c>
      <c r="S550" s="42">
        <f>IF(O550="",0,IF(O550=4,S549+1,0))</f>
        <v/>
      </c>
      <c r="T550" s="43">
        <f>IF(Q550=1,A550,"")</f>
        <v/>
      </c>
    </row>
    <row r="551">
      <c r="A551" s="36">
        <f>A550+1</f>
        <v/>
      </c>
      <c r="B551" s="37">
        <f>IF(A551="","",TEXT(A551,"ddd"))</f>
        <v/>
      </c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9" t="n"/>
      <c r="M551" s="39" t="n"/>
      <c r="N551" s="38" t="n"/>
      <c r="O551" s="40">
        <f>IF($Q551=0,"",IF(C551&gt;=C$2,1,0)+IF(D551&gt;=D$2,1,0)+IF(E551&gt;=E$2,1,0)+IF(F551&gt;=F$2,1,0))</f>
        <v/>
      </c>
      <c r="P551" s="41" t="n"/>
      <c r="Q551" s="42">
        <f>IF(COUNT(C551:M551)&gt;0,1,0)</f>
        <v/>
      </c>
      <c r="R551" s="42">
        <f>IF(Q551=0,0,R550+1)</f>
        <v/>
      </c>
      <c r="S551" s="42">
        <f>IF(O551="",0,IF(O551=4,S550+1,0))</f>
        <v/>
      </c>
      <c r="T551" s="43">
        <f>IF(Q551=1,A551,"")</f>
        <v/>
      </c>
    </row>
    <row r="552">
      <c r="A552" s="36">
        <f>A551+1</f>
        <v/>
      </c>
      <c r="B552" s="37">
        <f>IF(A552="","",TEXT(A552,"ddd"))</f>
        <v/>
      </c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9" t="n"/>
      <c r="M552" s="39" t="n"/>
      <c r="N552" s="38" t="n"/>
      <c r="O552" s="40">
        <f>IF($Q552=0,"",IF(C552&gt;=C$2,1,0)+IF(D552&gt;=D$2,1,0)+IF(E552&gt;=E$2,1,0)+IF(F552&gt;=F$2,1,0))</f>
        <v/>
      </c>
      <c r="P552" s="41" t="n"/>
      <c r="Q552" s="42">
        <f>IF(COUNT(C552:M552)&gt;0,1,0)</f>
        <v/>
      </c>
      <c r="R552" s="42">
        <f>IF(Q552=0,0,R551+1)</f>
        <v/>
      </c>
      <c r="S552" s="42">
        <f>IF(O552="",0,IF(O552=4,S551+1,0))</f>
        <v/>
      </c>
      <c r="T552" s="43">
        <f>IF(Q552=1,A552,"")</f>
        <v/>
      </c>
    </row>
    <row r="553">
      <c r="A553" s="36">
        <f>A552+1</f>
        <v/>
      </c>
      <c r="B553" s="37">
        <f>IF(A553="","",TEXT(A553,"ddd"))</f>
        <v/>
      </c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9" t="n"/>
      <c r="M553" s="39" t="n"/>
      <c r="N553" s="38" t="n"/>
      <c r="O553" s="40">
        <f>IF($Q553=0,"",IF(C553&gt;=C$2,1,0)+IF(D553&gt;=D$2,1,0)+IF(E553&gt;=E$2,1,0)+IF(F553&gt;=F$2,1,0))</f>
        <v/>
      </c>
      <c r="P553" s="41" t="n"/>
      <c r="Q553" s="42">
        <f>IF(COUNT(C553:M553)&gt;0,1,0)</f>
        <v/>
      </c>
      <c r="R553" s="42">
        <f>IF(Q553=0,0,R552+1)</f>
        <v/>
      </c>
      <c r="S553" s="42">
        <f>IF(O553="",0,IF(O553=4,S552+1,0))</f>
        <v/>
      </c>
      <c r="T553" s="43">
        <f>IF(Q553=1,A553,"")</f>
        <v/>
      </c>
    </row>
    <row r="554">
      <c r="A554" s="36">
        <f>A553+1</f>
        <v/>
      </c>
      <c r="B554" s="37">
        <f>IF(A554="","",TEXT(A554,"ddd"))</f>
        <v/>
      </c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9" t="n"/>
      <c r="M554" s="39" t="n"/>
      <c r="N554" s="38" t="n"/>
      <c r="O554" s="40">
        <f>IF($Q554=0,"",IF(C554&gt;=C$2,1,0)+IF(D554&gt;=D$2,1,0)+IF(E554&gt;=E$2,1,0)+IF(F554&gt;=F$2,1,0))</f>
        <v/>
      </c>
      <c r="P554" s="41" t="n"/>
      <c r="Q554" s="42">
        <f>IF(COUNT(C554:M554)&gt;0,1,0)</f>
        <v/>
      </c>
      <c r="R554" s="42">
        <f>IF(Q554=0,0,R553+1)</f>
        <v/>
      </c>
      <c r="S554" s="42">
        <f>IF(O554="",0,IF(O554=4,S553+1,0))</f>
        <v/>
      </c>
      <c r="T554" s="43">
        <f>IF(Q554=1,A554,"")</f>
        <v/>
      </c>
    </row>
    <row r="555">
      <c r="A555" s="36">
        <f>A554+1</f>
        <v/>
      </c>
      <c r="B555" s="37">
        <f>IF(A555="","",TEXT(A555,"ddd"))</f>
        <v/>
      </c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9" t="n"/>
      <c r="M555" s="39" t="n"/>
      <c r="N555" s="38" t="n"/>
      <c r="O555" s="40">
        <f>IF($Q555=0,"",IF(C555&gt;=C$2,1,0)+IF(D555&gt;=D$2,1,0)+IF(E555&gt;=E$2,1,0)+IF(F555&gt;=F$2,1,0))</f>
        <v/>
      </c>
      <c r="P555" s="41" t="n"/>
      <c r="Q555" s="42">
        <f>IF(COUNT(C555:M555)&gt;0,1,0)</f>
        <v/>
      </c>
      <c r="R555" s="42">
        <f>IF(Q555=0,0,R554+1)</f>
        <v/>
      </c>
      <c r="S555" s="42">
        <f>IF(O555="",0,IF(O555=4,S554+1,0))</f>
        <v/>
      </c>
      <c r="T555" s="43">
        <f>IF(Q555=1,A555,"")</f>
        <v/>
      </c>
    </row>
    <row r="556">
      <c r="A556" s="36">
        <f>A555+1</f>
        <v/>
      </c>
      <c r="B556" s="37">
        <f>IF(A556="","",TEXT(A556,"ddd"))</f>
        <v/>
      </c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9" t="n"/>
      <c r="M556" s="39" t="n"/>
      <c r="N556" s="38" t="n"/>
      <c r="O556" s="40">
        <f>IF($Q556=0,"",IF(C556&gt;=C$2,1,0)+IF(D556&gt;=D$2,1,0)+IF(E556&gt;=E$2,1,0)+IF(F556&gt;=F$2,1,0))</f>
        <v/>
      </c>
      <c r="P556" s="41" t="n"/>
      <c r="Q556" s="42">
        <f>IF(COUNT(C556:M556)&gt;0,1,0)</f>
        <v/>
      </c>
      <c r="R556" s="42">
        <f>IF(Q556=0,0,R555+1)</f>
        <v/>
      </c>
      <c r="S556" s="42">
        <f>IF(O556="",0,IF(O556=4,S555+1,0))</f>
        <v/>
      </c>
      <c r="T556" s="43">
        <f>IF(Q556=1,A556,"")</f>
        <v/>
      </c>
    </row>
    <row r="557">
      <c r="A557" s="36">
        <f>A556+1</f>
        <v/>
      </c>
      <c r="B557" s="37">
        <f>IF(A557="","",TEXT(A557,"ddd"))</f>
        <v/>
      </c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9" t="n"/>
      <c r="M557" s="39" t="n"/>
      <c r="N557" s="38" t="n"/>
      <c r="O557" s="40">
        <f>IF($Q557=0,"",IF(C557&gt;=C$2,1,0)+IF(D557&gt;=D$2,1,0)+IF(E557&gt;=E$2,1,0)+IF(F557&gt;=F$2,1,0))</f>
        <v/>
      </c>
      <c r="P557" s="41" t="n"/>
      <c r="Q557" s="42">
        <f>IF(COUNT(C557:M557)&gt;0,1,0)</f>
        <v/>
      </c>
      <c r="R557" s="42">
        <f>IF(Q557=0,0,R556+1)</f>
        <v/>
      </c>
      <c r="S557" s="42">
        <f>IF(O557="",0,IF(O557=4,S556+1,0))</f>
        <v/>
      </c>
      <c r="T557" s="43">
        <f>IF(Q557=1,A557,"")</f>
        <v/>
      </c>
    </row>
    <row r="558">
      <c r="A558" s="36">
        <f>A557+1</f>
        <v/>
      </c>
      <c r="B558" s="37">
        <f>IF(A558="","",TEXT(A558,"ddd"))</f>
        <v/>
      </c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9" t="n"/>
      <c r="M558" s="39" t="n"/>
      <c r="N558" s="38" t="n"/>
      <c r="O558" s="40">
        <f>IF($Q558=0,"",IF(C558&gt;=C$2,1,0)+IF(D558&gt;=D$2,1,0)+IF(E558&gt;=E$2,1,0)+IF(F558&gt;=F$2,1,0))</f>
        <v/>
      </c>
      <c r="P558" s="41" t="n"/>
      <c r="Q558" s="42">
        <f>IF(COUNT(C558:M558)&gt;0,1,0)</f>
        <v/>
      </c>
      <c r="R558" s="42">
        <f>IF(Q558=0,0,R557+1)</f>
        <v/>
      </c>
      <c r="S558" s="42">
        <f>IF(O558="",0,IF(O558=4,S557+1,0))</f>
        <v/>
      </c>
      <c r="T558" s="43">
        <f>IF(Q558=1,A558,"")</f>
        <v/>
      </c>
    </row>
    <row r="559">
      <c r="A559" s="36">
        <f>A558+1</f>
        <v/>
      </c>
      <c r="B559" s="37">
        <f>IF(A559="","",TEXT(A559,"ddd"))</f>
        <v/>
      </c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9" t="n"/>
      <c r="M559" s="39" t="n"/>
      <c r="N559" s="38" t="n"/>
      <c r="O559" s="40">
        <f>IF($Q559=0,"",IF(C559&gt;=C$2,1,0)+IF(D559&gt;=D$2,1,0)+IF(E559&gt;=E$2,1,0)+IF(F559&gt;=F$2,1,0))</f>
        <v/>
      </c>
      <c r="P559" s="41" t="n"/>
      <c r="Q559" s="42">
        <f>IF(COUNT(C559:M559)&gt;0,1,0)</f>
        <v/>
      </c>
      <c r="R559" s="42">
        <f>IF(Q559=0,0,R558+1)</f>
        <v/>
      </c>
      <c r="S559" s="42">
        <f>IF(O559="",0,IF(O559=4,S558+1,0))</f>
        <v/>
      </c>
      <c r="T559" s="43">
        <f>IF(Q559=1,A559,"")</f>
        <v/>
      </c>
    </row>
    <row r="560">
      <c r="A560" s="36">
        <f>A559+1</f>
        <v/>
      </c>
      <c r="B560" s="37">
        <f>IF(A560="","",TEXT(A560,"ddd"))</f>
        <v/>
      </c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9" t="n"/>
      <c r="M560" s="39" t="n"/>
      <c r="N560" s="38" t="n"/>
      <c r="O560" s="40">
        <f>IF($Q560=0,"",IF(C560&gt;=C$2,1,0)+IF(D560&gt;=D$2,1,0)+IF(E560&gt;=E$2,1,0)+IF(F560&gt;=F$2,1,0))</f>
        <v/>
      </c>
      <c r="P560" s="41" t="n"/>
      <c r="Q560" s="42">
        <f>IF(COUNT(C560:M560)&gt;0,1,0)</f>
        <v/>
      </c>
      <c r="R560" s="42">
        <f>IF(Q560=0,0,R559+1)</f>
        <v/>
      </c>
      <c r="S560" s="42">
        <f>IF(O560="",0,IF(O560=4,S559+1,0))</f>
        <v/>
      </c>
      <c r="T560" s="43">
        <f>IF(Q560=1,A560,"")</f>
        <v/>
      </c>
    </row>
    <row r="561">
      <c r="A561" s="36">
        <f>A560+1</f>
        <v/>
      </c>
      <c r="B561" s="37">
        <f>IF(A561="","",TEXT(A561,"ddd"))</f>
        <v/>
      </c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9" t="n"/>
      <c r="M561" s="39" t="n"/>
      <c r="N561" s="38" t="n"/>
      <c r="O561" s="40">
        <f>IF($Q561=0,"",IF(C561&gt;=C$2,1,0)+IF(D561&gt;=D$2,1,0)+IF(E561&gt;=E$2,1,0)+IF(F561&gt;=F$2,1,0))</f>
        <v/>
      </c>
      <c r="P561" s="41" t="n"/>
      <c r="Q561" s="42">
        <f>IF(COUNT(C561:M561)&gt;0,1,0)</f>
        <v/>
      </c>
      <c r="R561" s="42">
        <f>IF(Q561=0,0,R560+1)</f>
        <v/>
      </c>
      <c r="S561" s="42">
        <f>IF(O561="",0,IF(O561=4,S560+1,0))</f>
        <v/>
      </c>
      <c r="T561" s="43">
        <f>IF(Q561=1,A561,"")</f>
        <v/>
      </c>
    </row>
    <row r="562">
      <c r="A562" s="36">
        <f>A561+1</f>
        <v/>
      </c>
      <c r="B562" s="37">
        <f>IF(A562="","",TEXT(A562,"ddd"))</f>
        <v/>
      </c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9" t="n"/>
      <c r="M562" s="39" t="n"/>
      <c r="N562" s="38" t="n"/>
      <c r="O562" s="40">
        <f>IF($Q562=0,"",IF(C562&gt;=C$2,1,0)+IF(D562&gt;=D$2,1,0)+IF(E562&gt;=E$2,1,0)+IF(F562&gt;=F$2,1,0))</f>
        <v/>
      </c>
      <c r="P562" s="41" t="n"/>
      <c r="Q562" s="42">
        <f>IF(COUNT(C562:M562)&gt;0,1,0)</f>
        <v/>
      </c>
      <c r="R562" s="42">
        <f>IF(Q562=0,0,R561+1)</f>
        <v/>
      </c>
      <c r="S562" s="42">
        <f>IF(O562="",0,IF(O562=4,S561+1,0))</f>
        <v/>
      </c>
      <c r="T562" s="43">
        <f>IF(Q562=1,A562,"")</f>
        <v/>
      </c>
    </row>
    <row r="563">
      <c r="A563" s="36">
        <f>A562+1</f>
        <v/>
      </c>
      <c r="B563" s="37">
        <f>IF(A563="","",TEXT(A563,"ddd"))</f>
        <v/>
      </c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9" t="n"/>
      <c r="M563" s="39" t="n"/>
      <c r="N563" s="38" t="n"/>
      <c r="O563" s="40">
        <f>IF($Q563=0,"",IF(C563&gt;=C$2,1,0)+IF(D563&gt;=D$2,1,0)+IF(E563&gt;=E$2,1,0)+IF(F563&gt;=F$2,1,0))</f>
        <v/>
      </c>
      <c r="P563" s="41" t="n"/>
      <c r="Q563" s="42">
        <f>IF(COUNT(C563:M563)&gt;0,1,0)</f>
        <v/>
      </c>
      <c r="R563" s="42">
        <f>IF(Q563=0,0,R562+1)</f>
        <v/>
      </c>
      <c r="S563" s="42">
        <f>IF(O563="",0,IF(O563=4,S562+1,0))</f>
        <v/>
      </c>
      <c r="T563" s="43">
        <f>IF(Q563=1,A563,"")</f>
        <v/>
      </c>
    </row>
    <row r="564">
      <c r="A564" s="36">
        <f>A563+1</f>
        <v/>
      </c>
      <c r="B564" s="37">
        <f>IF(A564="","",TEXT(A564,"ddd"))</f>
        <v/>
      </c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9" t="n"/>
      <c r="M564" s="39" t="n"/>
      <c r="N564" s="38" t="n"/>
      <c r="O564" s="40">
        <f>IF($Q564=0,"",IF(C564&gt;=C$2,1,0)+IF(D564&gt;=D$2,1,0)+IF(E564&gt;=E$2,1,0)+IF(F564&gt;=F$2,1,0))</f>
        <v/>
      </c>
      <c r="P564" s="41" t="n"/>
      <c r="Q564" s="42">
        <f>IF(COUNT(C564:M564)&gt;0,1,0)</f>
        <v/>
      </c>
      <c r="R564" s="42">
        <f>IF(Q564=0,0,R563+1)</f>
        <v/>
      </c>
      <c r="S564" s="42">
        <f>IF(O564="",0,IF(O564=4,S563+1,0))</f>
        <v/>
      </c>
      <c r="T564" s="43">
        <f>IF(Q564=1,A564,"")</f>
        <v/>
      </c>
    </row>
    <row r="565">
      <c r="A565" s="36">
        <f>A564+1</f>
        <v/>
      </c>
      <c r="B565" s="37">
        <f>IF(A565="","",TEXT(A565,"ddd"))</f>
        <v/>
      </c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9" t="n"/>
      <c r="M565" s="39" t="n"/>
      <c r="N565" s="38" t="n"/>
      <c r="O565" s="40">
        <f>IF($Q565=0,"",IF(C565&gt;=C$2,1,0)+IF(D565&gt;=D$2,1,0)+IF(E565&gt;=E$2,1,0)+IF(F565&gt;=F$2,1,0))</f>
        <v/>
      </c>
      <c r="P565" s="41" t="n"/>
      <c r="Q565" s="42">
        <f>IF(COUNT(C565:M565)&gt;0,1,0)</f>
        <v/>
      </c>
      <c r="R565" s="42">
        <f>IF(Q565=0,0,R564+1)</f>
        <v/>
      </c>
      <c r="S565" s="42">
        <f>IF(O565="",0,IF(O565=4,S564+1,0))</f>
        <v/>
      </c>
      <c r="T565" s="43">
        <f>IF(Q565=1,A565,"")</f>
        <v/>
      </c>
    </row>
    <row r="566">
      <c r="A566" s="36">
        <f>A565+1</f>
        <v/>
      </c>
      <c r="B566" s="37">
        <f>IF(A566="","",TEXT(A566,"ddd"))</f>
        <v/>
      </c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9" t="n"/>
      <c r="M566" s="39" t="n"/>
      <c r="N566" s="38" t="n"/>
      <c r="O566" s="40">
        <f>IF($Q566=0,"",IF(C566&gt;=C$2,1,0)+IF(D566&gt;=D$2,1,0)+IF(E566&gt;=E$2,1,0)+IF(F566&gt;=F$2,1,0))</f>
        <v/>
      </c>
      <c r="P566" s="41" t="n"/>
      <c r="Q566" s="42">
        <f>IF(COUNT(C566:M566)&gt;0,1,0)</f>
        <v/>
      </c>
      <c r="R566" s="42">
        <f>IF(Q566=0,0,R565+1)</f>
        <v/>
      </c>
      <c r="S566" s="42">
        <f>IF(O566="",0,IF(O566=4,S565+1,0))</f>
        <v/>
      </c>
      <c r="T566" s="43">
        <f>IF(Q566=1,A566,"")</f>
        <v/>
      </c>
    </row>
    <row r="567">
      <c r="A567" s="36">
        <f>A566+1</f>
        <v/>
      </c>
      <c r="B567" s="37">
        <f>IF(A567="","",TEXT(A567,"ddd"))</f>
        <v/>
      </c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9" t="n"/>
      <c r="M567" s="39" t="n"/>
      <c r="N567" s="38" t="n"/>
      <c r="O567" s="40">
        <f>IF($Q567=0,"",IF(C567&gt;=C$2,1,0)+IF(D567&gt;=D$2,1,0)+IF(E567&gt;=E$2,1,0)+IF(F567&gt;=F$2,1,0))</f>
        <v/>
      </c>
      <c r="P567" s="41" t="n"/>
      <c r="Q567" s="42">
        <f>IF(COUNT(C567:M567)&gt;0,1,0)</f>
        <v/>
      </c>
      <c r="R567" s="42">
        <f>IF(Q567=0,0,R566+1)</f>
        <v/>
      </c>
      <c r="S567" s="42">
        <f>IF(O567="",0,IF(O567=4,S566+1,0))</f>
        <v/>
      </c>
      <c r="T567" s="43">
        <f>IF(Q567=1,A567,"")</f>
        <v/>
      </c>
    </row>
    <row r="568">
      <c r="A568" s="36">
        <f>A567+1</f>
        <v/>
      </c>
      <c r="B568" s="37">
        <f>IF(A568="","",TEXT(A568,"ddd"))</f>
        <v/>
      </c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9" t="n"/>
      <c r="M568" s="39" t="n"/>
      <c r="N568" s="38" t="n"/>
      <c r="O568" s="40">
        <f>IF($Q568=0,"",IF(C568&gt;=C$2,1,0)+IF(D568&gt;=D$2,1,0)+IF(E568&gt;=E$2,1,0)+IF(F568&gt;=F$2,1,0))</f>
        <v/>
      </c>
      <c r="P568" s="41" t="n"/>
      <c r="Q568" s="42">
        <f>IF(COUNT(C568:M568)&gt;0,1,0)</f>
        <v/>
      </c>
      <c r="R568" s="42">
        <f>IF(Q568=0,0,R567+1)</f>
        <v/>
      </c>
      <c r="S568" s="42">
        <f>IF(O568="",0,IF(O568=4,S567+1,0))</f>
        <v/>
      </c>
      <c r="T568" s="43">
        <f>IF(Q568=1,A568,"")</f>
        <v/>
      </c>
    </row>
    <row r="569">
      <c r="A569" s="36">
        <f>A568+1</f>
        <v/>
      </c>
      <c r="B569" s="37">
        <f>IF(A569="","",TEXT(A569,"ddd"))</f>
        <v/>
      </c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9" t="n"/>
      <c r="M569" s="39" t="n"/>
      <c r="N569" s="38" t="n"/>
      <c r="O569" s="40">
        <f>IF($Q569=0,"",IF(C569&gt;=C$2,1,0)+IF(D569&gt;=D$2,1,0)+IF(E569&gt;=E$2,1,0)+IF(F569&gt;=F$2,1,0))</f>
        <v/>
      </c>
      <c r="P569" s="41" t="n"/>
      <c r="Q569" s="42">
        <f>IF(COUNT(C569:M569)&gt;0,1,0)</f>
        <v/>
      </c>
      <c r="R569" s="42">
        <f>IF(Q569=0,0,R568+1)</f>
        <v/>
      </c>
      <c r="S569" s="42">
        <f>IF(O569="",0,IF(O569=4,S568+1,0))</f>
        <v/>
      </c>
      <c r="T569" s="43">
        <f>IF(Q569=1,A569,"")</f>
        <v/>
      </c>
    </row>
    <row r="570">
      <c r="A570" s="36">
        <f>A569+1</f>
        <v/>
      </c>
      <c r="B570" s="37">
        <f>IF(A570="","",TEXT(A570,"ddd"))</f>
        <v/>
      </c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9" t="n"/>
      <c r="M570" s="39" t="n"/>
      <c r="N570" s="38" t="n"/>
      <c r="O570" s="40">
        <f>IF($Q570=0,"",IF(C570&gt;=C$2,1,0)+IF(D570&gt;=D$2,1,0)+IF(E570&gt;=E$2,1,0)+IF(F570&gt;=F$2,1,0))</f>
        <v/>
      </c>
      <c r="P570" s="41" t="n"/>
      <c r="Q570" s="42">
        <f>IF(COUNT(C570:M570)&gt;0,1,0)</f>
        <v/>
      </c>
      <c r="R570" s="42">
        <f>IF(Q570=0,0,R569+1)</f>
        <v/>
      </c>
      <c r="S570" s="42">
        <f>IF(O570="",0,IF(O570=4,S569+1,0))</f>
        <v/>
      </c>
      <c r="T570" s="43">
        <f>IF(Q570=1,A570,"")</f>
        <v/>
      </c>
    </row>
    <row r="571">
      <c r="A571" s="36">
        <f>A570+1</f>
        <v/>
      </c>
      <c r="B571" s="37">
        <f>IF(A571="","",TEXT(A571,"ddd"))</f>
        <v/>
      </c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9" t="n"/>
      <c r="M571" s="39" t="n"/>
      <c r="N571" s="38" t="n"/>
      <c r="O571" s="40">
        <f>IF($Q571=0,"",IF(C571&gt;=C$2,1,0)+IF(D571&gt;=D$2,1,0)+IF(E571&gt;=E$2,1,0)+IF(F571&gt;=F$2,1,0))</f>
        <v/>
      </c>
      <c r="P571" s="41" t="n"/>
      <c r="Q571" s="42">
        <f>IF(COUNT(C571:M571)&gt;0,1,0)</f>
        <v/>
      </c>
      <c r="R571" s="42">
        <f>IF(Q571=0,0,R570+1)</f>
        <v/>
      </c>
      <c r="S571" s="42">
        <f>IF(O571="",0,IF(O571=4,S570+1,0))</f>
        <v/>
      </c>
      <c r="T571" s="43">
        <f>IF(Q571=1,A571,"")</f>
        <v/>
      </c>
    </row>
    <row r="572">
      <c r="A572" s="36">
        <f>A571+1</f>
        <v/>
      </c>
      <c r="B572" s="37">
        <f>IF(A572="","",TEXT(A572,"ddd"))</f>
        <v/>
      </c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9" t="n"/>
      <c r="M572" s="39" t="n"/>
      <c r="N572" s="38" t="n"/>
      <c r="O572" s="40">
        <f>IF($Q572=0,"",IF(C572&gt;=C$2,1,0)+IF(D572&gt;=D$2,1,0)+IF(E572&gt;=E$2,1,0)+IF(F572&gt;=F$2,1,0))</f>
        <v/>
      </c>
      <c r="P572" s="41" t="n"/>
      <c r="Q572" s="42">
        <f>IF(COUNT(C572:M572)&gt;0,1,0)</f>
        <v/>
      </c>
      <c r="R572" s="42">
        <f>IF(Q572=0,0,R571+1)</f>
        <v/>
      </c>
      <c r="S572" s="42">
        <f>IF(O572="",0,IF(O572=4,S571+1,0))</f>
        <v/>
      </c>
      <c r="T572" s="43">
        <f>IF(Q572=1,A572,"")</f>
        <v/>
      </c>
    </row>
    <row r="573">
      <c r="A573" s="36">
        <f>A572+1</f>
        <v/>
      </c>
      <c r="B573" s="37">
        <f>IF(A573="","",TEXT(A573,"ddd"))</f>
        <v/>
      </c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9" t="n"/>
      <c r="M573" s="39" t="n"/>
      <c r="N573" s="38" t="n"/>
      <c r="O573" s="40">
        <f>IF($Q573=0,"",IF(C573&gt;=C$2,1,0)+IF(D573&gt;=D$2,1,0)+IF(E573&gt;=E$2,1,0)+IF(F573&gt;=F$2,1,0))</f>
        <v/>
      </c>
      <c r="P573" s="41" t="n"/>
      <c r="Q573" s="42">
        <f>IF(COUNT(C573:M573)&gt;0,1,0)</f>
        <v/>
      </c>
      <c r="R573" s="42">
        <f>IF(Q573=0,0,R572+1)</f>
        <v/>
      </c>
      <c r="S573" s="42">
        <f>IF(O573="",0,IF(O573=4,S572+1,0))</f>
        <v/>
      </c>
      <c r="T573" s="43">
        <f>IF(Q573=1,A573,"")</f>
        <v/>
      </c>
    </row>
    <row r="574">
      <c r="A574" s="36">
        <f>A573+1</f>
        <v/>
      </c>
      <c r="B574" s="37">
        <f>IF(A574="","",TEXT(A574,"ddd"))</f>
        <v/>
      </c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9" t="n"/>
      <c r="M574" s="39" t="n"/>
      <c r="N574" s="38" t="n"/>
      <c r="O574" s="40">
        <f>IF($Q574=0,"",IF(C574&gt;=C$2,1,0)+IF(D574&gt;=D$2,1,0)+IF(E574&gt;=E$2,1,0)+IF(F574&gt;=F$2,1,0))</f>
        <v/>
      </c>
      <c r="P574" s="41" t="n"/>
      <c r="Q574" s="42">
        <f>IF(COUNT(C574:M574)&gt;0,1,0)</f>
        <v/>
      </c>
      <c r="R574" s="42">
        <f>IF(Q574=0,0,R573+1)</f>
        <v/>
      </c>
      <c r="S574" s="42">
        <f>IF(O574="",0,IF(O574=4,S573+1,0))</f>
        <v/>
      </c>
      <c r="T574" s="43">
        <f>IF(Q574=1,A574,"")</f>
        <v/>
      </c>
    </row>
    <row r="575">
      <c r="A575" s="36">
        <f>A574+1</f>
        <v/>
      </c>
      <c r="B575" s="37">
        <f>IF(A575="","",TEXT(A575,"ddd"))</f>
        <v/>
      </c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9" t="n"/>
      <c r="M575" s="39" t="n"/>
      <c r="N575" s="38" t="n"/>
      <c r="O575" s="40">
        <f>IF($Q575=0,"",IF(C575&gt;=C$2,1,0)+IF(D575&gt;=D$2,1,0)+IF(E575&gt;=E$2,1,0)+IF(F575&gt;=F$2,1,0))</f>
        <v/>
      </c>
      <c r="P575" s="41" t="n"/>
      <c r="Q575" s="42">
        <f>IF(COUNT(C575:M575)&gt;0,1,0)</f>
        <v/>
      </c>
      <c r="R575" s="42">
        <f>IF(Q575=0,0,R574+1)</f>
        <v/>
      </c>
      <c r="S575" s="42">
        <f>IF(O575="",0,IF(O575=4,S574+1,0))</f>
        <v/>
      </c>
      <c r="T575" s="43">
        <f>IF(Q575=1,A575,"")</f>
        <v/>
      </c>
    </row>
    <row r="576">
      <c r="A576" s="36">
        <f>A575+1</f>
        <v/>
      </c>
      <c r="B576" s="37">
        <f>IF(A576="","",TEXT(A576,"ddd"))</f>
        <v/>
      </c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9" t="n"/>
      <c r="M576" s="39" t="n"/>
      <c r="N576" s="38" t="n"/>
      <c r="O576" s="40">
        <f>IF($Q576=0,"",IF(C576&gt;=C$2,1,0)+IF(D576&gt;=D$2,1,0)+IF(E576&gt;=E$2,1,0)+IF(F576&gt;=F$2,1,0))</f>
        <v/>
      </c>
      <c r="P576" s="41" t="n"/>
      <c r="Q576" s="42">
        <f>IF(COUNT(C576:M576)&gt;0,1,0)</f>
        <v/>
      </c>
      <c r="R576" s="42">
        <f>IF(Q576=0,0,R575+1)</f>
        <v/>
      </c>
      <c r="S576" s="42">
        <f>IF(O576="",0,IF(O576=4,S575+1,0))</f>
        <v/>
      </c>
      <c r="T576" s="43">
        <f>IF(Q576=1,A576,"")</f>
        <v/>
      </c>
    </row>
    <row r="577">
      <c r="A577" s="36">
        <f>A576+1</f>
        <v/>
      </c>
      <c r="B577" s="37">
        <f>IF(A577="","",TEXT(A577,"ddd"))</f>
        <v/>
      </c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9" t="n"/>
      <c r="M577" s="39" t="n"/>
      <c r="N577" s="38" t="n"/>
      <c r="O577" s="40">
        <f>IF($Q577=0,"",IF(C577&gt;=C$2,1,0)+IF(D577&gt;=D$2,1,0)+IF(E577&gt;=E$2,1,0)+IF(F577&gt;=F$2,1,0))</f>
        <v/>
      </c>
      <c r="P577" s="41" t="n"/>
      <c r="Q577" s="42">
        <f>IF(COUNT(C577:M577)&gt;0,1,0)</f>
        <v/>
      </c>
      <c r="R577" s="42">
        <f>IF(Q577=0,0,R576+1)</f>
        <v/>
      </c>
      <c r="S577" s="42">
        <f>IF(O577="",0,IF(O577=4,S576+1,0))</f>
        <v/>
      </c>
      <c r="T577" s="43">
        <f>IF(Q577=1,A577,"")</f>
        <v/>
      </c>
    </row>
    <row r="578">
      <c r="A578" s="36">
        <f>A577+1</f>
        <v/>
      </c>
      <c r="B578" s="37">
        <f>IF(A578="","",TEXT(A578,"ddd"))</f>
        <v/>
      </c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9" t="n"/>
      <c r="M578" s="39" t="n"/>
      <c r="N578" s="38" t="n"/>
      <c r="O578" s="40">
        <f>IF($Q578=0,"",IF(C578&gt;=C$2,1,0)+IF(D578&gt;=D$2,1,0)+IF(E578&gt;=E$2,1,0)+IF(F578&gt;=F$2,1,0))</f>
        <v/>
      </c>
      <c r="P578" s="41" t="n"/>
      <c r="Q578" s="42">
        <f>IF(COUNT(C578:M578)&gt;0,1,0)</f>
        <v/>
      </c>
      <c r="R578" s="42">
        <f>IF(Q578=0,0,R577+1)</f>
        <v/>
      </c>
      <c r="S578" s="42">
        <f>IF(O578="",0,IF(O578=4,S577+1,0))</f>
        <v/>
      </c>
      <c r="T578" s="43">
        <f>IF(Q578=1,A578,"")</f>
        <v/>
      </c>
    </row>
    <row r="579">
      <c r="A579" s="36">
        <f>A578+1</f>
        <v/>
      </c>
      <c r="B579" s="37">
        <f>IF(A579="","",TEXT(A579,"ddd"))</f>
        <v/>
      </c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9" t="n"/>
      <c r="M579" s="39" t="n"/>
      <c r="N579" s="38" t="n"/>
      <c r="O579" s="40">
        <f>IF($Q579=0,"",IF(C579&gt;=C$2,1,0)+IF(D579&gt;=D$2,1,0)+IF(E579&gt;=E$2,1,0)+IF(F579&gt;=F$2,1,0))</f>
        <v/>
      </c>
      <c r="P579" s="41" t="n"/>
      <c r="Q579" s="42">
        <f>IF(COUNT(C579:M579)&gt;0,1,0)</f>
        <v/>
      </c>
      <c r="R579" s="42">
        <f>IF(Q579=0,0,R578+1)</f>
        <v/>
      </c>
      <c r="S579" s="42">
        <f>IF(O579="",0,IF(O579=4,S578+1,0))</f>
        <v/>
      </c>
      <c r="T579" s="43">
        <f>IF(Q579=1,A579,"")</f>
        <v/>
      </c>
    </row>
    <row r="580">
      <c r="A580" s="36">
        <f>A579+1</f>
        <v/>
      </c>
      <c r="B580" s="37">
        <f>IF(A580="","",TEXT(A580,"ddd"))</f>
        <v/>
      </c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9" t="n"/>
      <c r="M580" s="39" t="n"/>
      <c r="N580" s="38" t="n"/>
      <c r="O580" s="40">
        <f>IF($Q580=0,"",IF(C580&gt;=C$2,1,0)+IF(D580&gt;=D$2,1,0)+IF(E580&gt;=E$2,1,0)+IF(F580&gt;=F$2,1,0))</f>
        <v/>
      </c>
      <c r="P580" s="41" t="n"/>
      <c r="Q580" s="42">
        <f>IF(COUNT(C580:M580)&gt;0,1,0)</f>
        <v/>
      </c>
      <c r="R580" s="42">
        <f>IF(Q580=0,0,R579+1)</f>
        <v/>
      </c>
      <c r="S580" s="42">
        <f>IF(O580="",0,IF(O580=4,S579+1,0))</f>
        <v/>
      </c>
      <c r="T580" s="43">
        <f>IF(Q580=1,A580,"")</f>
        <v/>
      </c>
    </row>
    <row r="581">
      <c r="A581" s="36">
        <f>A580+1</f>
        <v/>
      </c>
      <c r="B581" s="37">
        <f>IF(A581="","",TEXT(A581,"ddd"))</f>
        <v/>
      </c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9" t="n"/>
      <c r="M581" s="39" t="n"/>
      <c r="N581" s="38" t="n"/>
      <c r="O581" s="40">
        <f>IF($Q581=0,"",IF(C581&gt;=C$2,1,0)+IF(D581&gt;=D$2,1,0)+IF(E581&gt;=E$2,1,0)+IF(F581&gt;=F$2,1,0))</f>
        <v/>
      </c>
      <c r="P581" s="41" t="n"/>
      <c r="Q581" s="42">
        <f>IF(COUNT(C581:M581)&gt;0,1,0)</f>
        <v/>
      </c>
      <c r="R581" s="42">
        <f>IF(Q581=0,0,R580+1)</f>
        <v/>
      </c>
      <c r="S581" s="42">
        <f>IF(O581="",0,IF(O581=4,S580+1,0))</f>
        <v/>
      </c>
      <c r="T581" s="43">
        <f>IF(Q581=1,A581,"")</f>
        <v/>
      </c>
    </row>
    <row r="582">
      <c r="A582" s="36">
        <f>A581+1</f>
        <v/>
      </c>
      <c r="B582" s="37">
        <f>IF(A582="","",TEXT(A582,"ddd"))</f>
        <v/>
      </c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9" t="n"/>
      <c r="M582" s="39" t="n"/>
      <c r="N582" s="38" t="n"/>
      <c r="O582" s="40">
        <f>IF($Q582=0,"",IF(C582&gt;=C$2,1,0)+IF(D582&gt;=D$2,1,0)+IF(E582&gt;=E$2,1,0)+IF(F582&gt;=F$2,1,0))</f>
        <v/>
      </c>
      <c r="P582" s="41" t="n"/>
      <c r="Q582" s="42">
        <f>IF(COUNT(C582:M582)&gt;0,1,0)</f>
        <v/>
      </c>
      <c r="R582" s="42">
        <f>IF(Q582=0,0,R581+1)</f>
        <v/>
      </c>
      <c r="S582" s="42">
        <f>IF(O582="",0,IF(O582=4,S581+1,0))</f>
        <v/>
      </c>
      <c r="T582" s="43">
        <f>IF(Q582=1,A582,"")</f>
        <v/>
      </c>
    </row>
    <row r="583">
      <c r="A583" s="36">
        <f>A582+1</f>
        <v/>
      </c>
      <c r="B583" s="37">
        <f>IF(A583="","",TEXT(A583,"ddd"))</f>
        <v/>
      </c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9" t="n"/>
      <c r="M583" s="39" t="n"/>
      <c r="N583" s="38" t="n"/>
      <c r="O583" s="40">
        <f>IF($Q583=0,"",IF(C583&gt;=C$2,1,0)+IF(D583&gt;=D$2,1,0)+IF(E583&gt;=E$2,1,0)+IF(F583&gt;=F$2,1,0))</f>
        <v/>
      </c>
      <c r="P583" s="41" t="n"/>
      <c r="Q583" s="42">
        <f>IF(COUNT(C583:M583)&gt;0,1,0)</f>
        <v/>
      </c>
      <c r="R583" s="42">
        <f>IF(Q583=0,0,R582+1)</f>
        <v/>
      </c>
      <c r="S583" s="42">
        <f>IF(O583="",0,IF(O583=4,S582+1,0))</f>
        <v/>
      </c>
      <c r="T583" s="43">
        <f>IF(Q583=1,A583,"")</f>
        <v/>
      </c>
    </row>
    <row r="584">
      <c r="A584" s="36">
        <f>A583+1</f>
        <v/>
      </c>
      <c r="B584" s="37">
        <f>IF(A584="","",TEXT(A584,"ddd"))</f>
        <v/>
      </c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9" t="n"/>
      <c r="M584" s="39" t="n"/>
      <c r="N584" s="38" t="n"/>
      <c r="O584" s="40">
        <f>IF($Q584=0,"",IF(C584&gt;=C$2,1,0)+IF(D584&gt;=D$2,1,0)+IF(E584&gt;=E$2,1,0)+IF(F584&gt;=F$2,1,0))</f>
        <v/>
      </c>
      <c r="P584" s="41" t="n"/>
      <c r="Q584" s="42">
        <f>IF(COUNT(C584:M584)&gt;0,1,0)</f>
        <v/>
      </c>
      <c r="R584" s="42">
        <f>IF(Q584=0,0,R583+1)</f>
        <v/>
      </c>
      <c r="S584" s="42">
        <f>IF(O584="",0,IF(O584=4,S583+1,0))</f>
        <v/>
      </c>
      <c r="T584" s="43">
        <f>IF(Q584=1,A584,"")</f>
        <v/>
      </c>
    </row>
    <row r="585">
      <c r="A585" s="36">
        <f>A584+1</f>
        <v/>
      </c>
      <c r="B585" s="37">
        <f>IF(A585="","",TEXT(A585,"ddd"))</f>
        <v/>
      </c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9" t="n"/>
      <c r="M585" s="39" t="n"/>
      <c r="N585" s="38" t="n"/>
      <c r="O585" s="40">
        <f>IF($Q585=0,"",IF(C585&gt;=C$2,1,0)+IF(D585&gt;=D$2,1,0)+IF(E585&gt;=E$2,1,0)+IF(F585&gt;=F$2,1,0))</f>
        <v/>
      </c>
      <c r="P585" s="41" t="n"/>
      <c r="Q585" s="42">
        <f>IF(COUNT(C585:M585)&gt;0,1,0)</f>
        <v/>
      </c>
      <c r="R585" s="42">
        <f>IF(Q585=0,0,R584+1)</f>
        <v/>
      </c>
      <c r="S585" s="42">
        <f>IF(O585="",0,IF(O585=4,S584+1,0))</f>
        <v/>
      </c>
      <c r="T585" s="43">
        <f>IF(Q585=1,A585,"")</f>
        <v/>
      </c>
    </row>
    <row r="586">
      <c r="A586" s="36">
        <f>A585+1</f>
        <v/>
      </c>
      <c r="B586" s="37">
        <f>IF(A586="","",TEXT(A586,"ddd"))</f>
        <v/>
      </c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9" t="n"/>
      <c r="M586" s="39" t="n"/>
      <c r="N586" s="38" t="n"/>
      <c r="O586" s="40">
        <f>IF($Q586=0,"",IF(C586&gt;=C$2,1,0)+IF(D586&gt;=D$2,1,0)+IF(E586&gt;=E$2,1,0)+IF(F586&gt;=F$2,1,0))</f>
        <v/>
      </c>
      <c r="P586" s="41" t="n"/>
      <c r="Q586" s="42">
        <f>IF(COUNT(C586:M586)&gt;0,1,0)</f>
        <v/>
      </c>
      <c r="R586" s="42">
        <f>IF(Q586=0,0,R585+1)</f>
        <v/>
      </c>
      <c r="S586" s="42">
        <f>IF(O586="",0,IF(O586=4,S585+1,0))</f>
        <v/>
      </c>
      <c r="T586" s="43">
        <f>IF(Q586=1,A586,"")</f>
        <v/>
      </c>
    </row>
    <row r="587">
      <c r="A587" s="36">
        <f>A586+1</f>
        <v/>
      </c>
      <c r="B587" s="37">
        <f>IF(A587="","",TEXT(A587,"ddd"))</f>
        <v/>
      </c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9" t="n"/>
      <c r="M587" s="39" t="n"/>
      <c r="N587" s="38" t="n"/>
      <c r="O587" s="40">
        <f>IF($Q587=0,"",IF(C587&gt;=C$2,1,0)+IF(D587&gt;=D$2,1,0)+IF(E587&gt;=E$2,1,0)+IF(F587&gt;=F$2,1,0))</f>
        <v/>
      </c>
      <c r="P587" s="41" t="n"/>
      <c r="Q587" s="42">
        <f>IF(COUNT(C587:M587)&gt;0,1,0)</f>
        <v/>
      </c>
      <c r="R587" s="42">
        <f>IF(Q587=0,0,R586+1)</f>
        <v/>
      </c>
      <c r="S587" s="42">
        <f>IF(O587="",0,IF(O587=4,S586+1,0))</f>
        <v/>
      </c>
      <c r="T587" s="43">
        <f>IF(Q587=1,A587,"")</f>
        <v/>
      </c>
    </row>
    <row r="588">
      <c r="A588" s="36">
        <f>A587+1</f>
        <v/>
      </c>
      <c r="B588" s="37">
        <f>IF(A588="","",TEXT(A588,"ddd"))</f>
        <v/>
      </c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9" t="n"/>
      <c r="M588" s="39" t="n"/>
      <c r="N588" s="38" t="n"/>
      <c r="O588" s="40">
        <f>IF($Q588=0,"",IF(C588&gt;=C$2,1,0)+IF(D588&gt;=D$2,1,0)+IF(E588&gt;=E$2,1,0)+IF(F588&gt;=F$2,1,0))</f>
        <v/>
      </c>
      <c r="P588" s="41" t="n"/>
      <c r="Q588" s="42">
        <f>IF(COUNT(C588:M588)&gt;0,1,0)</f>
        <v/>
      </c>
      <c r="R588" s="42">
        <f>IF(Q588=0,0,R587+1)</f>
        <v/>
      </c>
      <c r="S588" s="42">
        <f>IF(O588="",0,IF(O588=4,S587+1,0))</f>
        <v/>
      </c>
      <c r="T588" s="43">
        <f>IF(Q588=1,A588,"")</f>
        <v/>
      </c>
    </row>
    <row r="589">
      <c r="A589" s="36">
        <f>A588+1</f>
        <v/>
      </c>
      <c r="B589" s="37">
        <f>IF(A589="","",TEXT(A589,"ddd"))</f>
        <v/>
      </c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9" t="n"/>
      <c r="M589" s="39" t="n"/>
      <c r="N589" s="38" t="n"/>
      <c r="O589" s="40">
        <f>IF($Q589=0,"",IF(C589&gt;=C$2,1,0)+IF(D589&gt;=D$2,1,0)+IF(E589&gt;=E$2,1,0)+IF(F589&gt;=F$2,1,0))</f>
        <v/>
      </c>
      <c r="P589" s="41" t="n"/>
      <c r="Q589" s="42">
        <f>IF(COUNT(C589:M589)&gt;0,1,0)</f>
        <v/>
      </c>
      <c r="R589" s="42">
        <f>IF(Q589=0,0,R588+1)</f>
        <v/>
      </c>
      <c r="S589" s="42">
        <f>IF(O589="",0,IF(O589=4,S588+1,0))</f>
        <v/>
      </c>
      <c r="T589" s="43">
        <f>IF(Q589=1,A589,"")</f>
        <v/>
      </c>
    </row>
    <row r="590">
      <c r="A590" s="36">
        <f>A589+1</f>
        <v/>
      </c>
      <c r="B590" s="37">
        <f>IF(A590="","",TEXT(A590,"ddd"))</f>
        <v/>
      </c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9" t="n"/>
      <c r="M590" s="39" t="n"/>
      <c r="N590" s="38" t="n"/>
      <c r="O590" s="40">
        <f>IF($Q590=0,"",IF(C590&gt;=C$2,1,0)+IF(D590&gt;=D$2,1,0)+IF(E590&gt;=E$2,1,0)+IF(F590&gt;=F$2,1,0))</f>
        <v/>
      </c>
      <c r="P590" s="41" t="n"/>
      <c r="Q590" s="42">
        <f>IF(COUNT(C590:M590)&gt;0,1,0)</f>
        <v/>
      </c>
      <c r="R590" s="42">
        <f>IF(Q590=0,0,R589+1)</f>
        <v/>
      </c>
      <c r="S590" s="42">
        <f>IF(O590="",0,IF(O590=4,S589+1,0))</f>
        <v/>
      </c>
      <c r="T590" s="43">
        <f>IF(Q590=1,A590,"")</f>
        <v/>
      </c>
    </row>
    <row r="591">
      <c r="A591" s="36">
        <f>A590+1</f>
        <v/>
      </c>
      <c r="B591" s="37">
        <f>IF(A591="","",TEXT(A591,"ddd"))</f>
        <v/>
      </c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9" t="n"/>
      <c r="M591" s="39" t="n"/>
      <c r="N591" s="38" t="n"/>
      <c r="O591" s="40">
        <f>IF($Q591=0,"",IF(C591&gt;=C$2,1,0)+IF(D591&gt;=D$2,1,0)+IF(E591&gt;=E$2,1,0)+IF(F591&gt;=F$2,1,0))</f>
        <v/>
      </c>
      <c r="P591" s="41" t="n"/>
      <c r="Q591" s="42">
        <f>IF(COUNT(C591:M591)&gt;0,1,0)</f>
        <v/>
      </c>
      <c r="R591" s="42">
        <f>IF(Q591=0,0,R590+1)</f>
        <v/>
      </c>
      <c r="S591" s="42">
        <f>IF(O591="",0,IF(O591=4,S590+1,0))</f>
        <v/>
      </c>
      <c r="T591" s="43">
        <f>IF(Q591=1,A591,"")</f>
        <v/>
      </c>
    </row>
    <row r="592">
      <c r="A592" s="36">
        <f>A591+1</f>
        <v/>
      </c>
      <c r="B592" s="37">
        <f>IF(A592="","",TEXT(A592,"ddd"))</f>
        <v/>
      </c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9" t="n"/>
      <c r="M592" s="39" t="n"/>
      <c r="N592" s="38" t="n"/>
      <c r="O592" s="40">
        <f>IF($Q592=0,"",IF(C592&gt;=C$2,1,0)+IF(D592&gt;=D$2,1,0)+IF(E592&gt;=E$2,1,0)+IF(F592&gt;=F$2,1,0))</f>
        <v/>
      </c>
      <c r="P592" s="41" t="n"/>
      <c r="Q592" s="42">
        <f>IF(COUNT(C592:M592)&gt;0,1,0)</f>
        <v/>
      </c>
      <c r="R592" s="42">
        <f>IF(Q592=0,0,R591+1)</f>
        <v/>
      </c>
      <c r="S592" s="42">
        <f>IF(O592="",0,IF(O592=4,S591+1,0))</f>
        <v/>
      </c>
      <c r="T592" s="43">
        <f>IF(Q592=1,A592,"")</f>
        <v/>
      </c>
    </row>
    <row r="593">
      <c r="A593" s="36">
        <f>A592+1</f>
        <v/>
      </c>
      <c r="B593" s="37">
        <f>IF(A593="","",TEXT(A593,"ddd"))</f>
        <v/>
      </c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9" t="n"/>
      <c r="M593" s="39" t="n"/>
      <c r="N593" s="38" t="n"/>
      <c r="O593" s="40">
        <f>IF($Q593=0,"",IF(C593&gt;=C$2,1,0)+IF(D593&gt;=D$2,1,0)+IF(E593&gt;=E$2,1,0)+IF(F593&gt;=F$2,1,0))</f>
        <v/>
      </c>
      <c r="P593" s="41" t="n"/>
      <c r="Q593" s="42">
        <f>IF(COUNT(C593:M593)&gt;0,1,0)</f>
        <v/>
      </c>
      <c r="R593" s="42">
        <f>IF(Q593=0,0,R592+1)</f>
        <v/>
      </c>
      <c r="S593" s="42">
        <f>IF(O593="",0,IF(O593=4,S592+1,0))</f>
        <v/>
      </c>
      <c r="T593" s="43">
        <f>IF(Q593=1,A593,"")</f>
        <v/>
      </c>
    </row>
    <row r="594">
      <c r="A594" s="36">
        <f>A593+1</f>
        <v/>
      </c>
      <c r="B594" s="37">
        <f>IF(A594="","",TEXT(A594,"ddd"))</f>
        <v/>
      </c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9" t="n"/>
      <c r="M594" s="39" t="n"/>
      <c r="N594" s="38" t="n"/>
      <c r="O594" s="40">
        <f>IF($Q594=0,"",IF(C594&gt;=C$2,1,0)+IF(D594&gt;=D$2,1,0)+IF(E594&gt;=E$2,1,0)+IF(F594&gt;=F$2,1,0))</f>
        <v/>
      </c>
      <c r="P594" s="41" t="n"/>
      <c r="Q594" s="42">
        <f>IF(COUNT(C594:M594)&gt;0,1,0)</f>
        <v/>
      </c>
      <c r="R594" s="42">
        <f>IF(Q594=0,0,R593+1)</f>
        <v/>
      </c>
      <c r="S594" s="42">
        <f>IF(O594="",0,IF(O594=4,S593+1,0))</f>
        <v/>
      </c>
      <c r="T594" s="43">
        <f>IF(Q594=1,A594,"")</f>
        <v/>
      </c>
    </row>
    <row r="595">
      <c r="A595" s="36">
        <f>A594+1</f>
        <v/>
      </c>
      <c r="B595" s="37">
        <f>IF(A595="","",TEXT(A595,"ddd"))</f>
        <v/>
      </c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9" t="n"/>
      <c r="M595" s="39" t="n"/>
      <c r="N595" s="38" t="n"/>
      <c r="O595" s="40">
        <f>IF($Q595=0,"",IF(C595&gt;=C$2,1,0)+IF(D595&gt;=D$2,1,0)+IF(E595&gt;=E$2,1,0)+IF(F595&gt;=F$2,1,0))</f>
        <v/>
      </c>
      <c r="P595" s="41" t="n"/>
      <c r="Q595" s="42">
        <f>IF(COUNT(C595:M595)&gt;0,1,0)</f>
        <v/>
      </c>
      <c r="R595" s="42">
        <f>IF(Q595=0,0,R594+1)</f>
        <v/>
      </c>
      <c r="S595" s="42">
        <f>IF(O595="",0,IF(O595=4,S594+1,0))</f>
        <v/>
      </c>
      <c r="T595" s="43">
        <f>IF(Q595=1,A595,"")</f>
        <v/>
      </c>
    </row>
    <row r="596">
      <c r="A596" s="36">
        <f>A595+1</f>
        <v/>
      </c>
      <c r="B596" s="37">
        <f>IF(A596="","",TEXT(A596,"ddd"))</f>
        <v/>
      </c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9" t="n"/>
      <c r="M596" s="39" t="n"/>
      <c r="N596" s="38" t="n"/>
      <c r="O596" s="40">
        <f>IF($Q596=0,"",IF(C596&gt;=C$2,1,0)+IF(D596&gt;=D$2,1,0)+IF(E596&gt;=E$2,1,0)+IF(F596&gt;=F$2,1,0))</f>
        <v/>
      </c>
      <c r="P596" s="41" t="n"/>
      <c r="Q596" s="42">
        <f>IF(COUNT(C596:M596)&gt;0,1,0)</f>
        <v/>
      </c>
      <c r="R596" s="42">
        <f>IF(Q596=0,0,R595+1)</f>
        <v/>
      </c>
      <c r="S596" s="42">
        <f>IF(O596="",0,IF(O596=4,S595+1,0))</f>
        <v/>
      </c>
      <c r="T596" s="43">
        <f>IF(Q596=1,A596,"")</f>
        <v/>
      </c>
    </row>
    <row r="597">
      <c r="A597" s="36">
        <f>A596+1</f>
        <v/>
      </c>
      <c r="B597" s="37">
        <f>IF(A597="","",TEXT(A597,"ddd"))</f>
        <v/>
      </c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9" t="n"/>
      <c r="M597" s="39" t="n"/>
      <c r="N597" s="38" t="n"/>
      <c r="O597" s="40">
        <f>IF($Q597=0,"",IF(C597&gt;=C$2,1,0)+IF(D597&gt;=D$2,1,0)+IF(E597&gt;=E$2,1,0)+IF(F597&gt;=F$2,1,0))</f>
        <v/>
      </c>
      <c r="P597" s="41" t="n"/>
      <c r="Q597" s="42">
        <f>IF(COUNT(C597:M597)&gt;0,1,0)</f>
        <v/>
      </c>
      <c r="R597" s="42">
        <f>IF(Q597=0,0,R596+1)</f>
        <v/>
      </c>
      <c r="S597" s="42">
        <f>IF(O597="",0,IF(O597=4,S596+1,0))</f>
        <v/>
      </c>
      <c r="T597" s="43">
        <f>IF(Q597=1,A597,"")</f>
        <v/>
      </c>
    </row>
    <row r="598">
      <c r="A598" s="36">
        <f>A597+1</f>
        <v/>
      </c>
      <c r="B598" s="37">
        <f>IF(A598="","",TEXT(A598,"ddd"))</f>
        <v/>
      </c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9" t="n"/>
      <c r="M598" s="39" t="n"/>
      <c r="N598" s="38" t="n"/>
      <c r="O598" s="40">
        <f>IF($Q598=0,"",IF(C598&gt;=C$2,1,0)+IF(D598&gt;=D$2,1,0)+IF(E598&gt;=E$2,1,0)+IF(F598&gt;=F$2,1,0))</f>
        <v/>
      </c>
      <c r="P598" s="41" t="n"/>
      <c r="Q598" s="42">
        <f>IF(COUNT(C598:M598)&gt;0,1,0)</f>
        <v/>
      </c>
      <c r="R598" s="42">
        <f>IF(Q598=0,0,R597+1)</f>
        <v/>
      </c>
      <c r="S598" s="42">
        <f>IF(O598="",0,IF(O598=4,S597+1,0))</f>
        <v/>
      </c>
      <c r="T598" s="43">
        <f>IF(Q598=1,A598,"")</f>
        <v/>
      </c>
    </row>
    <row r="599">
      <c r="A599" s="36">
        <f>A598+1</f>
        <v/>
      </c>
      <c r="B599" s="37">
        <f>IF(A599="","",TEXT(A599,"ddd"))</f>
        <v/>
      </c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9" t="n"/>
      <c r="M599" s="39" t="n"/>
      <c r="N599" s="38" t="n"/>
      <c r="O599" s="40">
        <f>IF($Q599=0,"",IF(C599&gt;=C$2,1,0)+IF(D599&gt;=D$2,1,0)+IF(E599&gt;=E$2,1,0)+IF(F599&gt;=F$2,1,0))</f>
        <v/>
      </c>
      <c r="P599" s="41" t="n"/>
      <c r="Q599" s="42">
        <f>IF(COUNT(C599:M599)&gt;0,1,0)</f>
        <v/>
      </c>
      <c r="R599" s="42">
        <f>IF(Q599=0,0,R598+1)</f>
        <v/>
      </c>
      <c r="S599" s="42">
        <f>IF(O599="",0,IF(O599=4,S598+1,0))</f>
        <v/>
      </c>
      <c r="T599" s="43">
        <f>IF(Q599=1,A599,"")</f>
        <v/>
      </c>
    </row>
    <row r="600">
      <c r="A600" s="36">
        <f>A599+1</f>
        <v/>
      </c>
      <c r="B600" s="37">
        <f>IF(A600="","",TEXT(A600,"ddd"))</f>
        <v/>
      </c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9" t="n"/>
      <c r="M600" s="39" t="n"/>
      <c r="N600" s="38" t="n"/>
      <c r="O600" s="40">
        <f>IF($Q600=0,"",IF(C600&gt;=C$2,1,0)+IF(D600&gt;=D$2,1,0)+IF(E600&gt;=E$2,1,0)+IF(F600&gt;=F$2,1,0))</f>
        <v/>
      </c>
      <c r="P600" s="41" t="n"/>
      <c r="Q600" s="42">
        <f>IF(COUNT(C600:M600)&gt;0,1,0)</f>
        <v/>
      </c>
      <c r="R600" s="42">
        <f>IF(Q600=0,0,R599+1)</f>
        <v/>
      </c>
      <c r="S600" s="42">
        <f>IF(O600="",0,IF(O600=4,S599+1,0))</f>
        <v/>
      </c>
      <c r="T600" s="43">
        <f>IF(Q600=1,A600,"")</f>
        <v/>
      </c>
    </row>
    <row r="601">
      <c r="A601" s="36">
        <f>A600+1</f>
        <v/>
      </c>
      <c r="B601" s="37">
        <f>IF(A601="","",TEXT(A601,"ddd"))</f>
        <v/>
      </c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9" t="n"/>
      <c r="M601" s="39" t="n"/>
      <c r="N601" s="38" t="n"/>
      <c r="O601" s="40">
        <f>IF($Q601=0,"",IF(C601&gt;=C$2,1,0)+IF(D601&gt;=D$2,1,0)+IF(E601&gt;=E$2,1,0)+IF(F601&gt;=F$2,1,0))</f>
        <v/>
      </c>
      <c r="P601" s="41" t="n"/>
      <c r="Q601" s="42">
        <f>IF(COUNT(C601:M601)&gt;0,1,0)</f>
        <v/>
      </c>
      <c r="R601" s="42">
        <f>IF(Q601=0,0,R600+1)</f>
        <v/>
      </c>
      <c r="S601" s="42">
        <f>IF(O601="",0,IF(O601=4,S600+1,0))</f>
        <v/>
      </c>
      <c r="T601" s="43">
        <f>IF(Q601=1,A601,"")</f>
        <v/>
      </c>
    </row>
    <row r="602">
      <c r="A602" s="36">
        <f>A601+1</f>
        <v/>
      </c>
      <c r="B602" s="37">
        <f>IF(A602="","",TEXT(A602,"ddd"))</f>
        <v/>
      </c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9" t="n"/>
      <c r="M602" s="39" t="n"/>
      <c r="N602" s="38" t="n"/>
      <c r="O602" s="40">
        <f>IF($Q602=0,"",IF(C602&gt;=C$2,1,0)+IF(D602&gt;=D$2,1,0)+IF(E602&gt;=E$2,1,0)+IF(F602&gt;=F$2,1,0))</f>
        <v/>
      </c>
      <c r="P602" s="41" t="n"/>
      <c r="Q602" s="42">
        <f>IF(COUNT(C602:M602)&gt;0,1,0)</f>
        <v/>
      </c>
      <c r="R602" s="42">
        <f>IF(Q602=0,0,R601+1)</f>
        <v/>
      </c>
      <c r="S602" s="42">
        <f>IF(O602="",0,IF(O602=4,S601+1,0))</f>
        <v/>
      </c>
      <c r="T602" s="43">
        <f>IF(Q602=1,A602,"")</f>
        <v/>
      </c>
    </row>
    <row r="603">
      <c r="A603" s="36">
        <f>A602+1</f>
        <v/>
      </c>
      <c r="B603" s="37">
        <f>IF(A603="","",TEXT(A603,"ddd"))</f>
        <v/>
      </c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9" t="n"/>
      <c r="M603" s="39" t="n"/>
      <c r="N603" s="38" t="n"/>
      <c r="O603" s="40">
        <f>IF($Q603=0,"",IF(C603&gt;=C$2,1,0)+IF(D603&gt;=D$2,1,0)+IF(E603&gt;=E$2,1,0)+IF(F603&gt;=F$2,1,0))</f>
        <v/>
      </c>
      <c r="P603" s="41" t="n"/>
      <c r="Q603" s="42">
        <f>IF(COUNT(C603:M603)&gt;0,1,0)</f>
        <v/>
      </c>
      <c r="R603" s="42">
        <f>IF(Q603=0,0,R602+1)</f>
        <v/>
      </c>
      <c r="S603" s="42">
        <f>IF(O603="",0,IF(O603=4,S602+1,0))</f>
        <v/>
      </c>
      <c r="T603" s="43">
        <f>IF(Q603=1,A603,"")</f>
        <v/>
      </c>
    </row>
    <row r="604">
      <c r="A604" s="36">
        <f>A603+1</f>
        <v/>
      </c>
      <c r="B604" s="37">
        <f>IF(A604="","",TEXT(A604,"ddd"))</f>
        <v/>
      </c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9" t="n"/>
      <c r="M604" s="39" t="n"/>
      <c r="N604" s="38" t="n"/>
      <c r="O604" s="40">
        <f>IF($Q604=0,"",IF(C604&gt;=C$2,1,0)+IF(D604&gt;=D$2,1,0)+IF(E604&gt;=E$2,1,0)+IF(F604&gt;=F$2,1,0))</f>
        <v/>
      </c>
      <c r="P604" s="41" t="n"/>
      <c r="Q604" s="42">
        <f>IF(COUNT(C604:M604)&gt;0,1,0)</f>
        <v/>
      </c>
      <c r="R604" s="42">
        <f>IF(Q604=0,0,R603+1)</f>
        <v/>
      </c>
      <c r="S604" s="42">
        <f>IF(O604="",0,IF(O604=4,S603+1,0))</f>
        <v/>
      </c>
      <c r="T604" s="43">
        <f>IF(Q604=1,A604,"")</f>
        <v/>
      </c>
    </row>
    <row r="605">
      <c r="A605" s="36">
        <f>A604+1</f>
        <v/>
      </c>
      <c r="B605" s="37">
        <f>IF(A605="","",TEXT(A605,"ddd"))</f>
        <v/>
      </c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9" t="n"/>
      <c r="M605" s="39" t="n"/>
      <c r="N605" s="38" t="n"/>
      <c r="O605" s="40">
        <f>IF($Q605=0,"",IF(C605&gt;=C$2,1,0)+IF(D605&gt;=D$2,1,0)+IF(E605&gt;=E$2,1,0)+IF(F605&gt;=F$2,1,0))</f>
        <v/>
      </c>
      <c r="P605" s="41" t="n"/>
      <c r="Q605" s="42">
        <f>IF(COUNT(C605:M605)&gt;0,1,0)</f>
        <v/>
      </c>
      <c r="R605" s="42">
        <f>IF(Q605=0,0,R604+1)</f>
        <v/>
      </c>
      <c r="S605" s="42">
        <f>IF(O605="",0,IF(O605=4,S604+1,0))</f>
        <v/>
      </c>
      <c r="T605" s="43">
        <f>IF(Q605=1,A605,"")</f>
        <v/>
      </c>
    </row>
    <row r="606">
      <c r="A606" s="36">
        <f>A605+1</f>
        <v/>
      </c>
      <c r="B606" s="37">
        <f>IF(A606="","",TEXT(A606,"ddd"))</f>
        <v/>
      </c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9" t="n"/>
      <c r="M606" s="39" t="n"/>
      <c r="N606" s="38" t="n"/>
      <c r="O606" s="40">
        <f>IF($Q606=0,"",IF(C606&gt;=C$2,1,0)+IF(D606&gt;=D$2,1,0)+IF(E606&gt;=E$2,1,0)+IF(F606&gt;=F$2,1,0))</f>
        <v/>
      </c>
      <c r="P606" s="41" t="n"/>
      <c r="Q606" s="42">
        <f>IF(COUNT(C606:M606)&gt;0,1,0)</f>
        <v/>
      </c>
      <c r="R606" s="42">
        <f>IF(Q606=0,0,R605+1)</f>
        <v/>
      </c>
      <c r="S606" s="42">
        <f>IF(O606="",0,IF(O606=4,S605+1,0))</f>
        <v/>
      </c>
      <c r="T606" s="43">
        <f>IF(Q606=1,A606,"")</f>
        <v/>
      </c>
    </row>
    <row r="607">
      <c r="A607" s="36">
        <f>A606+1</f>
        <v/>
      </c>
      <c r="B607" s="37">
        <f>IF(A607="","",TEXT(A607,"ddd"))</f>
        <v/>
      </c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9" t="n"/>
      <c r="M607" s="39" t="n"/>
      <c r="N607" s="38" t="n"/>
      <c r="O607" s="40">
        <f>IF($Q607=0,"",IF(C607&gt;=C$2,1,0)+IF(D607&gt;=D$2,1,0)+IF(E607&gt;=E$2,1,0)+IF(F607&gt;=F$2,1,0))</f>
        <v/>
      </c>
      <c r="P607" s="41" t="n"/>
      <c r="Q607" s="42">
        <f>IF(COUNT(C607:M607)&gt;0,1,0)</f>
        <v/>
      </c>
      <c r="R607" s="42">
        <f>IF(Q607=0,0,R606+1)</f>
        <v/>
      </c>
      <c r="S607" s="42">
        <f>IF(O607="",0,IF(O607=4,S606+1,0))</f>
        <v/>
      </c>
      <c r="T607" s="43">
        <f>IF(Q607=1,A607,"")</f>
        <v/>
      </c>
    </row>
    <row r="608">
      <c r="A608" s="36">
        <f>A607+1</f>
        <v/>
      </c>
      <c r="B608" s="37">
        <f>IF(A608="","",TEXT(A608,"ddd"))</f>
        <v/>
      </c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9" t="n"/>
      <c r="M608" s="39" t="n"/>
      <c r="N608" s="38" t="n"/>
      <c r="O608" s="40">
        <f>IF($Q608=0,"",IF(C608&gt;=C$2,1,0)+IF(D608&gt;=D$2,1,0)+IF(E608&gt;=E$2,1,0)+IF(F608&gt;=F$2,1,0))</f>
        <v/>
      </c>
      <c r="P608" s="41" t="n"/>
      <c r="Q608" s="42">
        <f>IF(COUNT(C608:M608)&gt;0,1,0)</f>
        <v/>
      </c>
      <c r="R608" s="42">
        <f>IF(Q608=0,0,R607+1)</f>
        <v/>
      </c>
      <c r="S608" s="42">
        <f>IF(O608="",0,IF(O608=4,S607+1,0))</f>
        <v/>
      </c>
      <c r="T608" s="43">
        <f>IF(Q608=1,A608,"")</f>
        <v/>
      </c>
    </row>
    <row r="609">
      <c r="A609" s="36">
        <f>A608+1</f>
        <v/>
      </c>
      <c r="B609" s="37">
        <f>IF(A609="","",TEXT(A609,"ddd"))</f>
        <v/>
      </c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9" t="n"/>
      <c r="M609" s="39" t="n"/>
      <c r="N609" s="38" t="n"/>
      <c r="O609" s="40">
        <f>IF($Q609=0,"",IF(C609&gt;=C$2,1,0)+IF(D609&gt;=D$2,1,0)+IF(E609&gt;=E$2,1,0)+IF(F609&gt;=F$2,1,0))</f>
        <v/>
      </c>
      <c r="P609" s="41" t="n"/>
      <c r="Q609" s="42">
        <f>IF(COUNT(C609:M609)&gt;0,1,0)</f>
        <v/>
      </c>
      <c r="R609" s="42">
        <f>IF(Q609=0,0,R608+1)</f>
        <v/>
      </c>
      <c r="S609" s="42">
        <f>IF(O609="",0,IF(O609=4,S608+1,0))</f>
        <v/>
      </c>
      <c r="T609" s="43">
        <f>IF(Q609=1,A609,"")</f>
        <v/>
      </c>
    </row>
    <row r="610">
      <c r="A610" s="36">
        <f>A609+1</f>
        <v/>
      </c>
      <c r="B610" s="37">
        <f>IF(A610="","",TEXT(A610,"ddd"))</f>
        <v/>
      </c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9" t="n"/>
      <c r="M610" s="39" t="n"/>
      <c r="N610" s="38" t="n"/>
      <c r="O610" s="40">
        <f>IF($Q610=0,"",IF(C610&gt;=C$2,1,0)+IF(D610&gt;=D$2,1,0)+IF(E610&gt;=E$2,1,0)+IF(F610&gt;=F$2,1,0))</f>
        <v/>
      </c>
      <c r="P610" s="41" t="n"/>
      <c r="Q610" s="42">
        <f>IF(COUNT(C610:M610)&gt;0,1,0)</f>
        <v/>
      </c>
      <c r="R610" s="42">
        <f>IF(Q610=0,0,R609+1)</f>
        <v/>
      </c>
      <c r="S610" s="42">
        <f>IF(O610="",0,IF(O610=4,S609+1,0))</f>
        <v/>
      </c>
      <c r="T610" s="43">
        <f>IF(Q610=1,A610,"")</f>
        <v/>
      </c>
    </row>
    <row r="611">
      <c r="A611" s="36">
        <f>A610+1</f>
        <v/>
      </c>
      <c r="B611" s="37">
        <f>IF(A611="","",TEXT(A611,"ddd"))</f>
        <v/>
      </c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9" t="n"/>
      <c r="M611" s="39" t="n"/>
      <c r="N611" s="38" t="n"/>
      <c r="O611" s="40">
        <f>IF($Q611=0,"",IF(C611&gt;=C$2,1,0)+IF(D611&gt;=D$2,1,0)+IF(E611&gt;=E$2,1,0)+IF(F611&gt;=F$2,1,0))</f>
        <v/>
      </c>
      <c r="P611" s="41" t="n"/>
      <c r="Q611" s="42">
        <f>IF(COUNT(C611:M611)&gt;0,1,0)</f>
        <v/>
      </c>
      <c r="R611" s="42">
        <f>IF(Q611=0,0,R610+1)</f>
        <v/>
      </c>
      <c r="S611" s="42">
        <f>IF(O611="",0,IF(O611=4,S610+1,0))</f>
        <v/>
      </c>
      <c r="T611" s="43">
        <f>IF(Q611=1,A611,"")</f>
        <v/>
      </c>
    </row>
    <row r="612">
      <c r="A612" s="36">
        <f>A611+1</f>
        <v/>
      </c>
      <c r="B612" s="37">
        <f>IF(A612="","",TEXT(A612,"ddd"))</f>
        <v/>
      </c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9" t="n"/>
      <c r="M612" s="39" t="n"/>
      <c r="N612" s="38" t="n"/>
      <c r="O612" s="40">
        <f>IF($Q612=0,"",IF(C612&gt;=C$2,1,0)+IF(D612&gt;=D$2,1,0)+IF(E612&gt;=E$2,1,0)+IF(F612&gt;=F$2,1,0))</f>
        <v/>
      </c>
      <c r="P612" s="41" t="n"/>
      <c r="Q612" s="42">
        <f>IF(COUNT(C612:M612)&gt;0,1,0)</f>
        <v/>
      </c>
      <c r="R612" s="42">
        <f>IF(Q612=0,0,R611+1)</f>
        <v/>
      </c>
      <c r="S612" s="42">
        <f>IF(O612="",0,IF(O612=4,S611+1,0))</f>
        <v/>
      </c>
      <c r="T612" s="43">
        <f>IF(Q612=1,A612,"")</f>
        <v/>
      </c>
    </row>
    <row r="613">
      <c r="A613" s="36">
        <f>A612+1</f>
        <v/>
      </c>
      <c r="B613" s="37">
        <f>IF(A613="","",TEXT(A613,"ddd"))</f>
        <v/>
      </c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9" t="n"/>
      <c r="M613" s="39" t="n"/>
      <c r="N613" s="38" t="n"/>
      <c r="O613" s="40">
        <f>IF($Q613=0,"",IF(C613&gt;=C$2,1,0)+IF(D613&gt;=D$2,1,0)+IF(E613&gt;=E$2,1,0)+IF(F613&gt;=F$2,1,0))</f>
        <v/>
      </c>
      <c r="P613" s="41" t="n"/>
      <c r="Q613" s="42">
        <f>IF(COUNT(C613:M613)&gt;0,1,0)</f>
        <v/>
      </c>
      <c r="R613" s="42">
        <f>IF(Q613=0,0,R612+1)</f>
        <v/>
      </c>
      <c r="S613" s="42">
        <f>IF(O613="",0,IF(O613=4,S612+1,0))</f>
        <v/>
      </c>
      <c r="T613" s="43">
        <f>IF(Q613=1,A613,"")</f>
        <v/>
      </c>
    </row>
    <row r="614">
      <c r="A614" s="36">
        <f>A613+1</f>
        <v/>
      </c>
      <c r="B614" s="37">
        <f>IF(A614="","",TEXT(A614,"ddd"))</f>
        <v/>
      </c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9" t="n"/>
      <c r="M614" s="39" t="n"/>
      <c r="N614" s="38" t="n"/>
      <c r="O614" s="40">
        <f>IF($Q614=0,"",IF(C614&gt;=C$2,1,0)+IF(D614&gt;=D$2,1,0)+IF(E614&gt;=E$2,1,0)+IF(F614&gt;=F$2,1,0))</f>
        <v/>
      </c>
      <c r="P614" s="41" t="n"/>
      <c r="Q614" s="42">
        <f>IF(COUNT(C614:M614)&gt;0,1,0)</f>
        <v/>
      </c>
      <c r="R614" s="42">
        <f>IF(Q614=0,0,R613+1)</f>
        <v/>
      </c>
      <c r="S614" s="42">
        <f>IF(O614="",0,IF(O614=4,S613+1,0))</f>
        <v/>
      </c>
      <c r="T614" s="43">
        <f>IF(Q614=1,A614,"")</f>
        <v/>
      </c>
    </row>
    <row r="615">
      <c r="A615" s="36">
        <f>A614+1</f>
        <v/>
      </c>
      <c r="B615" s="37">
        <f>IF(A615="","",TEXT(A615,"ddd"))</f>
        <v/>
      </c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9" t="n"/>
      <c r="M615" s="39" t="n"/>
      <c r="N615" s="38" t="n"/>
      <c r="O615" s="40">
        <f>IF($Q615=0,"",IF(C615&gt;=C$2,1,0)+IF(D615&gt;=D$2,1,0)+IF(E615&gt;=E$2,1,0)+IF(F615&gt;=F$2,1,0))</f>
        <v/>
      </c>
      <c r="P615" s="41" t="n"/>
      <c r="Q615" s="42">
        <f>IF(COUNT(C615:M615)&gt;0,1,0)</f>
        <v/>
      </c>
      <c r="R615" s="42">
        <f>IF(Q615=0,0,R614+1)</f>
        <v/>
      </c>
      <c r="S615" s="42">
        <f>IF(O615="",0,IF(O615=4,S614+1,0))</f>
        <v/>
      </c>
      <c r="T615" s="43">
        <f>IF(Q615=1,A615,"")</f>
        <v/>
      </c>
    </row>
    <row r="616">
      <c r="A616" s="36">
        <f>A615+1</f>
        <v/>
      </c>
      <c r="B616" s="37">
        <f>IF(A616="","",TEXT(A616,"ddd"))</f>
        <v/>
      </c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9" t="n"/>
      <c r="M616" s="39" t="n"/>
      <c r="N616" s="38" t="n"/>
      <c r="O616" s="40">
        <f>IF($Q616=0,"",IF(C616&gt;=C$2,1,0)+IF(D616&gt;=D$2,1,0)+IF(E616&gt;=E$2,1,0)+IF(F616&gt;=F$2,1,0))</f>
        <v/>
      </c>
      <c r="P616" s="41" t="n"/>
      <c r="Q616" s="42">
        <f>IF(COUNT(C616:M616)&gt;0,1,0)</f>
        <v/>
      </c>
      <c r="R616" s="42">
        <f>IF(Q616=0,0,R615+1)</f>
        <v/>
      </c>
      <c r="S616" s="42">
        <f>IF(O616="",0,IF(O616=4,S615+1,0))</f>
        <v/>
      </c>
      <c r="T616" s="43">
        <f>IF(Q616=1,A616,"")</f>
        <v/>
      </c>
    </row>
    <row r="617">
      <c r="A617" s="36">
        <f>A616+1</f>
        <v/>
      </c>
      <c r="B617" s="37">
        <f>IF(A617="","",TEXT(A617,"ddd"))</f>
        <v/>
      </c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9" t="n"/>
      <c r="M617" s="39" t="n"/>
      <c r="N617" s="38" t="n"/>
      <c r="O617" s="40">
        <f>IF($Q617=0,"",IF(C617&gt;=C$2,1,0)+IF(D617&gt;=D$2,1,0)+IF(E617&gt;=E$2,1,0)+IF(F617&gt;=F$2,1,0))</f>
        <v/>
      </c>
      <c r="P617" s="41" t="n"/>
      <c r="Q617" s="42">
        <f>IF(COUNT(C617:M617)&gt;0,1,0)</f>
        <v/>
      </c>
      <c r="R617" s="42">
        <f>IF(Q617=0,0,R616+1)</f>
        <v/>
      </c>
      <c r="S617" s="42">
        <f>IF(O617="",0,IF(O617=4,S616+1,0))</f>
        <v/>
      </c>
      <c r="T617" s="43">
        <f>IF(Q617=1,A617,"")</f>
        <v/>
      </c>
    </row>
    <row r="618">
      <c r="A618" s="36">
        <f>A617+1</f>
        <v/>
      </c>
      <c r="B618" s="37">
        <f>IF(A618="","",TEXT(A618,"ddd"))</f>
        <v/>
      </c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9" t="n"/>
      <c r="M618" s="39" t="n"/>
      <c r="N618" s="38" t="n"/>
      <c r="O618" s="40">
        <f>IF($Q618=0,"",IF(C618&gt;=C$2,1,0)+IF(D618&gt;=D$2,1,0)+IF(E618&gt;=E$2,1,0)+IF(F618&gt;=F$2,1,0))</f>
        <v/>
      </c>
      <c r="P618" s="41" t="n"/>
      <c r="Q618" s="42">
        <f>IF(COUNT(C618:M618)&gt;0,1,0)</f>
        <v/>
      </c>
      <c r="R618" s="42">
        <f>IF(Q618=0,0,R617+1)</f>
        <v/>
      </c>
      <c r="S618" s="42">
        <f>IF(O618="",0,IF(O618=4,S617+1,0))</f>
        <v/>
      </c>
      <c r="T618" s="43">
        <f>IF(Q618=1,A618,"")</f>
        <v/>
      </c>
    </row>
    <row r="619">
      <c r="A619" s="36">
        <f>A618+1</f>
        <v/>
      </c>
      <c r="B619" s="37">
        <f>IF(A619="","",TEXT(A619,"ddd"))</f>
        <v/>
      </c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9" t="n"/>
      <c r="M619" s="39" t="n"/>
      <c r="N619" s="38" t="n"/>
      <c r="O619" s="40">
        <f>IF($Q619=0,"",IF(C619&gt;=C$2,1,0)+IF(D619&gt;=D$2,1,0)+IF(E619&gt;=E$2,1,0)+IF(F619&gt;=F$2,1,0))</f>
        <v/>
      </c>
      <c r="P619" s="41" t="n"/>
      <c r="Q619" s="42">
        <f>IF(COUNT(C619:M619)&gt;0,1,0)</f>
        <v/>
      </c>
      <c r="R619" s="42">
        <f>IF(Q619=0,0,R618+1)</f>
        <v/>
      </c>
      <c r="S619" s="42">
        <f>IF(O619="",0,IF(O619=4,S618+1,0))</f>
        <v/>
      </c>
      <c r="T619" s="43">
        <f>IF(Q619=1,A619,"")</f>
        <v/>
      </c>
    </row>
    <row r="620">
      <c r="A620" s="36">
        <f>A619+1</f>
        <v/>
      </c>
      <c r="B620" s="37">
        <f>IF(A620="","",TEXT(A620,"ddd"))</f>
        <v/>
      </c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9" t="n"/>
      <c r="M620" s="39" t="n"/>
      <c r="N620" s="38" t="n"/>
      <c r="O620" s="40">
        <f>IF($Q620=0,"",IF(C620&gt;=C$2,1,0)+IF(D620&gt;=D$2,1,0)+IF(E620&gt;=E$2,1,0)+IF(F620&gt;=F$2,1,0))</f>
        <v/>
      </c>
      <c r="P620" s="41" t="n"/>
      <c r="Q620" s="42">
        <f>IF(COUNT(C620:M620)&gt;0,1,0)</f>
        <v/>
      </c>
      <c r="R620" s="42">
        <f>IF(Q620=0,0,R619+1)</f>
        <v/>
      </c>
      <c r="S620" s="42">
        <f>IF(O620="",0,IF(O620=4,S619+1,0))</f>
        <v/>
      </c>
      <c r="T620" s="43">
        <f>IF(Q620=1,A620,"")</f>
        <v/>
      </c>
    </row>
    <row r="621">
      <c r="A621" s="36">
        <f>A620+1</f>
        <v/>
      </c>
      <c r="B621" s="37">
        <f>IF(A621="","",TEXT(A621,"ddd"))</f>
        <v/>
      </c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9" t="n"/>
      <c r="M621" s="39" t="n"/>
      <c r="N621" s="38" t="n"/>
      <c r="O621" s="40">
        <f>IF($Q621=0,"",IF(C621&gt;=C$2,1,0)+IF(D621&gt;=D$2,1,0)+IF(E621&gt;=E$2,1,0)+IF(F621&gt;=F$2,1,0))</f>
        <v/>
      </c>
      <c r="P621" s="41" t="n"/>
      <c r="Q621" s="42">
        <f>IF(COUNT(C621:M621)&gt;0,1,0)</f>
        <v/>
      </c>
      <c r="R621" s="42">
        <f>IF(Q621=0,0,R620+1)</f>
        <v/>
      </c>
      <c r="S621" s="42">
        <f>IF(O621="",0,IF(O621=4,S620+1,0))</f>
        <v/>
      </c>
      <c r="T621" s="43">
        <f>IF(Q621=1,A621,"")</f>
        <v/>
      </c>
    </row>
    <row r="622">
      <c r="A622" s="36">
        <f>A621+1</f>
        <v/>
      </c>
      <c r="B622" s="37">
        <f>IF(A622="","",TEXT(A622,"ddd"))</f>
        <v/>
      </c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9" t="n"/>
      <c r="M622" s="39" t="n"/>
      <c r="N622" s="38" t="n"/>
      <c r="O622" s="40">
        <f>IF($Q622=0,"",IF(C622&gt;=C$2,1,0)+IF(D622&gt;=D$2,1,0)+IF(E622&gt;=E$2,1,0)+IF(F622&gt;=F$2,1,0))</f>
        <v/>
      </c>
      <c r="P622" s="41" t="n"/>
      <c r="Q622" s="42">
        <f>IF(COUNT(C622:M622)&gt;0,1,0)</f>
        <v/>
      </c>
      <c r="R622" s="42">
        <f>IF(Q622=0,0,R621+1)</f>
        <v/>
      </c>
      <c r="S622" s="42">
        <f>IF(O622="",0,IF(O622=4,S621+1,0))</f>
        <v/>
      </c>
      <c r="T622" s="43">
        <f>IF(Q622=1,A622,"")</f>
        <v/>
      </c>
    </row>
    <row r="623">
      <c r="A623" s="36">
        <f>A622+1</f>
        <v/>
      </c>
      <c r="B623" s="37">
        <f>IF(A623="","",TEXT(A623,"ddd"))</f>
        <v/>
      </c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9" t="n"/>
      <c r="M623" s="39" t="n"/>
      <c r="N623" s="38" t="n"/>
      <c r="O623" s="40">
        <f>IF($Q623=0,"",IF(C623&gt;=C$2,1,0)+IF(D623&gt;=D$2,1,0)+IF(E623&gt;=E$2,1,0)+IF(F623&gt;=F$2,1,0))</f>
        <v/>
      </c>
      <c r="P623" s="41" t="n"/>
      <c r="Q623" s="42">
        <f>IF(COUNT(C623:M623)&gt;0,1,0)</f>
        <v/>
      </c>
      <c r="R623" s="42">
        <f>IF(Q623=0,0,R622+1)</f>
        <v/>
      </c>
      <c r="S623" s="42">
        <f>IF(O623="",0,IF(O623=4,S622+1,0))</f>
        <v/>
      </c>
      <c r="T623" s="43">
        <f>IF(Q623=1,A623,"")</f>
        <v/>
      </c>
    </row>
    <row r="624">
      <c r="A624" s="36">
        <f>A623+1</f>
        <v/>
      </c>
      <c r="B624" s="37">
        <f>IF(A624="","",TEXT(A624,"ddd"))</f>
        <v/>
      </c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9" t="n"/>
      <c r="M624" s="39" t="n"/>
      <c r="N624" s="38" t="n"/>
      <c r="O624" s="40">
        <f>IF($Q624=0,"",IF(C624&gt;=C$2,1,0)+IF(D624&gt;=D$2,1,0)+IF(E624&gt;=E$2,1,0)+IF(F624&gt;=F$2,1,0))</f>
        <v/>
      </c>
      <c r="P624" s="41" t="n"/>
      <c r="Q624" s="42">
        <f>IF(COUNT(C624:M624)&gt;0,1,0)</f>
        <v/>
      </c>
      <c r="R624" s="42">
        <f>IF(Q624=0,0,R623+1)</f>
        <v/>
      </c>
      <c r="S624" s="42">
        <f>IF(O624="",0,IF(O624=4,S623+1,0))</f>
        <v/>
      </c>
      <c r="T624" s="43">
        <f>IF(Q624=1,A624,"")</f>
        <v/>
      </c>
    </row>
    <row r="625">
      <c r="A625" s="36">
        <f>A624+1</f>
        <v/>
      </c>
      <c r="B625" s="37">
        <f>IF(A625="","",TEXT(A625,"ddd"))</f>
        <v/>
      </c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9" t="n"/>
      <c r="M625" s="39" t="n"/>
      <c r="N625" s="38" t="n"/>
      <c r="O625" s="40">
        <f>IF($Q625=0,"",IF(C625&gt;=C$2,1,0)+IF(D625&gt;=D$2,1,0)+IF(E625&gt;=E$2,1,0)+IF(F625&gt;=F$2,1,0))</f>
        <v/>
      </c>
      <c r="P625" s="41" t="n"/>
      <c r="Q625" s="42">
        <f>IF(COUNT(C625:M625)&gt;0,1,0)</f>
        <v/>
      </c>
      <c r="R625" s="42">
        <f>IF(Q625=0,0,R624+1)</f>
        <v/>
      </c>
      <c r="S625" s="42">
        <f>IF(O625="",0,IF(O625=4,S624+1,0))</f>
        <v/>
      </c>
      <c r="T625" s="43">
        <f>IF(Q625=1,A625,"")</f>
        <v/>
      </c>
    </row>
    <row r="626">
      <c r="A626" s="36">
        <f>A625+1</f>
        <v/>
      </c>
      <c r="B626" s="37">
        <f>IF(A626="","",TEXT(A626,"ddd"))</f>
        <v/>
      </c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9" t="n"/>
      <c r="M626" s="39" t="n"/>
      <c r="N626" s="38" t="n"/>
      <c r="O626" s="40">
        <f>IF($Q626=0,"",IF(C626&gt;=C$2,1,0)+IF(D626&gt;=D$2,1,0)+IF(E626&gt;=E$2,1,0)+IF(F626&gt;=F$2,1,0))</f>
        <v/>
      </c>
      <c r="P626" s="41" t="n"/>
      <c r="Q626" s="42">
        <f>IF(COUNT(C626:M626)&gt;0,1,0)</f>
        <v/>
      </c>
      <c r="R626" s="42">
        <f>IF(Q626=0,0,R625+1)</f>
        <v/>
      </c>
      <c r="S626" s="42">
        <f>IF(O626="",0,IF(O626=4,S625+1,0))</f>
        <v/>
      </c>
      <c r="T626" s="43">
        <f>IF(Q626=1,A626,"")</f>
        <v/>
      </c>
    </row>
    <row r="627">
      <c r="A627" s="36">
        <f>A626+1</f>
        <v/>
      </c>
      <c r="B627" s="37">
        <f>IF(A627="","",TEXT(A627,"ddd"))</f>
        <v/>
      </c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9" t="n"/>
      <c r="M627" s="39" t="n"/>
      <c r="N627" s="38" t="n"/>
      <c r="O627" s="40">
        <f>IF($Q627=0,"",IF(C627&gt;=C$2,1,0)+IF(D627&gt;=D$2,1,0)+IF(E627&gt;=E$2,1,0)+IF(F627&gt;=F$2,1,0))</f>
        <v/>
      </c>
      <c r="P627" s="41" t="n"/>
      <c r="Q627" s="42">
        <f>IF(COUNT(C627:M627)&gt;0,1,0)</f>
        <v/>
      </c>
      <c r="R627" s="42">
        <f>IF(Q627=0,0,R626+1)</f>
        <v/>
      </c>
      <c r="S627" s="42">
        <f>IF(O627="",0,IF(O627=4,S626+1,0))</f>
        <v/>
      </c>
      <c r="T627" s="43">
        <f>IF(Q627=1,A627,"")</f>
        <v/>
      </c>
    </row>
    <row r="628">
      <c r="A628" s="36">
        <f>A627+1</f>
        <v/>
      </c>
      <c r="B628" s="37">
        <f>IF(A628="","",TEXT(A628,"ddd"))</f>
        <v/>
      </c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9" t="n"/>
      <c r="M628" s="39" t="n"/>
      <c r="N628" s="38" t="n"/>
      <c r="O628" s="40">
        <f>IF($Q628=0,"",IF(C628&gt;=C$2,1,0)+IF(D628&gt;=D$2,1,0)+IF(E628&gt;=E$2,1,0)+IF(F628&gt;=F$2,1,0))</f>
        <v/>
      </c>
      <c r="P628" s="41" t="n"/>
      <c r="Q628" s="42">
        <f>IF(COUNT(C628:M628)&gt;0,1,0)</f>
        <v/>
      </c>
      <c r="R628" s="42">
        <f>IF(Q628=0,0,R627+1)</f>
        <v/>
      </c>
      <c r="S628" s="42">
        <f>IF(O628="",0,IF(O628=4,S627+1,0))</f>
        <v/>
      </c>
      <c r="T628" s="43">
        <f>IF(Q628=1,A628,"")</f>
        <v/>
      </c>
    </row>
    <row r="629">
      <c r="A629" s="36">
        <f>A628+1</f>
        <v/>
      </c>
      <c r="B629" s="37">
        <f>IF(A629="","",TEXT(A629,"ddd"))</f>
        <v/>
      </c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9" t="n"/>
      <c r="M629" s="39" t="n"/>
      <c r="N629" s="38" t="n"/>
      <c r="O629" s="40">
        <f>IF($Q629=0,"",IF(C629&gt;=C$2,1,0)+IF(D629&gt;=D$2,1,0)+IF(E629&gt;=E$2,1,0)+IF(F629&gt;=F$2,1,0))</f>
        <v/>
      </c>
      <c r="P629" s="41" t="n"/>
      <c r="Q629" s="42">
        <f>IF(COUNT(C629:M629)&gt;0,1,0)</f>
        <v/>
      </c>
      <c r="R629" s="42">
        <f>IF(Q629=0,0,R628+1)</f>
        <v/>
      </c>
      <c r="S629" s="42">
        <f>IF(O629="",0,IF(O629=4,S628+1,0))</f>
        <v/>
      </c>
      <c r="T629" s="43">
        <f>IF(Q629=1,A629,"")</f>
        <v/>
      </c>
    </row>
    <row r="630">
      <c r="A630" s="36">
        <f>A629+1</f>
        <v/>
      </c>
      <c r="B630" s="37">
        <f>IF(A630="","",TEXT(A630,"ddd"))</f>
        <v/>
      </c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9" t="n"/>
      <c r="M630" s="39" t="n"/>
      <c r="N630" s="38" t="n"/>
      <c r="O630" s="40">
        <f>IF($Q630=0,"",IF(C630&gt;=C$2,1,0)+IF(D630&gt;=D$2,1,0)+IF(E630&gt;=E$2,1,0)+IF(F630&gt;=F$2,1,0))</f>
        <v/>
      </c>
      <c r="P630" s="41" t="n"/>
      <c r="Q630" s="42">
        <f>IF(COUNT(C630:M630)&gt;0,1,0)</f>
        <v/>
      </c>
      <c r="R630" s="42">
        <f>IF(Q630=0,0,R629+1)</f>
        <v/>
      </c>
      <c r="S630" s="42">
        <f>IF(O630="",0,IF(O630=4,S629+1,0))</f>
        <v/>
      </c>
      <c r="T630" s="43">
        <f>IF(Q630=1,A630,"")</f>
        <v/>
      </c>
    </row>
    <row r="631">
      <c r="A631" s="36">
        <f>A630+1</f>
        <v/>
      </c>
      <c r="B631" s="37">
        <f>IF(A631="","",TEXT(A631,"ddd"))</f>
        <v/>
      </c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9" t="n"/>
      <c r="M631" s="39" t="n"/>
      <c r="N631" s="38" t="n"/>
      <c r="O631" s="40">
        <f>IF($Q631=0,"",IF(C631&gt;=C$2,1,0)+IF(D631&gt;=D$2,1,0)+IF(E631&gt;=E$2,1,0)+IF(F631&gt;=F$2,1,0))</f>
        <v/>
      </c>
      <c r="P631" s="41" t="n"/>
      <c r="Q631" s="42">
        <f>IF(COUNT(C631:M631)&gt;0,1,0)</f>
        <v/>
      </c>
      <c r="R631" s="42">
        <f>IF(Q631=0,0,R630+1)</f>
        <v/>
      </c>
      <c r="S631" s="42">
        <f>IF(O631="",0,IF(O631=4,S630+1,0))</f>
        <v/>
      </c>
      <c r="T631" s="43">
        <f>IF(Q631=1,A631,"")</f>
        <v/>
      </c>
    </row>
    <row r="632">
      <c r="A632" s="36">
        <f>A631+1</f>
        <v/>
      </c>
      <c r="B632" s="37">
        <f>IF(A632="","",TEXT(A632,"ddd"))</f>
        <v/>
      </c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9" t="n"/>
      <c r="M632" s="39" t="n"/>
      <c r="N632" s="38" t="n"/>
      <c r="O632" s="40">
        <f>IF($Q632=0,"",IF(C632&gt;=C$2,1,0)+IF(D632&gt;=D$2,1,0)+IF(E632&gt;=E$2,1,0)+IF(F632&gt;=F$2,1,0))</f>
        <v/>
      </c>
      <c r="P632" s="41" t="n"/>
      <c r="Q632" s="42">
        <f>IF(COUNT(C632:M632)&gt;0,1,0)</f>
        <v/>
      </c>
      <c r="R632" s="42">
        <f>IF(Q632=0,0,R631+1)</f>
        <v/>
      </c>
      <c r="S632" s="42">
        <f>IF(O632="",0,IF(O632=4,S631+1,0))</f>
        <v/>
      </c>
      <c r="T632" s="43">
        <f>IF(Q632=1,A632,"")</f>
        <v/>
      </c>
    </row>
    <row r="633">
      <c r="A633" s="36">
        <f>A632+1</f>
        <v/>
      </c>
      <c r="B633" s="37">
        <f>IF(A633="","",TEXT(A633,"ddd"))</f>
        <v/>
      </c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9" t="n"/>
      <c r="M633" s="39" t="n"/>
      <c r="N633" s="38" t="n"/>
      <c r="O633" s="40">
        <f>IF($Q633=0,"",IF(C633&gt;=C$2,1,0)+IF(D633&gt;=D$2,1,0)+IF(E633&gt;=E$2,1,0)+IF(F633&gt;=F$2,1,0))</f>
        <v/>
      </c>
      <c r="P633" s="41" t="n"/>
      <c r="Q633" s="42">
        <f>IF(COUNT(C633:M633)&gt;0,1,0)</f>
        <v/>
      </c>
      <c r="R633" s="42">
        <f>IF(Q633=0,0,R632+1)</f>
        <v/>
      </c>
      <c r="S633" s="42">
        <f>IF(O633="",0,IF(O633=4,S632+1,0))</f>
        <v/>
      </c>
      <c r="T633" s="43">
        <f>IF(Q633=1,A633,"")</f>
        <v/>
      </c>
    </row>
    <row r="634">
      <c r="A634" s="36">
        <f>A633+1</f>
        <v/>
      </c>
      <c r="B634" s="37">
        <f>IF(A634="","",TEXT(A634,"ddd"))</f>
        <v/>
      </c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9" t="n"/>
      <c r="M634" s="39" t="n"/>
      <c r="N634" s="38" t="n"/>
      <c r="O634" s="40">
        <f>IF($Q634=0,"",IF(C634&gt;=C$2,1,0)+IF(D634&gt;=D$2,1,0)+IF(E634&gt;=E$2,1,0)+IF(F634&gt;=F$2,1,0))</f>
        <v/>
      </c>
      <c r="P634" s="41" t="n"/>
      <c r="Q634" s="42">
        <f>IF(COUNT(C634:M634)&gt;0,1,0)</f>
        <v/>
      </c>
      <c r="R634" s="42">
        <f>IF(Q634=0,0,R633+1)</f>
        <v/>
      </c>
      <c r="S634" s="42">
        <f>IF(O634="",0,IF(O634=4,S633+1,0))</f>
        <v/>
      </c>
      <c r="T634" s="43">
        <f>IF(Q634=1,A634,"")</f>
        <v/>
      </c>
    </row>
    <row r="635">
      <c r="A635" s="36">
        <f>A634+1</f>
        <v/>
      </c>
      <c r="B635" s="37">
        <f>IF(A635="","",TEXT(A635,"ddd"))</f>
        <v/>
      </c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9" t="n"/>
      <c r="M635" s="39" t="n"/>
      <c r="N635" s="38" t="n"/>
      <c r="O635" s="40">
        <f>IF($Q635=0,"",IF(C635&gt;=C$2,1,0)+IF(D635&gt;=D$2,1,0)+IF(E635&gt;=E$2,1,0)+IF(F635&gt;=F$2,1,0))</f>
        <v/>
      </c>
      <c r="P635" s="41" t="n"/>
      <c r="Q635" s="42">
        <f>IF(COUNT(C635:M635)&gt;0,1,0)</f>
        <v/>
      </c>
      <c r="R635" s="42">
        <f>IF(Q635=0,0,R634+1)</f>
        <v/>
      </c>
      <c r="S635" s="42">
        <f>IF(O635="",0,IF(O635=4,S634+1,0))</f>
        <v/>
      </c>
      <c r="T635" s="43">
        <f>IF(Q635=1,A635,"")</f>
        <v/>
      </c>
    </row>
    <row r="636">
      <c r="A636" s="36">
        <f>A635+1</f>
        <v/>
      </c>
      <c r="B636" s="37">
        <f>IF(A636="","",TEXT(A636,"ddd"))</f>
        <v/>
      </c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9" t="n"/>
      <c r="M636" s="39" t="n"/>
      <c r="N636" s="38" t="n"/>
      <c r="O636" s="40">
        <f>IF($Q636=0,"",IF(C636&gt;=C$2,1,0)+IF(D636&gt;=D$2,1,0)+IF(E636&gt;=E$2,1,0)+IF(F636&gt;=F$2,1,0))</f>
        <v/>
      </c>
      <c r="P636" s="41" t="n"/>
      <c r="Q636" s="42">
        <f>IF(COUNT(C636:M636)&gt;0,1,0)</f>
        <v/>
      </c>
      <c r="R636" s="42">
        <f>IF(Q636=0,0,R635+1)</f>
        <v/>
      </c>
      <c r="S636" s="42">
        <f>IF(O636="",0,IF(O636=4,S635+1,0))</f>
        <v/>
      </c>
      <c r="T636" s="43">
        <f>IF(Q636=1,A636,"")</f>
        <v/>
      </c>
    </row>
    <row r="637">
      <c r="A637" s="36">
        <f>A636+1</f>
        <v/>
      </c>
      <c r="B637" s="37">
        <f>IF(A637="","",TEXT(A637,"ddd"))</f>
        <v/>
      </c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9" t="n"/>
      <c r="M637" s="39" t="n"/>
      <c r="N637" s="38" t="n"/>
      <c r="O637" s="40">
        <f>IF($Q637=0,"",IF(C637&gt;=C$2,1,0)+IF(D637&gt;=D$2,1,0)+IF(E637&gt;=E$2,1,0)+IF(F637&gt;=F$2,1,0))</f>
        <v/>
      </c>
      <c r="P637" s="41" t="n"/>
      <c r="Q637" s="42">
        <f>IF(COUNT(C637:M637)&gt;0,1,0)</f>
        <v/>
      </c>
      <c r="R637" s="42">
        <f>IF(Q637=0,0,R636+1)</f>
        <v/>
      </c>
      <c r="S637" s="42">
        <f>IF(O637="",0,IF(O637=4,S636+1,0))</f>
        <v/>
      </c>
      <c r="T637" s="43">
        <f>IF(Q637=1,A637,"")</f>
        <v/>
      </c>
    </row>
    <row r="638">
      <c r="A638" s="36">
        <f>A637+1</f>
        <v/>
      </c>
      <c r="B638" s="37">
        <f>IF(A638="","",TEXT(A638,"ddd"))</f>
        <v/>
      </c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9" t="n"/>
      <c r="M638" s="39" t="n"/>
      <c r="N638" s="38" t="n"/>
      <c r="O638" s="40">
        <f>IF($Q638=0,"",IF(C638&gt;=C$2,1,0)+IF(D638&gt;=D$2,1,0)+IF(E638&gt;=E$2,1,0)+IF(F638&gt;=F$2,1,0))</f>
        <v/>
      </c>
      <c r="P638" s="41" t="n"/>
      <c r="Q638" s="42">
        <f>IF(COUNT(C638:M638)&gt;0,1,0)</f>
        <v/>
      </c>
      <c r="R638" s="42">
        <f>IF(Q638=0,0,R637+1)</f>
        <v/>
      </c>
      <c r="S638" s="42">
        <f>IF(O638="",0,IF(O638=4,S637+1,0))</f>
        <v/>
      </c>
      <c r="T638" s="43">
        <f>IF(Q638=1,A638,"")</f>
        <v/>
      </c>
    </row>
    <row r="639">
      <c r="A639" s="36">
        <f>A638+1</f>
        <v/>
      </c>
      <c r="B639" s="37">
        <f>IF(A639="","",TEXT(A639,"ddd"))</f>
        <v/>
      </c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9" t="n"/>
      <c r="M639" s="39" t="n"/>
      <c r="N639" s="38" t="n"/>
      <c r="O639" s="40">
        <f>IF($Q639=0,"",IF(C639&gt;=C$2,1,0)+IF(D639&gt;=D$2,1,0)+IF(E639&gt;=E$2,1,0)+IF(F639&gt;=F$2,1,0))</f>
        <v/>
      </c>
      <c r="P639" s="41" t="n"/>
      <c r="Q639" s="42">
        <f>IF(COUNT(C639:M639)&gt;0,1,0)</f>
        <v/>
      </c>
      <c r="R639" s="42">
        <f>IF(Q639=0,0,R638+1)</f>
        <v/>
      </c>
      <c r="S639" s="42">
        <f>IF(O639="",0,IF(O639=4,S638+1,0))</f>
        <v/>
      </c>
      <c r="T639" s="43">
        <f>IF(Q639=1,A639,"")</f>
        <v/>
      </c>
    </row>
    <row r="640">
      <c r="A640" s="36">
        <f>A639+1</f>
        <v/>
      </c>
      <c r="B640" s="37">
        <f>IF(A640="","",TEXT(A640,"ddd"))</f>
        <v/>
      </c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9" t="n"/>
      <c r="M640" s="39" t="n"/>
      <c r="N640" s="38" t="n"/>
      <c r="O640" s="40">
        <f>IF($Q640=0,"",IF(C640&gt;=C$2,1,0)+IF(D640&gt;=D$2,1,0)+IF(E640&gt;=E$2,1,0)+IF(F640&gt;=F$2,1,0))</f>
        <v/>
      </c>
      <c r="P640" s="41" t="n"/>
      <c r="Q640" s="42">
        <f>IF(COUNT(C640:M640)&gt;0,1,0)</f>
        <v/>
      </c>
      <c r="R640" s="42">
        <f>IF(Q640=0,0,R639+1)</f>
        <v/>
      </c>
      <c r="S640" s="42">
        <f>IF(O640="",0,IF(O640=4,S639+1,0))</f>
        <v/>
      </c>
      <c r="T640" s="43">
        <f>IF(Q640=1,A640,"")</f>
        <v/>
      </c>
    </row>
    <row r="641">
      <c r="A641" s="36">
        <f>A640+1</f>
        <v/>
      </c>
      <c r="B641" s="37">
        <f>IF(A641="","",TEXT(A641,"ddd"))</f>
        <v/>
      </c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9" t="n"/>
      <c r="M641" s="39" t="n"/>
      <c r="N641" s="38" t="n"/>
      <c r="O641" s="40">
        <f>IF($Q641=0,"",IF(C641&gt;=C$2,1,0)+IF(D641&gt;=D$2,1,0)+IF(E641&gt;=E$2,1,0)+IF(F641&gt;=F$2,1,0))</f>
        <v/>
      </c>
      <c r="P641" s="41" t="n"/>
      <c r="Q641" s="42">
        <f>IF(COUNT(C641:M641)&gt;0,1,0)</f>
        <v/>
      </c>
      <c r="R641" s="42">
        <f>IF(Q641=0,0,R640+1)</f>
        <v/>
      </c>
      <c r="S641" s="42">
        <f>IF(O641="",0,IF(O641=4,S640+1,0))</f>
        <v/>
      </c>
      <c r="T641" s="43">
        <f>IF(Q641=1,A641,"")</f>
        <v/>
      </c>
    </row>
    <row r="642">
      <c r="A642" s="36">
        <f>A641+1</f>
        <v/>
      </c>
      <c r="B642" s="37">
        <f>IF(A642="","",TEXT(A642,"ddd"))</f>
        <v/>
      </c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9" t="n"/>
      <c r="M642" s="39" t="n"/>
      <c r="N642" s="38" t="n"/>
      <c r="O642" s="40">
        <f>IF($Q642=0,"",IF(C642&gt;=C$2,1,0)+IF(D642&gt;=D$2,1,0)+IF(E642&gt;=E$2,1,0)+IF(F642&gt;=F$2,1,0))</f>
        <v/>
      </c>
      <c r="P642" s="41" t="n"/>
      <c r="Q642" s="42">
        <f>IF(COUNT(C642:M642)&gt;0,1,0)</f>
        <v/>
      </c>
      <c r="R642" s="42">
        <f>IF(Q642=0,0,R641+1)</f>
        <v/>
      </c>
      <c r="S642" s="42">
        <f>IF(O642="",0,IF(O642=4,S641+1,0))</f>
        <v/>
      </c>
      <c r="T642" s="43">
        <f>IF(Q642=1,A642,"")</f>
        <v/>
      </c>
    </row>
    <row r="643">
      <c r="A643" s="36">
        <f>A642+1</f>
        <v/>
      </c>
      <c r="B643" s="37">
        <f>IF(A643="","",TEXT(A643,"ddd"))</f>
        <v/>
      </c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9" t="n"/>
      <c r="M643" s="39" t="n"/>
      <c r="N643" s="38" t="n"/>
      <c r="O643" s="40">
        <f>IF($Q643=0,"",IF(C643&gt;=C$2,1,0)+IF(D643&gt;=D$2,1,0)+IF(E643&gt;=E$2,1,0)+IF(F643&gt;=F$2,1,0))</f>
        <v/>
      </c>
      <c r="P643" s="41" t="n"/>
      <c r="Q643" s="42">
        <f>IF(COUNT(C643:M643)&gt;0,1,0)</f>
        <v/>
      </c>
      <c r="R643" s="42">
        <f>IF(Q643=0,0,R642+1)</f>
        <v/>
      </c>
      <c r="S643" s="42">
        <f>IF(O643="",0,IF(O643=4,S642+1,0))</f>
        <v/>
      </c>
      <c r="T643" s="43">
        <f>IF(Q643=1,A643,"")</f>
        <v/>
      </c>
    </row>
    <row r="644">
      <c r="A644" s="36">
        <f>A643+1</f>
        <v/>
      </c>
      <c r="B644" s="37">
        <f>IF(A644="","",TEXT(A644,"ddd"))</f>
        <v/>
      </c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9" t="n"/>
      <c r="M644" s="39" t="n"/>
      <c r="N644" s="38" t="n"/>
      <c r="O644" s="40">
        <f>IF($Q644=0,"",IF(C644&gt;=C$2,1,0)+IF(D644&gt;=D$2,1,0)+IF(E644&gt;=E$2,1,0)+IF(F644&gt;=F$2,1,0))</f>
        <v/>
      </c>
      <c r="P644" s="41" t="n"/>
      <c r="Q644" s="42">
        <f>IF(COUNT(C644:M644)&gt;0,1,0)</f>
        <v/>
      </c>
      <c r="R644" s="42">
        <f>IF(Q644=0,0,R643+1)</f>
        <v/>
      </c>
      <c r="S644" s="42">
        <f>IF(O644="",0,IF(O644=4,S643+1,0))</f>
        <v/>
      </c>
      <c r="T644" s="43">
        <f>IF(Q644=1,A644,"")</f>
        <v/>
      </c>
    </row>
    <row r="645">
      <c r="A645" s="36">
        <f>A644+1</f>
        <v/>
      </c>
      <c r="B645" s="37">
        <f>IF(A645="","",TEXT(A645,"ddd"))</f>
        <v/>
      </c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9" t="n"/>
      <c r="M645" s="39" t="n"/>
      <c r="N645" s="38" t="n"/>
      <c r="O645" s="40">
        <f>IF($Q645=0,"",IF(C645&gt;=C$2,1,0)+IF(D645&gt;=D$2,1,0)+IF(E645&gt;=E$2,1,0)+IF(F645&gt;=F$2,1,0))</f>
        <v/>
      </c>
      <c r="P645" s="41" t="n"/>
      <c r="Q645" s="42">
        <f>IF(COUNT(C645:M645)&gt;0,1,0)</f>
        <v/>
      </c>
      <c r="R645" s="42">
        <f>IF(Q645=0,0,R644+1)</f>
        <v/>
      </c>
      <c r="S645" s="42">
        <f>IF(O645="",0,IF(O645=4,S644+1,0))</f>
        <v/>
      </c>
      <c r="T645" s="43">
        <f>IF(Q645=1,A645,"")</f>
        <v/>
      </c>
    </row>
    <row r="646">
      <c r="A646" s="36">
        <f>A645+1</f>
        <v/>
      </c>
      <c r="B646" s="37">
        <f>IF(A646="","",TEXT(A646,"ddd"))</f>
        <v/>
      </c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9" t="n"/>
      <c r="M646" s="39" t="n"/>
      <c r="N646" s="38" t="n"/>
      <c r="O646" s="40">
        <f>IF($Q646=0,"",IF(C646&gt;=C$2,1,0)+IF(D646&gt;=D$2,1,0)+IF(E646&gt;=E$2,1,0)+IF(F646&gt;=F$2,1,0))</f>
        <v/>
      </c>
      <c r="P646" s="41" t="n"/>
      <c r="Q646" s="42">
        <f>IF(COUNT(C646:M646)&gt;0,1,0)</f>
        <v/>
      </c>
      <c r="R646" s="42">
        <f>IF(Q646=0,0,R645+1)</f>
        <v/>
      </c>
      <c r="S646" s="42">
        <f>IF(O646="",0,IF(O646=4,S645+1,0))</f>
        <v/>
      </c>
      <c r="T646" s="43">
        <f>IF(Q646=1,A646,"")</f>
        <v/>
      </c>
    </row>
    <row r="647">
      <c r="A647" s="36">
        <f>A646+1</f>
        <v/>
      </c>
      <c r="B647" s="37">
        <f>IF(A647="","",TEXT(A647,"ddd"))</f>
        <v/>
      </c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9" t="n"/>
      <c r="M647" s="39" t="n"/>
      <c r="N647" s="38" t="n"/>
      <c r="O647" s="40">
        <f>IF($Q647=0,"",IF(C647&gt;=C$2,1,0)+IF(D647&gt;=D$2,1,0)+IF(E647&gt;=E$2,1,0)+IF(F647&gt;=F$2,1,0))</f>
        <v/>
      </c>
      <c r="P647" s="41" t="n"/>
      <c r="Q647" s="42">
        <f>IF(COUNT(C647:M647)&gt;0,1,0)</f>
        <v/>
      </c>
      <c r="R647" s="42">
        <f>IF(Q647=0,0,R646+1)</f>
        <v/>
      </c>
      <c r="S647" s="42">
        <f>IF(O647="",0,IF(O647=4,S646+1,0))</f>
        <v/>
      </c>
      <c r="T647" s="43">
        <f>IF(Q647=1,A647,"")</f>
        <v/>
      </c>
    </row>
    <row r="648">
      <c r="A648" s="36">
        <f>A647+1</f>
        <v/>
      </c>
      <c r="B648" s="37">
        <f>IF(A648="","",TEXT(A648,"ddd"))</f>
        <v/>
      </c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9" t="n"/>
      <c r="M648" s="39" t="n"/>
      <c r="N648" s="38" t="n"/>
      <c r="O648" s="40">
        <f>IF($Q648=0,"",IF(C648&gt;=C$2,1,0)+IF(D648&gt;=D$2,1,0)+IF(E648&gt;=E$2,1,0)+IF(F648&gt;=F$2,1,0))</f>
        <v/>
      </c>
      <c r="P648" s="41" t="n"/>
      <c r="Q648" s="42">
        <f>IF(COUNT(C648:M648)&gt;0,1,0)</f>
        <v/>
      </c>
      <c r="R648" s="42">
        <f>IF(Q648=0,0,R647+1)</f>
        <v/>
      </c>
      <c r="S648" s="42">
        <f>IF(O648="",0,IF(O648=4,S647+1,0))</f>
        <v/>
      </c>
      <c r="T648" s="43">
        <f>IF(Q648=1,A648,"")</f>
        <v/>
      </c>
    </row>
    <row r="649">
      <c r="A649" s="36">
        <f>A648+1</f>
        <v/>
      </c>
      <c r="B649" s="37">
        <f>IF(A649="","",TEXT(A649,"ddd"))</f>
        <v/>
      </c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9" t="n"/>
      <c r="M649" s="39" t="n"/>
      <c r="N649" s="38" t="n"/>
      <c r="O649" s="40">
        <f>IF($Q649=0,"",IF(C649&gt;=C$2,1,0)+IF(D649&gt;=D$2,1,0)+IF(E649&gt;=E$2,1,0)+IF(F649&gt;=F$2,1,0))</f>
        <v/>
      </c>
      <c r="P649" s="41" t="n"/>
      <c r="Q649" s="42">
        <f>IF(COUNT(C649:M649)&gt;0,1,0)</f>
        <v/>
      </c>
      <c r="R649" s="42">
        <f>IF(Q649=0,0,R648+1)</f>
        <v/>
      </c>
      <c r="S649" s="42">
        <f>IF(O649="",0,IF(O649=4,S648+1,0))</f>
        <v/>
      </c>
      <c r="T649" s="43">
        <f>IF(Q649=1,A649,"")</f>
        <v/>
      </c>
    </row>
    <row r="650">
      <c r="A650" s="36">
        <f>A649+1</f>
        <v/>
      </c>
      <c r="B650" s="37">
        <f>IF(A650="","",TEXT(A650,"ddd"))</f>
        <v/>
      </c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9" t="n"/>
      <c r="M650" s="39" t="n"/>
      <c r="N650" s="38" t="n"/>
      <c r="O650" s="40">
        <f>IF($Q650=0,"",IF(C650&gt;=C$2,1,0)+IF(D650&gt;=D$2,1,0)+IF(E650&gt;=E$2,1,0)+IF(F650&gt;=F$2,1,0))</f>
        <v/>
      </c>
      <c r="P650" s="41" t="n"/>
      <c r="Q650" s="42">
        <f>IF(COUNT(C650:M650)&gt;0,1,0)</f>
        <v/>
      </c>
      <c r="R650" s="42">
        <f>IF(Q650=0,0,R649+1)</f>
        <v/>
      </c>
      <c r="S650" s="42">
        <f>IF(O650="",0,IF(O650=4,S649+1,0))</f>
        <v/>
      </c>
      <c r="T650" s="43">
        <f>IF(Q650=1,A650,"")</f>
        <v/>
      </c>
    </row>
    <row r="651">
      <c r="A651" s="36">
        <f>A650+1</f>
        <v/>
      </c>
      <c r="B651" s="37">
        <f>IF(A651="","",TEXT(A651,"ddd"))</f>
        <v/>
      </c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9" t="n"/>
      <c r="M651" s="39" t="n"/>
      <c r="N651" s="38" t="n"/>
      <c r="O651" s="40">
        <f>IF($Q651=0,"",IF(C651&gt;=C$2,1,0)+IF(D651&gt;=D$2,1,0)+IF(E651&gt;=E$2,1,0)+IF(F651&gt;=F$2,1,0))</f>
        <v/>
      </c>
      <c r="P651" s="41" t="n"/>
      <c r="Q651" s="42">
        <f>IF(COUNT(C651:M651)&gt;0,1,0)</f>
        <v/>
      </c>
      <c r="R651" s="42">
        <f>IF(Q651=0,0,R650+1)</f>
        <v/>
      </c>
      <c r="S651" s="42">
        <f>IF(O651="",0,IF(O651=4,S650+1,0))</f>
        <v/>
      </c>
      <c r="T651" s="43">
        <f>IF(Q651=1,A651,"")</f>
        <v/>
      </c>
    </row>
    <row r="652">
      <c r="A652" s="36">
        <f>A651+1</f>
        <v/>
      </c>
      <c r="B652" s="37">
        <f>IF(A652="","",TEXT(A652,"ddd"))</f>
        <v/>
      </c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9" t="n"/>
      <c r="M652" s="39" t="n"/>
      <c r="N652" s="38" t="n"/>
      <c r="O652" s="40">
        <f>IF($Q652=0,"",IF(C652&gt;=C$2,1,0)+IF(D652&gt;=D$2,1,0)+IF(E652&gt;=E$2,1,0)+IF(F652&gt;=F$2,1,0))</f>
        <v/>
      </c>
      <c r="P652" s="41" t="n"/>
      <c r="Q652" s="42">
        <f>IF(COUNT(C652:M652)&gt;0,1,0)</f>
        <v/>
      </c>
      <c r="R652" s="42">
        <f>IF(Q652=0,0,R651+1)</f>
        <v/>
      </c>
      <c r="S652" s="42">
        <f>IF(O652="",0,IF(O652=4,S651+1,0))</f>
        <v/>
      </c>
      <c r="T652" s="43">
        <f>IF(Q652=1,A652,"")</f>
        <v/>
      </c>
    </row>
    <row r="653">
      <c r="A653" s="36">
        <f>A652+1</f>
        <v/>
      </c>
      <c r="B653" s="37">
        <f>IF(A653="","",TEXT(A653,"ddd"))</f>
        <v/>
      </c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9" t="n"/>
      <c r="M653" s="39" t="n"/>
      <c r="N653" s="38" t="n"/>
      <c r="O653" s="40">
        <f>IF($Q653=0,"",IF(C653&gt;=C$2,1,0)+IF(D653&gt;=D$2,1,0)+IF(E653&gt;=E$2,1,0)+IF(F653&gt;=F$2,1,0))</f>
        <v/>
      </c>
      <c r="P653" s="41" t="n"/>
      <c r="Q653" s="42">
        <f>IF(COUNT(C653:M653)&gt;0,1,0)</f>
        <v/>
      </c>
      <c r="R653" s="42">
        <f>IF(Q653=0,0,R652+1)</f>
        <v/>
      </c>
      <c r="S653" s="42">
        <f>IF(O653="",0,IF(O653=4,S652+1,0))</f>
        <v/>
      </c>
      <c r="T653" s="43">
        <f>IF(Q653=1,A653,"")</f>
        <v/>
      </c>
    </row>
    <row r="654">
      <c r="A654" s="36">
        <f>A653+1</f>
        <v/>
      </c>
      <c r="B654" s="37">
        <f>IF(A654="","",TEXT(A654,"ddd"))</f>
        <v/>
      </c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9" t="n"/>
      <c r="M654" s="39" t="n"/>
      <c r="N654" s="38" t="n"/>
      <c r="O654" s="40">
        <f>IF($Q654=0,"",IF(C654&gt;=C$2,1,0)+IF(D654&gt;=D$2,1,0)+IF(E654&gt;=E$2,1,0)+IF(F654&gt;=F$2,1,0))</f>
        <v/>
      </c>
      <c r="P654" s="41" t="n"/>
      <c r="Q654" s="42">
        <f>IF(COUNT(C654:M654)&gt;0,1,0)</f>
        <v/>
      </c>
      <c r="R654" s="42">
        <f>IF(Q654=0,0,R653+1)</f>
        <v/>
      </c>
      <c r="S654" s="42">
        <f>IF(O654="",0,IF(O654=4,S653+1,0))</f>
        <v/>
      </c>
      <c r="T654" s="43">
        <f>IF(Q654=1,A654,"")</f>
        <v/>
      </c>
    </row>
    <row r="655">
      <c r="A655" s="36">
        <f>A654+1</f>
        <v/>
      </c>
      <c r="B655" s="37">
        <f>IF(A655="","",TEXT(A655,"ddd"))</f>
        <v/>
      </c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9" t="n"/>
      <c r="M655" s="39" t="n"/>
      <c r="N655" s="38" t="n"/>
      <c r="O655" s="40">
        <f>IF($Q655=0,"",IF(C655&gt;=C$2,1,0)+IF(D655&gt;=D$2,1,0)+IF(E655&gt;=E$2,1,0)+IF(F655&gt;=F$2,1,0))</f>
        <v/>
      </c>
      <c r="P655" s="41" t="n"/>
      <c r="Q655" s="42">
        <f>IF(COUNT(C655:M655)&gt;0,1,0)</f>
        <v/>
      </c>
      <c r="R655" s="42">
        <f>IF(Q655=0,0,R654+1)</f>
        <v/>
      </c>
      <c r="S655" s="42">
        <f>IF(O655="",0,IF(O655=4,S654+1,0))</f>
        <v/>
      </c>
      <c r="T655" s="43">
        <f>IF(Q655=1,A655,"")</f>
        <v/>
      </c>
    </row>
    <row r="656">
      <c r="A656" s="36">
        <f>A655+1</f>
        <v/>
      </c>
      <c r="B656" s="37">
        <f>IF(A656="","",TEXT(A656,"ddd"))</f>
        <v/>
      </c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9" t="n"/>
      <c r="M656" s="39" t="n"/>
      <c r="N656" s="38" t="n"/>
      <c r="O656" s="40">
        <f>IF($Q656=0,"",IF(C656&gt;=C$2,1,0)+IF(D656&gt;=D$2,1,0)+IF(E656&gt;=E$2,1,0)+IF(F656&gt;=F$2,1,0))</f>
        <v/>
      </c>
      <c r="P656" s="41" t="n"/>
      <c r="Q656" s="42">
        <f>IF(COUNT(C656:M656)&gt;0,1,0)</f>
        <v/>
      </c>
      <c r="R656" s="42">
        <f>IF(Q656=0,0,R655+1)</f>
        <v/>
      </c>
      <c r="S656" s="42">
        <f>IF(O656="",0,IF(O656=4,S655+1,0))</f>
        <v/>
      </c>
      <c r="T656" s="43">
        <f>IF(Q656=1,A656,"")</f>
        <v/>
      </c>
    </row>
    <row r="657">
      <c r="A657" s="36">
        <f>A656+1</f>
        <v/>
      </c>
      <c r="B657" s="37">
        <f>IF(A657="","",TEXT(A657,"ddd"))</f>
        <v/>
      </c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9" t="n"/>
      <c r="M657" s="39" t="n"/>
      <c r="N657" s="38" t="n"/>
      <c r="O657" s="40">
        <f>IF($Q657=0,"",IF(C657&gt;=C$2,1,0)+IF(D657&gt;=D$2,1,0)+IF(E657&gt;=E$2,1,0)+IF(F657&gt;=F$2,1,0))</f>
        <v/>
      </c>
      <c r="P657" s="41" t="n"/>
      <c r="Q657" s="42">
        <f>IF(COUNT(C657:M657)&gt;0,1,0)</f>
        <v/>
      </c>
      <c r="R657" s="42">
        <f>IF(Q657=0,0,R656+1)</f>
        <v/>
      </c>
      <c r="S657" s="42">
        <f>IF(O657="",0,IF(O657=4,S656+1,0))</f>
        <v/>
      </c>
      <c r="T657" s="43">
        <f>IF(Q657=1,A657,"")</f>
        <v/>
      </c>
    </row>
    <row r="658">
      <c r="A658" s="36">
        <f>A657+1</f>
        <v/>
      </c>
      <c r="B658" s="37">
        <f>IF(A658="","",TEXT(A658,"ddd"))</f>
        <v/>
      </c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9" t="n"/>
      <c r="M658" s="39" t="n"/>
      <c r="N658" s="38" t="n"/>
      <c r="O658" s="40">
        <f>IF($Q658=0,"",IF(C658&gt;=C$2,1,0)+IF(D658&gt;=D$2,1,0)+IF(E658&gt;=E$2,1,0)+IF(F658&gt;=F$2,1,0))</f>
        <v/>
      </c>
      <c r="P658" s="41" t="n"/>
      <c r="Q658" s="42">
        <f>IF(COUNT(C658:M658)&gt;0,1,0)</f>
        <v/>
      </c>
      <c r="R658" s="42">
        <f>IF(Q658=0,0,R657+1)</f>
        <v/>
      </c>
      <c r="S658" s="42">
        <f>IF(O658="",0,IF(O658=4,S657+1,0))</f>
        <v/>
      </c>
      <c r="T658" s="43">
        <f>IF(Q658=1,A658,"")</f>
        <v/>
      </c>
    </row>
    <row r="659">
      <c r="A659" s="36">
        <f>A658+1</f>
        <v/>
      </c>
      <c r="B659" s="37">
        <f>IF(A659="","",TEXT(A659,"ddd"))</f>
        <v/>
      </c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9" t="n"/>
      <c r="M659" s="39" t="n"/>
      <c r="N659" s="38" t="n"/>
      <c r="O659" s="40">
        <f>IF($Q659=0,"",IF(C659&gt;=C$2,1,0)+IF(D659&gt;=D$2,1,0)+IF(E659&gt;=E$2,1,0)+IF(F659&gt;=F$2,1,0))</f>
        <v/>
      </c>
      <c r="P659" s="41" t="n"/>
      <c r="Q659" s="42">
        <f>IF(COUNT(C659:M659)&gt;0,1,0)</f>
        <v/>
      </c>
      <c r="R659" s="42">
        <f>IF(Q659=0,0,R658+1)</f>
        <v/>
      </c>
      <c r="S659" s="42">
        <f>IF(O659="",0,IF(O659=4,S658+1,0))</f>
        <v/>
      </c>
      <c r="T659" s="43">
        <f>IF(Q659=1,A659,"")</f>
        <v/>
      </c>
    </row>
    <row r="660">
      <c r="A660" s="36">
        <f>A659+1</f>
        <v/>
      </c>
      <c r="B660" s="37">
        <f>IF(A660="","",TEXT(A660,"ddd"))</f>
        <v/>
      </c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9" t="n"/>
      <c r="M660" s="39" t="n"/>
      <c r="N660" s="38" t="n"/>
      <c r="O660" s="40">
        <f>IF($Q660=0,"",IF(C660&gt;=C$2,1,0)+IF(D660&gt;=D$2,1,0)+IF(E660&gt;=E$2,1,0)+IF(F660&gt;=F$2,1,0))</f>
        <v/>
      </c>
      <c r="P660" s="41" t="n"/>
      <c r="Q660" s="42">
        <f>IF(COUNT(C660:M660)&gt;0,1,0)</f>
        <v/>
      </c>
      <c r="R660" s="42">
        <f>IF(Q660=0,0,R659+1)</f>
        <v/>
      </c>
      <c r="S660" s="42">
        <f>IF(O660="",0,IF(O660=4,S659+1,0))</f>
        <v/>
      </c>
      <c r="T660" s="43">
        <f>IF(Q660=1,A660,"")</f>
        <v/>
      </c>
    </row>
    <row r="661">
      <c r="A661" s="36">
        <f>A660+1</f>
        <v/>
      </c>
      <c r="B661" s="37">
        <f>IF(A661="","",TEXT(A661,"ddd"))</f>
        <v/>
      </c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9" t="n"/>
      <c r="M661" s="39" t="n"/>
      <c r="N661" s="38" t="n"/>
      <c r="O661" s="40">
        <f>IF($Q661=0,"",IF(C661&gt;=C$2,1,0)+IF(D661&gt;=D$2,1,0)+IF(E661&gt;=E$2,1,0)+IF(F661&gt;=F$2,1,0))</f>
        <v/>
      </c>
      <c r="P661" s="41" t="n"/>
      <c r="Q661" s="42">
        <f>IF(COUNT(C661:M661)&gt;0,1,0)</f>
        <v/>
      </c>
      <c r="R661" s="42">
        <f>IF(Q661=0,0,R660+1)</f>
        <v/>
      </c>
      <c r="S661" s="42">
        <f>IF(O661="",0,IF(O661=4,S660+1,0))</f>
        <v/>
      </c>
      <c r="T661" s="43">
        <f>IF(Q661=1,A661,"")</f>
        <v/>
      </c>
    </row>
    <row r="662">
      <c r="A662" s="36">
        <f>A661+1</f>
        <v/>
      </c>
      <c r="B662" s="37">
        <f>IF(A662="","",TEXT(A662,"ddd"))</f>
        <v/>
      </c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9" t="n"/>
      <c r="M662" s="39" t="n"/>
      <c r="N662" s="38" t="n"/>
      <c r="O662" s="40">
        <f>IF($Q662=0,"",IF(C662&gt;=C$2,1,0)+IF(D662&gt;=D$2,1,0)+IF(E662&gt;=E$2,1,0)+IF(F662&gt;=F$2,1,0))</f>
        <v/>
      </c>
      <c r="P662" s="41" t="n"/>
      <c r="Q662" s="42">
        <f>IF(COUNT(C662:M662)&gt;0,1,0)</f>
        <v/>
      </c>
      <c r="R662" s="42">
        <f>IF(Q662=0,0,R661+1)</f>
        <v/>
      </c>
      <c r="S662" s="42">
        <f>IF(O662="",0,IF(O662=4,S661+1,0))</f>
        <v/>
      </c>
      <c r="T662" s="43">
        <f>IF(Q662=1,A662,"")</f>
        <v/>
      </c>
    </row>
    <row r="663">
      <c r="A663" s="36">
        <f>A662+1</f>
        <v/>
      </c>
      <c r="B663" s="37">
        <f>IF(A663="","",TEXT(A663,"ddd"))</f>
        <v/>
      </c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9" t="n"/>
      <c r="M663" s="39" t="n"/>
      <c r="N663" s="38" t="n"/>
      <c r="O663" s="40">
        <f>IF($Q663=0,"",IF(C663&gt;=C$2,1,0)+IF(D663&gt;=D$2,1,0)+IF(E663&gt;=E$2,1,0)+IF(F663&gt;=F$2,1,0))</f>
        <v/>
      </c>
      <c r="P663" s="41" t="n"/>
      <c r="Q663" s="42">
        <f>IF(COUNT(C663:M663)&gt;0,1,0)</f>
        <v/>
      </c>
      <c r="R663" s="42">
        <f>IF(Q663=0,0,R662+1)</f>
        <v/>
      </c>
      <c r="S663" s="42">
        <f>IF(O663="",0,IF(O663=4,S662+1,0))</f>
        <v/>
      </c>
      <c r="T663" s="43">
        <f>IF(Q663=1,A663,"")</f>
        <v/>
      </c>
    </row>
    <row r="664">
      <c r="A664" s="36">
        <f>A663+1</f>
        <v/>
      </c>
      <c r="B664" s="37">
        <f>IF(A664="","",TEXT(A664,"ddd"))</f>
        <v/>
      </c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9" t="n"/>
      <c r="M664" s="39" t="n"/>
      <c r="N664" s="38" t="n"/>
      <c r="O664" s="40">
        <f>IF($Q664=0,"",IF(C664&gt;=C$2,1,0)+IF(D664&gt;=D$2,1,0)+IF(E664&gt;=E$2,1,0)+IF(F664&gt;=F$2,1,0))</f>
        <v/>
      </c>
      <c r="P664" s="41" t="n"/>
      <c r="Q664" s="42">
        <f>IF(COUNT(C664:M664)&gt;0,1,0)</f>
        <v/>
      </c>
      <c r="R664" s="42">
        <f>IF(Q664=0,0,R663+1)</f>
        <v/>
      </c>
      <c r="S664" s="42">
        <f>IF(O664="",0,IF(O664=4,S663+1,0))</f>
        <v/>
      </c>
      <c r="T664" s="43">
        <f>IF(Q664=1,A664,"")</f>
        <v/>
      </c>
    </row>
    <row r="665">
      <c r="A665" s="36">
        <f>A664+1</f>
        <v/>
      </c>
      <c r="B665" s="37">
        <f>IF(A665="","",TEXT(A665,"ddd"))</f>
        <v/>
      </c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9" t="n"/>
      <c r="M665" s="39" t="n"/>
      <c r="N665" s="38" t="n"/>
      <c r="O665" s="40">
        <f>IF($Q665=0,"",IF(C665&gt;=C$2,1,0)+IF(D665&gt;=D$2,1,0)+IF(E665&gt;=E$2,1,0)+IF(F665&gt;=F$2,1,0))</f>
        <v/>
      </c>
      <c r="P665" s="41" t="n"/>
      <c r="Q665" s="42">
        <f>IF(COUNT(C665:M665)&gt;0,1,0)</f>
        <v/>
      </c>
      <c r="R665" s="42">
        <f>IF(Q665=0,0,R664+1)</f>
        <v/>
      </c>
      <c r="S665" s="42">
        <f>IF(O665="",0,IF(O665=4,S664+1,0))</f>
        <v/>
      </c>
      <c r="T665" s="43">
        <f>IF(Q665=1,A665,"")</f>
        <v/>
      </c>
    </row>
    <row r="666">
      <c r="A666" s="36">
        <f>A665+1</f>
        <v/>
      </c>
      <c r="B666" s="37">
        <f>IF(A666="","",TEXT(A666,"ddd"))</f>
        <v/>
      </c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9" t="n"/>
      <c r="M666" s="39" t="n"/>
      <c r="N666" s="38" t="n"/>
      <c r="O666" s="40">
        <f>IF($Q666=0,"",IF(C666&gt;=C$2,1,0)+IF(D666&gt;=D$2,1,0)+IF(E666&gt;=E$2,1,0)+IF(F666&gt;=F$2,1,0))</f>
        <v/>
      </c>
      <c r="P666" s="41" t="n"/>
      <c r="Q666" s="42">
        <f>IF(COUNT(C666:M666)&gt;0,1,0)</f>
        <v/>
      </c>
      <c r="R666" s="42">
        <f>IF(Q666=0,0,R665+1)</f>
        <v/>
      </c>
      <c r="S666" s="42">
        <f>IF(O666="",0,IF(O666=4,S665+1,0))</f>
        <v/>
      </c>
      <c r="T666" s="43">
        <f>IF(Q666=1,A666,"")</f>
        <v/>
      </c>
    </row>
    <row r="667">
      <c r="A667" s="36">
        <f>A666+1</f>
        <v/>
      </c>
      <c r="B667" s="37">
        <f>IF(A667="","",TEXT(A667,"ddd"))</f>
        <v/>
      </c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9" t="n"/>
      <c r="M667" s="39" t="n"/>
      <c r="N667" s="38" t="n"/>
      <c r="O667" s="40">
        <f>IF($Q667=0,"",IF(C667&gt;=C$2,1,0)+IF(D667&gt;=D$2,1,0)+IF(E667&gt;=E$2,1,0)+IF(F667&gt;=F$2,1,0))</f>
        <v/>
      </c>
      <c r="P667" s="41" t="n"/>
      <c r="Q667" s="42">
        <f>IF(COUNT(C667:M667)&gt;0,1,0)</f>
        <v/>
      </c>
      <c r="R667" s="42">
        <f>IF(Q667=0,0,R666+1)</f>
        <v/>
      </c>
      <c r="S667" s="42">
        <f>IF(O667="",0,IF(O667=4,S666+1,0))</f>
        <v/>
      </c>
      <c r="T667" s="43">
        <f>IF(Q667=1,A667,"")</f>
        <v/>
      </c>
    </row>
    <row r="668">
      <c r="A668" s="36">
        <f>A667+1</f>
        <v/>
      </c>
      <c r="B668" s="37">
        <f>IF(A668="","",TEXT(A668,"ddd"))</f>
        <v/>
      </c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9" t="n"/>
      <c r="M668" s="39" t="n"/>
      <c r="N668" s="38" t="n"/>
      <c r="O668" s="40">
        <f>IF($Q668=0,"",IF(C668&gt;=C$2,1,0)+IF(D668&gt;=D$2,1,0)+IF(E668&gt;=E$2,1,0)+IF(F668&gt;=F$2,1,0))</f>
        <v/>
      </c>
      <c r="P668" s="41" t="n"/>
      <c r="Q668" s="42">
        <f>IF(COUNT(C668:M668)&gt;0,1,0)</f>
        <v/>
      </c>
      <c r="R668" s="42">
        <f>IF(Q668=0,0,R667+1)</f>
        <v/>
      </c>
      <c r="S668" s="42">
        <f>IF(O668="",0,IF(O668=4,S667+1,0))</f>
        <v/>
      </c>
      <c r="T668" s="43">
        <f>IF(Q668=1,A668,"")</f>
        <v/>
      </c>
    </row>
    <row r="669">
      <c r="A669" s="36">
        <f>A668+1</f>
        <v/>
      </c>
      <c r="B669" s="37">
        <f>IF(A669="","",TEXT(A669,"ddd"))</f>
        <v/>
      </c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9" t="n"/>
      <c r="M669" s="39" t="n"/>
      <c r="N669" s="38" t="n"/>
      <c r="O669" s="40">
        <f>IF($Q669=0,"",IF(C669&gt;=C$2,1,0)+IF(D669&gt;=D$2,1,0)+IF(E669&gt;=E$2,1,0)+IF(F669&gt;=F$2,1,0))</f>
        <v/>
      </c>
      <c r="P669" s="41" t="n"/>
      <c r="Q669" s="42">
        <f>IF(COUNT(C669:M669)&gt;0,1,0)</f>
        <v/>
      </c>
      <c r="R669" s="42">
        <f>IF(Q669=0,0,R668+1)</f>
        <v/>
      </c>
      <c r="S669" s="42">
        <f>IF(O669="",0,IF(O669=4,S668+1,0))</f>
        <v/>
      </c>
      <c r="T669" s="43">
        <f>IF(Q669=1,A669,"")</f>
        <v/>
      </c>
    </row>
    <row r="670">
      <c r="A670" s="36">
        <f>A669+1</f>
        <v/>
      </c>
      <c r="B670" s="37">
        <f>IF(A670="","",TEXT(A670,"ddd"))</f>
        <v/>
      </c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9" t="n"/>
      <c r="M670" s="39" t="n"/>
      <c r="N670" s="38" t="n"/>
      <c r="O670" s="40">
        <f>IF($Q670=0,"",IF(C670&gt;=C$2,1,0)+IF(D670&gt;=D$2,1,0)+IF(E670&gt;=E$2,1,0)+IF(F670&gt;=F$2,1,0))</f>
        <v/>
      </c>
      <c r="P670" s="41" t="n"/>
      <c r="Q670" s="42">
        <f>IF(COUNT(C670:M670)&gt;0,1,0)</f>
        <v/>
      </c>
      <c r="R670" s="42">
        <f>IF(Q670=0,0,R669+1)</f>
        <v/>
      </c>
      <c r="S670" s="42">
        <f>IF(O670="",0,IF(O670=4,S669+1,0))</f>
        <v/>
      </c>
      <c r="T670" s="43">
        <f>IF(Q670=1,A670,"")</f>
        <v/>
      </c>
    </row>
    <row r="671">
      <c r="A671" s="36">
        <f>A670+1</f>
        <v/>
      </c>
      <c r="B671" s="37">
        <f>IF(A671="","",TEXT(A671,"ddd"))</f>
        <v/>
      </c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9" t="n"/>
      <c r="M671" s="39" t="n"/>
      <c r="N671" s="38" t="n"/>
      <c r="O671" s="40">
        <f>IF($Q671=0,"",IF(C671&gt;=C$2,1,0)+IF(D671&gt;=D$2,1,0)+IF(E671&gt;=E$2,1,0)+IF(F671&gt;=F$2,1,0))</f>
        <v/>
      </c>
      <c r="P671" s="41" t="n"/>
      <c r="Q671" s="42">
        <f>IF(COUNT(C671:M671)&gt;0,1,0)</f>
        <v/>
      </c>
      <c r="R671" s="42">
        <f>IF(Q671=0,0,R670+1)</f>
        <v/>
      </c>
      <c r="S671" s="42">
        <f>IF(O671="",0,IF(O671=4,S670+1,0))</f>
        <v/>
      </c>
      <c r="T671" s="43">
        <f>IF(Q671=1,A671,"")</f>
        <v/>
      </c>
    </row>
    <row r="672">
      <c r="A672" s="36">
        <f>A671+1</f>
        <v/>
      </c>
      <c r="B672" s="37">
        <f>IF(A672="","",TEXT(A672,"ddd"))</f>
        <v/>
      </c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9" t="n"/>
      <c r="M672" s="39" t="n"/>
      <c r="N672" s="38" t="n"/>
      <c r="O672" s="40">
        <f>IF($Q672=0,"",IF(C672&gt;=C$2,1,0)+IF(D672&gt;=D$2,1,0)+IF(E672&gt;=E$2,1,0)+IF(F672&gt;=F$2,1,0))</f>
        <v/>
      </c>
      <c r="P672" s="41" t="n"/>
      <c r="Q672" s="42">
        <f>IF(COUNT(C672:M672)&gt;0,1,0)</f>
        <v/>
      </c>
      <c r="R672" s="42">
        <f>IF(Q672=0,0,R671+1)</f>
        <v/>
      </c>
      <c r="S672" s="42">
        <f>IF(O672="",0,IF(O672=4,S671+1,0))</f>
        <v/>
      </c>
      <c r="T672" s="43">
        <f>IF(Q672=1,A672,"")</f>
        <v/>
      </c>
    </row>
    <row r="673">
      <c r="A673" s="36">
        <f>A672+1</f>
        <v/>
      </c>
      <c r="B673" s="37">
        <f>IF(A673="","",TEXT(A673,"ddd"))</f>
        <v/>
      </c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9" t="n"/>
      <c r="M673" s="39" t="n"/>
      <c r="N673" s="38" t="n"/>
      <c r="O673" s="40">
        <f>IF($Q673=0,"",IF(C673&gt;=C$2,1,0)+IF(D673&gt;=D$2,1,0)+IF(E673&gt;=E$2,1,0)+IF(F673&gt;=F$2,1,0))</f>
        <v/>
      </c>
      <c r="P673" s="41" t="n"/>
      <c r="Q673" s="42">
        <f>IF(COUNT(C673:M673)&gt;0,1,0)</f>
        <v/>
      </c>
      <c r="R673" s="42">
        <f>IF(Q673=0,0,R672+1)</f>
        <v/>
      </c>
      <c r="S673" s="42">
        <f>IF(O673="",0,IF(O673=4,S672+1,0))</f>
        <v/>
      </c>
      <c r="T673" s="43">
        <f>IF(Q673=1,A673,"")</f>
        <v/>
      </c>
    </row>
    <row r="674">
      <c r="A674" s="36">
        <f>A673+1</f>
        <v/>
      </c>
      <c r="B674" s="37">
        <f>IF(A674="","",TEXT(A674,"ddd"))</f>
        <v/>
      </c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9" t="n"/>
      <c r="M674" s="39" t="n"/>
      <c r="N674" s="38" t="n"/>
      <c r="O674" s="40">
        <f>IF($Q674=0,"",IF(C674&gt;=C$2,1,0)+IF(D674&gt;=D$2,1,0)+IF(E674&gt;=E$2,1,0)+IF(F674&gt;=F$2,1,0))</f>
        <v/>
      </c>
      <c r="P674" s="41" t="n"/>
      <c r="Q674" s="42">
        <f>IF(COUNT(C674:M674)&gt;0,1,0)</f>
        <v/>
      </c>
      <c r="R674" s="42">
        <f>IF(Q674=0,0,R673+1)</f>
        <v/>
      </c>
      <c r="S674" s="42">
        <f>IF(O674="",0,IF(O674=4,S673+1,0))</f>
        <v/>
      </c>
      <c r="T674" s="43">
        <f>IF(Q674=1,A674,"")</f>
        <v/>
      </c>
    </row>
    <row r="675">
      <c r="A675" s="36">
        <f>A674+1</f>
        <v/>
      </c>
      <c r="B675" s="37">
        <f>IF(A675="","",TEXT(A675,"ddd"))</f>
        <v/>
      </c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9" t="n"/>
      <c r="M675" s="39" t="n"/>
      <c r="N675" s="38" t="n"/>
      <c r="O675" s="40">
        <f>IF($Q675=0,"",IF(C675&gt;=C$2,1,0)+IF(D675&gt;=D$2,1,0)+IF(E675&gt;=E$2,1,0)+IF(F675&gt;=F$2,1,0))</f>
        <v/>
      </c>
      <c r="P675" s="41" t="n"/>
      <c r="Q675" s="42">
        <f>IF(COUNT(C675:M675)&gt;0,1,0)</f>
        <v/>
      </c>
      <c r="R675" s="42">
        <f>IF(Q675=0,0,R674+1)</f>
        <v/>
      </c>
      <c r="S675" s="42">
        <f>IF(O675="",0,IF(O675=4,S674+1,0))</f>
        <v/>
      </c>
      <c r="T675" s="43">
        <f>IF(Q675=1,A675,"")</f>
        <v/>
      </c>
    </row>
    <row r="676">
      <c r="A676" s="36">
        <f>A675+1</f>
        <v/>
      </c>
      <c r="B676" s="37">
        <f>IF(A676="","",TEXT(A676,"ddd"))</f>
        <v/>
      </c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9" t="n"/>
      <c r="M676" s="39" t="n"/>
      <c r="N676" s="38" t="n"/>
      <c r="O676" s="40">
        <f>IF($Q676=0,"",IF(C676&gt;=C$2,1,0)+IF(D676&gt;=D$2,1,0)+IF(E676&gt;=E$2,1,0)+IF(F676&gt;=F$2,1,0))</f>
        <v/>
      </c>
      <c r="P676" s="41" t="n"/>
      <c r="Q676" s="42">
        <f>IF(COUNT(C676:M676)&gt;0,1,0)</f>
        <v/>
      </c>
      <c r="R676" s="42">
        <f>IF(Q676=0,0,R675+1)</f>
        <v/>
      </c>
      <c r="S676" s="42">
        <f>IF(O676="",0,IF(O676=4,S675+1,0))</f>
        <v/>
      </c>
      <c r="T676" s="43">
        <f>IF(Q676=1,A676,"")</f>
        <v/>
      </c>
    </row>
    <row r="677">
      <c r="A677" s="36">
        <f>A676+1</f>
        <v/>
      </c>
      <c r="B677" s="37">
        <f>IF(A677="","",TEXT(A677,"ddd"))</f>
        <v/>
      </c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9" t="n"/>
      <c r="M677" s="39" t="n"/>
      <c r="N677" s="38" t="n"/>
      <c r="O677" s="40">
        <f>IF($Q677=0,"",IF(C677&gt;=C$2,1,0)+IF(D677&gt;=D$2,1,0)+IF(E677&gt;=E$2,1,0)+IF(F677&gt;=F$2,1,0))</f>
        <v/>
      </c>
      <c r="P677" s="41" t="n"/>
      <c r="Q677" s="42">
        <f>IF(COUNT(C677:M677)&gt;0,1,0)</f>
        <v/>
      </c>
      <c r="R677" s="42">
        <f>IF(Q677=0,0,R676+1)</f>
        <v/>
      </c>
      <c r="S677" s="42">
        <f>IF(O677="",0,IF(O677=4,S676+1,0))</f>
        <v/>
      </c>
      <c r="T677" s="43">
        <f>IF(Q677=1,A677,"")</f>
        <v/>
      </c>
    </row>
    <row r="678">
      <c r="A678" s="36">
        <f>A677+1</f>
        <v/>
      </c>
      <c r="B678" s="37">
        <f>IF(A678="","",TEXT(A678,"ddd"))</f>
        <v/>
      </c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9" t="n"/>
      <c r="M678" s="39" t="n"/>
      <c r="N678" s="38" t="n"/>
      <c r="O678" s="40">
        <f>IF($Q678=0,"",IF(C678&gt;=C$2,1,0)+IF(D678&gt;=D$2,1,0)+IF(E678&gt;=E$2,1,0)+IF(F678&gt;=F$2,1,0))</f>
        <v/>
      </c>
      <c r="P678" s="41" t="n"/>
      <c r="Q678" s="42">
        <f>IF(COUNT(C678:M678)&gt;0,1,0)</f>
        <v/>
      </c>
      <c r="R678" s="42">
        <f>IF(Q678=0,0,R677+1)</f>
        <v/>
      </c>
      <c r="S678" s="42">
        <f>IF(O678="",0,IF(O678=4,S677+1,0))</f>
        <v/>
      </c>
      <c r="T678" s="43">
        <f>IF(Q678=1,A678,"")</f>
        <v/>
      </c>
    </row>
    <row r="679">
      <c r="A679" s="36">
        <f>A678+1</f>
        <v/>
      </c>
      <c r="B679" s="37">
        <f>IF(A679="","",TEXT(A679,"ddd"))</f>
        <v/>
      </c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9" t="n"/>
      <c r="M679" s="39" t="n"/>
      <c r="N679" s="38" t="n"/>
      <c r="O679" s="40">
        <f>IF($Q679=0,"",IF(C679&gt;=C$2,1,0)+IF(D679&gt;=D$2,1,0)+IF(E679&gt;=E$2,1,0)+IF(F679&gt;=F$2,1,0))</f>
        <v/>
      </c>
      <c r="P679" s="41" t="n"/>
      <c r="Q679" s="42">
        <f>IF(COUNT(C679:M679)&gt;0,1,0)</f>
        <v/>
      </c>
      <c r="R679" s="42">
        <f>IF(Q679=0,0,R678+1)</f>
        <v/>
      </c>
      <c r="S679" s="42">
        <f>IF(O679="",0,IF(O679=4,S678+1,0))</f>
        <v/>
      </c>
      <c r="T679" s="43">
        <f>IF(Q679=1,A679,"")</f>
        <v/>
      </c>
    </row>
    <row r="680">
      <c r="A680" s="36">
        <f>A679+1</f>
        <v/>
      </c>
      <c r="B680" s="37">
        <f>IF(A680="","",TEXT(A680,"ddd"))</f>
        <v/>
      </c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9" t="n"/>
      <c r="M680" s="39" t="n"/>
      <c r="N680" s="38" t="n"/>
      <c r="O680" s="40">
        <f>IF($Q680=0,"",IF(C680&gt;=C$2,1,0)+IF(D680&gt;=D$2,1,0)+IF(E680&gt;=E$2,1,0)+IF(F680&gt;=F$2,1,0))</f>
        <v/>
      </c>
      <c r="P680" s="41" t="n"/>
      <c r="Q680" s="42">
        <f>IF(COUNT(C680:M680)&gt;0,1,0)</f>
        <v/>
      </c>
      <c r="R680" s="42">
        <f>IF(Q680=0,0,R679+1)</f>
        <v/>
      </c>
      <c r="S680" s="42">
        <f>IF(O680="",0,IF(O680=4,S679+1,0))</f>
        <v/>
      </c>
      <c r="T680" s="43">
        <f>IF(Q680=1,A680,"")</f>
        <v/>
      </c>
    </row>
    <row r="681">
      <c r="A681" s="36">
        <f>A680+1</f>
        <v/>
      </c>
      <c r="B681" s="37">
        <f>IF(A681="","",TEXT(A681,"ddd"))</f>
        <v/>
      </c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9" t="n"/>
      <c r="M681" s="39" t="n"/>
      <c r="N681" s="38" t="n"/>
      <c r="O681" s="40">
        <f>IF($Q681=0,"",IF(C681&gt;=C$2,1,0)+IF(D681&gt;=D$2,1,0)+IF(E681&gt;=E$2,1,0)+IF(F681&gt;=F$2,1,0))</f>
        <v/>
      </c>
      <c r="P681" s="41" t="n"/>
      <c r="Q681" s="42">
        <f>IF(COUNT(C681:M681)&gt;0,1,0)</f>
        <v/>
      </c>
      <c r="R681" s="42">
        <f>IF(Q681=0,0,R680+1)</f>
        <v/>
      </c>
      <c r="S681" s="42">
        <f>IF(O681="",0,IF(O681=4,S680+1,0))</f>
        <v/>
      </c>
      <c r="T681" s="43">
        <f>IF(Q681=1,A681,"")</f>
        <v/>
      </c>
    </row>
    <row r="682">
      <c r="A682" s="36">
        <f>A681+1</f>
        <v/>
      </c>
      <c r="B682" s="37">
        <f>IF(A682="","",TEXT(A682,"ddd"))</f>
        <v/>
      </c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9" t="n"/>
      <c r="M682" s="39" t="n"/>
      <c r="N682" s="38" t="n"/>
      <c r="O682" s="40">
        <f>IF($Q682=0,"",IF(C682&gt;=C$2,1,0)+IF(D682&gt;=D$2,1,0)+IF(E682&gt;=E$2,1,0)+IF(F682&gt;=F$2,1,0))</f>
        <v/>
      </c>
      <c r="P682" s="41" t="n"/>
      <c r="Q682" s="42">
        <f>IF(COUNT(C682:M682)&gt;0,1,0)</f>
        <v/>
      </c>
      <c r="R682" s="42">
        <f>IF(Q682=0,0,R681+1)</f>
        <v/>
      </c>
      <c r="S682" s="42">
        <f>IF(O682="",0,IF(O682=4,S681+1,0))</f>
        <v/>
      </c>
      <c r="T682" s="43">
        <f>IF(Q682=1,A682,"")</f>
        <v/>
      </c>
    </row>
    <row r="683">
      <c r="A683" s="36">
        <f>A682+1</f>
        <v/>
      </c>
      <c r="B683" s="37">
        <f>IF(A683="","",TEXT(A683,"ddd"))</f>
        <v/>
      </c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9" t="n"/>
      <c r="M683" s="39" t="n"/>
      <c r="N683" s="38" t="n"/>
      <c r="O683" s="40">
        <f>IF($Q683=0,"",IF(C683&gt;=C$2,1,0)+IF(D683&gt;=D$2,1,0)+IF(E683&gt;=E$2,1,0)+IF(F683&gt;=F$2,1,0))</f>
        <v/>
      </c>
      <c r="P683" s="41" t="n"/>
      <c r="Q683" s="42">
        <f>IF(COUNT(C683:M683)&gt;0,1,0)</f>
        <v/>
      </c>
      <c r="R683" s="42">
        <f>IF(Q683=0,0,R682+1)</f>
        <v/>
      </c>
      <c r="S683" s="42">
        <f>IF(O683="",0,IF(O683=4,S682+1,0))</f>
        <v/>
      </c>
      <c r="T683" s="43">
        <f>IF(Q683=1,A683,"")</f>
        <v/>
      </c>
    </row>
    <row r="684">
      <c r="A684" s="36">
        <f>A683+1</f>
        <v/>
      </c>
      <c r="B684" s="37">
        <f>IF(A684="","",TEXT(A684,"ddd"))</f>
        <v/>
      </c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9" t="n"/>
      <c r="M684" s="39" t="n"/>
      <c r="N684" s="38" t="n"/>
      <c r="O684" s="40">
        <f>IF($Q684=0,"",IF(C684&gt;=C$2,1,0)+IF(D684&gt;=D$2,1,0)+IF(E684&gt;=E$2,1,0)+IF(F684&gt;=F$2,1,0))</f>
        <v/>
      </c>
      <c r="P684" s="41" t="n"/>
      <c r="Q684" s="42">
        <f>IF(COUNT(C684:M684)&gt;0,1,0)</f>
        <v/>
      </c>
      <c r="R684" s="42">
        <f>IF(Q684=0,0,R683+1)</f>
        <v/>
      </c>
      <c r="S684" s="42">
        <f>IF(O684="",0,IF(O684=4,S683+1,0))</f>
        <v/>
      </c>
      <c r="T684" s="43">
        <f>IF(Q684=1,A684,"")</f>
        <v/>
      </c>
    </row>
    <row r="685">
      <c r="A685" s="36">
        <f>A684+1</f>
        <v/>
      </c>
      <c r="B685" s="37">
        <f>IF(A685="","",TEXT(A685,"ddd"))</f>
        <v/>
      </c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9" t="n"/>
      <c r="M685" s="39" t="n"/>
      <c r="N685" s="38" t="n"/>
      <c r="O685" s="40">
        <f>IF($Q685=0,"",IF(C685&gt;=C$2,1,0)+IF(D685&gt;=D$2,1,0)+IF(E685&gt;=E$2,1,0)+IF(F685&gt;=F$2,1,0))</f>
        <v/>
      </c>
      <c r="P685" s="41" t="n"/>
      <c r="Q685" s="42">
        <f>IF(COUNT(C685:M685)&gt;0,1,0)</f>
        <v/>
      </c>
      <c r="R685" s="42">
        <f>IF(Q685=0,0,R684+1)</f>
        <v/>
      </c>
      <c r="S685" s="42">
        <f>IF(O685="",0,IF(O685=4,S684+1,0))</f>
        <v/>
      </c>
      <c r="T685" s="43">
        <f>IF(Q685=1,A685,"")</f>
        <v/>
      </c>
    </row>
    <row r="686">
      <c r="A686" s="36">
        <f>A685+1</f>
        <v/>
      </c>
      <c r="B686" s="37">
        <f>IF(A686="","",TEXT(A686,"ddd"))</f>
        <v/>
      </c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9" t="n"/>
      <c r="M686" s="39" t="n"/>
      <c r="N686" s="38" t="n"/>
      <c r="O686" s="40">
        <f>IF($Q686=0,"",IF(C686&gt;=C$2,1,0)+IF(D686&gt;=D$2,1,0)+IF(E686&gt;=E$2,1,0)+IF(F686&gt;=F$2,1,0))</f>
        <v/>
      </c>
      <c r="P686" s="41" t="n"/>
      <c r="Q686" s="42">
        <f>IF(COUNT(C686:M686)&gt;0,1,0)</f>
        <v/>
      </c>
      <c r="R686" s="42">
        <f>IF(Q686=0,0,R685+1)</f>
        <v/>
      </c>
      <c r="S686" s="42">
        <f>IF(O686="",0,IF(O686=4,S685+1,0))</f>
        <v/>
      </c>
      <c r="T686" s="43">
        <f>IF(Q686=1,A686,"")</f>
        <v/>
      </c>
    </row>
    <row r="687">
      <c r="A687" s="36">
        <f>A686+1</f>
        <v/>
      </c>
      <c r="B687" s="37">
        <f>IF(A687="","",TEXT(A687,"ddd"))</f>
        <v/>
      </c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9" t="n"/>
      <c r="M687" s="39" t="n"/>
      <c r="N687" s="38" t="n"/>
      <c r="O687" s="40">
        <f>IF($Q687=0,"",IF(C687&gt;=C$2,1,0)+IF(D687&gt;=D$2,1,0)+IF(E687&gt;=E$2,1,0)+IF(F687&gt;=F$2,1,0))</f>
        <v/>
      </c>
      <c r="P687" s="41" t="n"/>
      <c r="Q687" s="42">
        <f>IF(COUNT(C687:M687)&gt;0,1,0)</f>
        <v/>
      </c>
      <c r="R687" s="42">
        <f>IF(Q687=0,0,R686+1)</f>
        <v/>
      </c>
      <c r="S687" s="42">
        <f>IF(O687="",0,IF(O687=4,S686+1,0))</f>
        <v/>
      </c>
      <c r="T687" s="43">
        <f>IF(Q687=1,A687,"")</f>
        <v/>
      </c>
    </row>
    <row r="688">
      <c r="A688" s="36">
        <f>A687+1</f>
        <v/>
      </c>
      <c r="B688" s="37">
        <f>IF(A688="","",TEXT(A688,"ddd"))</f>
        <v/>
      </c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9" t="n"/>
      <c r="M688" s="39" t="n"/>
      <c r="N688" s="38" t="n"/>
      <c r="O688" s="40">
        <f>IF($Q688=0,"",IF(C688&gt;=C$2,1,0)+IF(D688&gt;=D$2,1,0)+IF(E688&gt;=E$2,1,0)+IF(F688&gt;=F$2,1,0))</f>
        <v/>
      </c>
      <c r="P688" s="41" t="n"/>
      <c r="Q688" s="42">
        <f>IF(COUNT(C688:M688)&gt;0,1,0)</f>
        <v/>
      </c>
      <c r="R688" s="42">
        <f>IF(Q688=0,0,R687+1)</f>
        <v/>
      </c>
      <c r="S688" s="42">
        <f>IF(O688="",0,IF(O688=4,S687+1,0))</f>
        <v/>
      </c>
      <c r="T688" s="43">
        <f>IF(Q688=1,A688,"")</f>
        <v/>
      </c>
    </row>
    <row r="689">
      <c r="A689" s="36">
        <f>A688+1</f>
        <v/>
      </c>
      <c r="B689" s="37">
        <f>IF(A689="","",TEXT(A689,"ddd"))</f>
        <v/>
      </c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9" t="n"/>
      <c r="M689" s="39" t="n"/>
      <c r="N689" s="38" t="n"/>
      <c r="O689" s="40">
        <f>IF($Q689=0,"",IF(C689&gt;=C$2,1,0)+IF(D689&gt;=D$2,1,0)+IF(E689&gt;=E$2,1,0)+IF(F689&gt;=F$2,1,0))</f>
        <v/>
      </c>
      <c r="P689" s="41" t="n"/>
      <c r="Q689" s="42">
        <f>IF(COUNT(C689:M689)&gt;0,1,0)</f>
        <v/>
      </c>
      <c r="R689" s="42">
        <f>IF(Q689=0,0,R688+1)</f>
        <v/>
      </c>
      <c r="S689" s="42">
        <f>IF(O689="",0,IF(O689=4,S688+1,0))</f>
        <v/>
      </c>
      <c r="T689" s="43">
        <f>IF(Q689=1,A689,"")</f>
        <v/>
      </c>
    </row>
    <row r="690">
      <c r="A690" s="36">
        <f>A689+1</f>
        <v/>
      </c>
      <c r="B690" s="37">
        <f>IF(A690="","",TEXT(A690,"ddd"))</f>
        <v/>
      </c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9" t="n"/>
      <c r="M690" s="39" t="n"/>
      <c r="N690" s="38" t="n"/>
      <c r="O690" s="40">
        <f>IF($Q690=0,"",IF(C690&gt;=C$2,1,0)+IF(D690&gt;=D$2,1,0)+IF(E690&gt;=E$2,1,0)+IF(F690&gt;=F$2,1,0))</f>
        <v/>
      </c>
      <c r="P690" s="41" t="n"/>
      <c r="Q690" s="42">
        <f>IF(COUNT(C690:M690)&gt;0,1,0)</f>
        <v/>
      </c>
      <c r="R690" s="42">
        <f>IF(Q690=0,0,R689+1)</f>
        <v/>
      </c>
      <c r="S690" s="42">
        <f>IF(O690="",0,IF(O690=4,S689+1,0))</f>
        <v/>
      </c>
      <c r="T690" s="43">
        <f>IF(Q690=1,A690,"")</f>
        <v/>
      </c>
    </row>
    <row r="691">
      <c r="A691" s="36">
        <f>A690+1</f>
        <v/>
      </c>
      <c r="B691" s="37">
        <f>IF(A691="","",TEXT(A691,"ddd"))</f>
        <v/>
      </c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9" t="n"/>
      <c r="M691" s="39" t="n"/>
      <c r="N691" s="38" t="n"/>
      <c r="O691" s="40">
        <f>IF($Q691=0,"",IF(C691&gt;=C$2,1,0)+IF(D691&gt;=D$2,1,0)+IF(E691&gt;=E$2,1,0)+IF(F691&gt;=F$2,1,0))</f>
        <v/>
      </c>
      <c r="P691" s="41" t="n"/>
      <c r="Q691" s="42">
        <f>IF(COUNT(C691:M691)&gt;0,1,0)</f>
        <v/>
      </c>
      <c r="R691" s="42">
        <f>IF(Q691=0,0,R690+1)</f>
        <v/>
      </c>
      <c r="S691" s="42">
        <f>IF(O691="",0,IF(O691=4,S690+1,0))</f>
        <v/>
      </c>
      <c r="T691" s="43">
        <f>IF(Q691=1,A691,"")</f>
        <v/>
      </c>
    </row>
    <row r="692">
      <c r="A692" s="36">
        <f>A691+1</f>
        <v/>
      </c>
      <c r="B692" s="37">
        <f>IF(A692="","",TEXT(A692,"ddd"))</f>
        <v/>
      </c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9" t="n"/>
      <c r="M692" s="39" t="n"/>
      <c r="N692" s="38" t="n"/>
      <c r="O692" s="40">
        <f>IF($Q692=0,"",IF(C692&gt;=C$2,1,0)+IF(D692&gt;=D$2,1,0)+IF(E692&gt;=E$2,1,0)+IF(F692&gt;=F$2,1,0))</f>
        <v/>
      </c>
      <c r="P692" s="41" t="n"/>
      <c r="Q692" s="42">
        <f>IF(COUNT(C692:M692)&gt;0,1,0)</f>
        <v/>
      </c>
      <c r="R692" s="42">
        <f>IF(Q692=0,0,R691+1)</f>
        <v/>
      </c>
      <c r="S692" s="42">
        <f>IF(O692="",0,IF(O692=4,S691+1,0))</f>
        <v/>
      </c>
      <c r="T692" s="43">
        <f>IF(Q692=1,A692,"")</f>
        <v/>
      </c>
    </row>
    <row r="693">
      <c r="A693" s="36">
        <f>A692+1</f>
        <v/>
      </c>
      <c r="B693" s="37">
        <f>IF(A693="","",TEXT(A693,"ddd"))</f>
        <v/>
      </c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9" t="n"/>
      <c r="M693" s="39" t="n"/>
      <c r="N693" s="38" t="n"/>
      <c r="O693" s="40">
        <f>IF($Q693=0,"",IF(C693&gt;=C$2,1,0)+IF(D693&gt;=D$2,1,0)+IF(E693&gt;=E$2,1,0)+IF(F693&gt;=F$2,1,0))</f>
        <v/>
      </c>
      <c r="P693" s="41" t="n"/>
      <c r="Q693" s="42">
        <f>IF(COUNT(C693:M693)&gt;0,1,0)</f>
        <v/>
      </c>
      <c r="R693" s="42">
        <f>IF(Q693=0,0,R692+1)</f>
        <v/>
      </c>
      <c r="S693" s="42">
        <f>IF(O693="",0,IF(O693=4,S692+1,0))</f>
        <v/>
      </c>
      <c r="T693" s="43">
        <f>IF(Q693=1,A693,"")</f>
        <v/>
      </c>
    </row>
    <row r="694">
      <c r="A694" s="36">
        <f>A693+1</f>
        <v/>
      </c>
      <c r="B694" s="37">
        <f>IF(A694="","",TEXT(A694,"ddd"))</f>
        <v/>
      </c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9" t="n"/>
      <c r="M694" s="39" t="n"/>
      <c r="N694" s="38" t="n"/>
      <c r="O694" s="40">
        <f>IF($Q694=0,"",IF(C694&gt;=C$2,1,0)+IF(D694&gt;=D$2,1,0)+IF(E694&gt;=E$2,1,0)+IF(F694&gt;=F$2,1,0))</f>
        <v/>
      </c>
      <c r="P694" s="41" t="n"/>
      <c r="Q694" s="42">
        <f>IF(COUNT(C694:M694)&gt;0,1,0)</f>
        <v/>
      </c>
      <c r="R694" s="42">
        <f>IF(Q694=0,0,R693+1)</f>
        <v/>
      </c>
      <c r="S694" s="42">
        <f>IF(O694="",0,IF(O694=4,S693+1,0))</f>
        <v/>
      </c>
      <c r="T694" s="43">
        <f>IF(Q694=1,A694,"")</f>
        <v/>
      </c>
    </row>
    <row r="695">
      <c r="A695" s="36">
        <f>A694+1</f>
        <v/>
      </c>
      <c r="B695" s="37">
        <f>IF(A695="","",TEXT(A695,"ddd"))</f>
        <v/>
      </c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9" t="n"/>
      <c r="M695" s="39" t="n"/>
      <c r="N695" s="38" t="n"/>
      <c r="O695" s="40">
        <f>IF($Q695=0,"",IF(C695&gt;=C$2,1,0)+IF(D695&gt;=D$2,1,0)+IF(E695&gt;=E$2,1,0)+IF(F695&gt;=F$2,1,0))</f>
        <v/>
      </c>
      <c r="P695" s="41" t="n"/>
      <c r="Q695" s="42">
        <f>IF(COUNT(C695:M695)&gt;0,1,0)</f>
        <v/>
      </c>
      <c r="R695" s="42">
        <f>IF(Q695=0,0,R694+1)</f>
        <v/>
      </c>
      <c r="S695" s="42">
        <f>IF(O695="",0,IF(O695=4,S694+1,0))</f>
        <v/>
      </c>
      <c r="T695" s="43">
        <f>IF(Q695=1,A695,"")</f>
        <v/>
      </c>
    </row>
    <row r="696">
      <c r="A696" s="36">
        <f>A695+1</f>
        <v/>
      </c>
      <c r="B696" s="37">
        <f>IF(A696="","",TEXT(A696,"ddd"))</f>
        <v/>
      </c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9" t="n"/>
      <c r="M696" s="39" t="n"/>
      <c r="N696" s="38" t="n"/>
      <c r="O696" s="40">
        <f>IF($Q696=0,"",IF(C696&gt;=C$2,1,0)+IF(D696&gt;=D$2,1,0)+IF(E696&gt;=E$2,1,0)+IF(F696&gt;=F$2,1,0))</f>
        <v/>
      </c>
      <c r="P696" s="41" t="n"/>
      <c r="Q696" s="42">
        <f>IF(COUNT(C696:M696)&gt;0,1,0)</f>
        <v/>
      </c>
      <c r="R696" s="42">
        <f>IF(Q696=0,0,R695+1)</f>
        <v/>
      </c>
      <c r="S696" s="42">
        <f>IF(O696="",0,IF(O696=4,S695+1,0))</f>
        <v/>
      </c>
      <c r="T696" s="43">
        <f>IF(Q696=1,A696,"")</f>
        <v/>
      </c>
    </row>
    <row r="697">
      <c r="A697" s="36">
        <f>A696+1</f>
        <v/>
      </c>
      <c r="B697" s="37">
        <f>IF(A697="","",TEXT(A697,"ddd"))</f>
        <v/>
      </c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9" t="n"/>
      <c r="M697" s="39" t="n"/>
      <c r="N697" s="38" t="n"/>
      <c r="O697" s="40">
        <f>IF($Q697=0,"",IF(C697&gt;=C$2,1,0)+IF(D697&gt;=D$2,1,0)+IF(E697&gt;=E$2,1,0)+IF(F697&gt;=F$2,1,0))</f>
        <v/>
      </c>
      <c r="P697" s="41" t="n"/>
      <c r="Q697" s="42">
        <f>IF(COUNT(C697:M697)&gt;0,1,0)</f>
        <v/>
      </c>
      <c r="R697" s="42">
        <f>IF(Q697=0,0,R696+1)</f>
        <v/>
      </c>
      <c r="S697" s="42">
        <f>IF(O697="",0,IF(O697=4,S696+1,0))</f>
        <v/>
      </c>
      <c r="T697" s="43">
        <f>IF(Q697=1,A697,"")</f>
        <v/>
      </c>
    </row>
    <row r="698">
      <c r="A698" s="36">
        <f>A697+1</f>
        <v/>
      </c>
      <c r="B698" s="37">
        <f>IF(A698="","",TEXT(A698,"ddd"))</f>
        <v/>
      </c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9" t="n"/>
      <c r="M698" s="39" t="n"/>
      <c r="N698" s="38" t="n"/>
      <c r="O698" s="40">
        <f>IF($Q698=0,"",IF(C698&gt;=C$2,1,0)+IF(D698&gt;=D$2,1,0)+IF(E698&gt;=E$2,1,0)+IF(F698&gt;=F$2,1,0))</f>
        <v/>
      </c>
      <c r="P698" s="41" t="n"/>
      <c r="Q698" s="42">
        <f>IF(COUNT(C698:M698)&gt;0,1,0)</f>
        <v/>
      </c>
      <c r="R698" s="42">
        <f>IF(Q698=0,0,R697+1)</f>
        <v/>
      </c>
      <c r="S698" s="42">
        <f>IF(O698="",0,IF(O698=4,S697+1,0))</f>
        <v/>
      </c>
      <c r="T698" s="43">
        <f>IF(Q698=1,A698,"")</f>
        <v/>
      </c>
    </row>
    <row r="699">
      <c r="A699" s="36">
        <f>A698+1</f>
        <v/>
      </c>
      <c r="B699" s="37">
        <f>IF(A699="","",TEXT(A699,"ddd"))</f>
        <v/>
      </c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9" t="n"/>
      <c r="M699" s="39" t="n"/>
      <c r="N699" s="38" t="n"/>
      <c r="O699" s="40">
        <f>IF($Q699=0,"",IF(C699&gt;=C$2,1,0)+IF(D699&gt;=D$2,1,0)+IF(E699&gt;=E$2,1,0)+IF(F699&gt;=F$2,1,0))</f>
        <v/>
      </c>
      <c r="P699" s="41" t="n"/>
      <c r="Q699" s="42">
        <f>IF(COUNT(C699:M699)&gt;0,1,0)</f>
        <v/>
      </c>
      <c r="R699" s="42">
        <f>IF(Q699=0,0,R698+1)</f>
        <v/>
      </c>
      <c r="S699" s="42">
        <f>IF(O699="",0,IF(O699=4,S698+1,0))</f>
        <v/>
      </c>
      <c r="T699" s="43">
        <f>IF(Q699=1,A699,"")</f>
        <v/>
      </c>
    </row>
    <row r="700">
      <c r="A700" s="36">
        <f>A699+1</f>
        <v/>
      </c>
      <c r="B700" s="37">
        <f>IF(A700="","",TEXT(A700,"ddd"))</f>
        <v/>
      </c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9" t="n"/>
      <c r="M700" s="39" t="n"/>
      <c r="N700" s="38" t="n"/>
      <c r="O700" s="40">
        <f>IF($Q700=0,"",IF(C700&gt;=C$2,1,0)+IF(D700&gt;=D$2,1,0)+IF(E700&gt;=E$2,1,0)+IF(F700&gt;=F$2,1,0))</f>
        <v/>
      </c>
      <c r="P700" s="41" t="n"/>
      <c r="Q700" s="42">
        <f>IF(COUNT(C700:M700)&gt;0,1,0)</f>
        <v/>
      </c>
      <c r="R700" s="42">
        <f>IF(Q700=0,0,R699+1)</f>
        <v/>
      </c>
      <c r="S700" s="42">
        <f>IF(O700="",0,IF(O700=4,S699+1,0))</f>
        <v/>
      </c>
      <c r="T700" s="43">
        <f>IF(Q700=1,A700,"")</f>
        <v/>
      </c>
    </row>
    <row r="701">
      <c r="A701" s="36">
        <f>A700+1</f>
        <v/>
      </c>
      <c r="B701" s="37">
        <f>IF(A701="","",TEXT(A701,"ddd"))</f>
        <v/>
      </c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9" t="n"/>
      <c r="M701" s="39" t="n"/>
      <c r="N701" s="38" t="n"/>
      <c r="O701" s="40">
        <f>IF($Q701=0,"",IF(C701&gt;=C$2,1,0)+IF(D701&gt;=D$2,1,0)+IF(E701&gt;=E$2,1,0)+IF(F701&gt;=F$2,1,0))</f>
        <v/>
      </c>
      <c r="P701" s="41" t="n"/>
      <c r="Q701" s="42">
        <f>IF(COUNT(C701:M701)&gt;0,1,0)</f>
        <v/>
      </c>
      <c r="R701" s="42">
        <f>IF(Q701=0,0,R700+1)</f>
        <v/>
      </c>
      <c r="S701" s="42">
        <f>IF(O701="",0,IF(O701=4,S700+1,0))</f>
        <v/>
      </c>
      <c r="T701" s="43">
        <f>IF(Q701=1,A701,"")</f>
        <v/>
      </c>
    </row>
    <row r="702">
      <c r="A702" s="36">
        <f>A701+1</f>
        <v/>
      </c>
      <c r="B702" s="37">
        <f>IF(A702="","",TEXT(A702,"ddd"))</f>
        <v/>
      </c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9" t="n"/>
      <c r="M702" s="39" t="n"/>
      <c r="N702" s="38" t="n"/>
      <c r="O702" s="40">
        <f>IF($Q702=0,"",IF(C702&gt;=C$2,1,0)+IF(D702&gt;=D$2,1,0)+IF(E702&gt;=E$2,1,0)+IF(F702&gt;=F$2,1,0))</f>
        <v/>
      </c>
      <c r="P702" s="41" t="n"/>
      <c r="Q702" s="42">
        <f>IF(COUNT(C702:M702)&gt;0,1,0)</f>
        <v/>
      </c>
      <c r="R702" s="42">
        <f>IF(Q702=0,0,R701+1)</f>
        <v/>
      </c>
      <c r="S702" s="42">
        <f>IF(O702="",0,IF(O702=4,S701+1,0))</f>
        <v/>
      </c>
      <c r="T702" s="43">
        <f>IF(Q702=1,A702,"")</f>
        <v/>
      </c>
    </row>
    <row r="703">
      <c r="A703" s="36">
        <f>A702+1</f>
        <v/>
      </c>
      <c r="B703" s="37">
        <f>IF(A703="","",TEXT(A703,"ddd"))</f>
        <v/>
      </c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9" t="n"/>
      <c r="M703" s="39" t="n"/>
      <c r="N703" s="38" t="n"/>
      <c r="O703" s="40">
        <f>IF($Q703=0,"",IF(C703&gt;=C$2,1,0)+IF(D703&gt;=D$2,1,0)+IF(E703&gt;=E$2,1,0)+IF(F703&gt;=F$2,1,0))</f>
        <v/>
      </c>
      <c r="P703" s="41" t="n"/>
      <c r="Q703" s="42">
        <f>IF(COUNT(C703:M703)&gt;0,1,0)</f>
        <v/>
      </c>
      <c r="R703" s="42">
        <f>IF(Q703=0,0,R702+1)</f>
        <v/>
      </c>
      <c r="S703" s="42">
        <f>IF(O703="",0,IF(O703=4,S702+1,0))</f>
        <v/>
      </c>
      <c r="T703" s="43">
        <f>IF(Q703=1,A703,"")</f>
        <v/>
      </c>
    </row>
    <row r="704">
      <c r="A704" s="36">
        <f>A703+1</f>
        <v/>
      </c>
      <c r="B704" s="37">
        <f>IF(A704="","",TEXT(A704,"ddd"))</f>
        <v/>
      </c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9" t="n"/>
      <c r="M704" s="39" t="n"/>
      <c r="N704" s="38" t="n"/>
      <c r="O704" s="40">
        <f>IF($Q704=0,"",IF(C704&gt;=C$2,1,0)+IF(D704&gt;=D$2,1,0)+IF(E704&gt;=E$2,1,0)+IF(F704&gt;=F$2,1,0))</f>
        <v/>
      </c>
      <c r="P704" s="41" t="n"/>
      <c r="Q704" s="42">
        <f>IF(COUNT(C704:M704)&gt;0,1,0)</f>
        <v/>
      </c>
      <c r="R704" s="42">
        <f>IF(Q704=0,0,R703+1)</f>
        <v/>
      </c>
      <c r="S704" s="42">
        <f>IF(O704="",0,IF(O704=4,S703+1,0))</f>
        <v/>
      </c>
      <c r="T704" s="43">
        <f>IF(Q704=1,A704,"")</f>
        <v/>
      </c>
    </row>
    <row r="705">
      <c r="A705" s="36">
        <f>A704+1</f>
        <v/>
      </c>
      <c r="B705" s="37">
        <f>IF(A705="","",TEXT(A705,"ddd"))</f>
        <v/>
      </c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9" t="n"/>
      <c r="M705" s="39" t="n"/>
      <c r="N705" s="38" t="n"/>
      <c r="O705" s="40">
        <f>IF($Q705=0,"",IF(C705&gt;=C$2,1,0)+IF(D705&gt;=D$2,1,0)+IF(E705&gt;=E$2,1,0)+IF(F705&gt;=F$2,1,0))</f>
        <v/>
      </c>
      <c r="P705" s="41" t="n"/>
      <c r="Q705" s="42">
        <f>IF(COUNT(C705:M705)&gt;0,1,0)</f>
        <v/>
      </c>
      <c r="R705" s="42">
        <f>IF(Q705=0,0,R704+1)</f>
        <v/>
      </c>
      <c r="S705" s="42">
        <f>IF(O705="",0,IF(O705=4,S704+1,0))</f>
        <v/>
      </c>
      <c r="T705" s="43">
        <f>IF(Q705=1,A705,"")</f>
        <v/>
      </c>
    </row>
    <row r="706">
      <c r="A706" s="36">
        <f>A705+1</f>
        <v/>
      </c>
      <c r="B706" s="37">
        <f>IF(A706="","",TEXT(A706,"ddd"))</f>
        <v/>
      </c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9" t="n"/>
      <c r="M706" s="39" t="n"/>
      <c r="N706" s="38" t="n"/>
      <c r="O706" s="40">
        <f>IF($Q706=0,"",IF(C706&gt;=C$2,1,0)+IF(D706&gt;=D$2,1,0)+IF(E706&gt;=E$2,1,0)+IF(F706&gt;=F$2,1,0))</f>
        <v/>
      </c>
      <c r="P706" s="41" t="n"/>
      <c r="Q706" s="42">
        <f>IF(COUNT(C706:M706)&gt;0,1,0)</f>
        <v/>
      </c>
      <c r="R706" s="42">
        <f>IF(Q706=0,0,R705+1)</f>
        <v/>
      </c>
      <c r="S706" s="42">
        <f>IF(O706="",0,IF(O706=4,S705+1,0))</f>
        <v/>
      </c>
      <c r="T706" s="43">
        <f>IF(Q706=1,A706,"")</f>
        <v/>
      </c>
    </row>
    <row r="707">
      <c r="A707" s="36">
        <f>A706+1</f>
        <v/>
      </c>
      <c r="B707" s="37">
        <f>IF(A707="","",TEXT(A707,"ddd"))</f>
        <v/>
      </c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9" t="n"/>
      <c r="M707" s="39" t="n"/>
      <c r="N707" s="38" t="n"/>
      <c r="O707" s="40">
        <f>IF($Q707=0,"",IF(C707&gt;=C$2,1,0)+IF(D707&gt;=D$2,1,0)+IF(E707&gt;=E$2,1,0)+IF(F707&gt;=F$2,1,0))</f>
        <v/>
      </c>
      <c r="P707" s="41" t="n"/>
      <c r="Q707" s="42">
        <f>IF(COUNT(C707:M707)&gt;0,1,0)</f>
        <v/>
      </c>
      <c r="R707" s="42">
        <f>IF(Q707=0,0,R706+1)</f>
        <v/>
      </c>
      <c r="S707" s="42">
        <f>IF(O707="",0,IF(O707=4,S706+1,0))</f>
        <v/>
      </c>
      <c r="T707" s="43">
        <f>IF(Q707=1,A707,"")</f>
        <v/>
      </c>
    </row>
    <row r="708">
      <c r="A708" s="36">
        <f>A707+1</f>
        <v/>
      </c>
      <c r="B708" s="37">
        <f>IF(A708="","",TEXT(A708,"ddd"))</f>
        <v/>
      </c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9" t="n"/>
      <c r="M708" s="39" t="n"/>
      <c r="N708" s="38" t="n"/>
      <c r="O708" s="40">
        <f>IF($Q708=0,"",IF(C708&gt;=C$2,1,0)+IF(D708&gt;=D$2,1,0)+IF(E708&gt;=E$2,1,0)+IF(F708&gt;=F$2,1,0))</f>
        <v/>
      </c>
      <c r="P708" s="41" t="n"/>
      <c r="Q708" s="42">
        <f>IF(COUNT(C708:M708)&gt;0,1,0)</f>
        <v/>
      </c>
      <c r="R708" s="42">
        <f>IF(Q708=0,0,R707+1)</f>
        <v/>
      </c>
      <c r="S708" s="42">
        <f>IF(O708="",0,IF(O708=4,S707+1,0))</f>
        <v/>
      </c>
      <c r="T708" s="43">
        <f>IF(Q708=1,A708,"")</f>
        <v/>
      </c>
    </row>
    <row r="709">
      <c r="A709" s="36">
        <f>A708+1</f>
        <v/>
      </c>
      <c r="B709" s="37">
        <f>IF(A709="","",TEXT(A709,"ddd"))</f>
        <v/>
      </c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9" t="n"/>
      <c r="M709" s="39" t="n"/>
      <c r="N709" s="38" t="n"/>
      <c r="O709" s="40">
        <f>IF($Q709=0,"",IF(C709&gt;=C$2,1,0)+IF(D709&gt;=D$2,1,0)+IF(E709&gt;=E$2,1,0)+IF(F709&gt;=F$2,1,0))</f>
        <v/>
      </c>
      <c r="P709" s="41" t="n"/>
      <c r="Q709" s="42">
        <f>IF(COUNT(C709:M709)&gt;0,1,0)</f>
        <v/>
      </c>
      <c r="R709" s="42">
        <f>IF(Q709=0,0,R708+1)</f>
        <v/>
      </c>
      <c r="S709" s="42">
        <f>IF(O709="",0,IF(O709=4,S708+1,0))</f>
        <v/>
      </c>
      <c r="T709" s="43">
        <f>IF(Q709=1,A709,"")</f>
        <v/>
      </c>
    </row>
    <row r="710">
      <c r="A710" s="36">
        <f>A709+1</f>
        <v/>
      </c>
      <c r="B710" s="37">
        <f>IF(A710="","",TEXT(A710,"ddd"))</f>
        <v/>
      </c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9" t="n"/>
      <c r="M710" s="39" t="n"/>
      <c r="N710" s="38" t="n"/>
      <c r="O710" s="40">
        <f>IF($Q710=0,"",IF(C710&gt;=C$2,1,0)+IF(D710&gt;=D$2,1,0)+IF(E710&gt;=E$2,1,0)+IF(F710&gt;=F$2,1,0))</f>
        <v/>
      </c>
      <c r="P710" s="41" t="n"/>
      <c r="Q710" s="42">
        <f>IF(COUNT(C710:M710)&gt;0,1,0)</f>
        <v/>
      </c>
      <c r="R710" s="42">
        <f>IF(Q710=0,0,R709+1)</f>
        <v/>
      </c>
      <c r="S710" s="42">
        <f>IF(O710="",0,IF(O710=4,S709+1,0))</f>
        <v/>
      </c>
      <c r="T710" s="43">
        <f>IF(Q710=1,A710,"")</f>
        <v/>
      </c>
    </row>
    <row r="711">
      <c r="A711" s="36">
        <f>A710+1</f>
        <v/>
      </c>
      <c r="B711" s="37">
        <f>IF(A711="","",TEXT(A711,"ddd"))</f>
        <v/>
      </c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9" t="n"/>
      <c r="M711" s="39" t="n"/>
      <c r="N711" s="38" t="n"/>
      <c r="O711" s="40">
        <f>IF($Q711=0,"",IF(C711&gt;=C$2,1,0)+IF(D711&gt;=D$2,1,0)+IF(E711&gt;=E$2,1,0)+IF(F711&gt;=F$2,1,0))</f>
        <v/>
      </c>
      <c r="P711" s="41" t="n"/>
      <c r="Q711" s="42">
        <f>IF(COUNT(C711:M711)&gt;0,1,0)</f>
        <v/>
      </c>
      <c r="R711" s="42">
        <f>IF(Q711=0,0,R710+1)</f>
        <v/>
      </c>
      <c r="S711" s="42">
        <f>IF(O711="",0,IF(O711=4,S710+1,0))</f>
        <v/>
      </c>
      <c r="T711" s="43">
        <f>IF(Q711=1,A711,"")</f>
        <v/>
      </c>
    </row>
    <row r="712">
      <c r="A712" s="36">
        <f>A711+1</f>
        <v/>
      </c>
      <c r="B712" s="37">
        <f>IF(A712="","",TEXT(A712,"ddd"))</f>
        <v/>
      </c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9" t="n"/>
      <c r="M712" s="39" t="n"/>
      <c r="N712" s="38" t="n"/>
      <c r="O712" s="40">
        <f>IF($Q712=0,"",IF(C712&gt;=C$2,1,0)+IF(D712&gt;=D$2,1,0)+IF(E712&gt;=E$2,1,0)+IF(F712&gt;=F$2,1,0))</f>
        <v/>
      </c>
      <c r="P712" s="41" t="n"/>
      <c r="Q712" s="42">
        <f>IF(COUNT(C712:M712)&gt;0,1,0)</f>
        <v/>
      </c>
      <c r="R712" s="42">
        <f>IF(Q712=0,0,R711+1)</f>
        <v/>
      </c>
      <c r="S712" s="42">
        <f>IF(O712="",0,IF(O712=4,S711+1,0))</f>
        <v/>
      </c>
      <c r="T712" s="43">
        <f>IF(Q712=1,A712,"")</f>
        <v/>
      </c>
    </row>
    <row r="713">
      <c r="A713" s="36">
        <f>A712+1</f>
        <v/>
      </c>
      <c r="B713" s="37">
        <f>IF(A713="","",TEXT(A713,"ddd"))</f>
        <v/>
      </c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9" t="n"/>
      <c r="M713" s="39" t="n"/>
      <c r="N713" s="38" t="n"/>
      <c r="O713" s="40">
        <f>IF($Q713=0,"",IF(C713&gt;=C$2,1,0)+IF(D713&gt;=D$2,1,0)+IF(E713&gt;=E$2,1,0)+IF(F713&gt;=F$2,1,0))</f>
        <v/>
      </c>
      <c r="P713" s="41" t="n"/>
      <c r="Q713" s="42">
        <f>IF(COUNT(C713:M713)&gt;0,1,0)</f>
        <v/>
      </c>
      <c r="R713" s="42">
        <f>IF(Q713=0,0,R712+1)</f>
        <v/>
      </c>
      <c r="S713" s="42">
        <f>IF(O713="",0,IF(O713=4,S712+1,0))</f>
        <v/>
      </c>
      <c r="T713" s="43">
        <f>IF(Q713=1,A713,"")</f>
        <v/>
      </c>
    </row>
    <row r="714">
      <c r="A714" s="36">
        <f>A713+1</f>
        <v/>
      </c>
      <c r="B714" s="37">
        <f>IF(A714="","",TEXT(A714,"ddd"))</f>
        <v/>
      </c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9" t="n"/>
      <c r="M714" s="39" t="n"/>
      <c r="N714" s="38" t="n"/>
      <c r="O714" s="40">
        <f>IF($Q714=0,"",IF(C714&gt;=C$2,1,0)+IF(D714&gt;=D$2,1,0)+IF(E714&gt;=E$2,1,0)+IF(F714&gt;=F$2,1,0))</f>
        <v/>
      </c>
      <c r="P714" s="41" t="n"/>
      <c r="Q714" s="42">
        <f>IF(COUNT(C714:M714)&gt;0,1,0)</f>
        <v/>
      </c>
      <c r="R714" s="42">
        <f>IF(Q714=0,0,R713+1)</f>
        <v/>
      </c>
      <c r="S714" s="42">
        <f>IF(O714="",0,IF(O714=4,S713+1,0))</f>
        <v/>
      </c>
      <c r="T714" s="43">
        <f>IF(Q714=1,A714,"")</f>
        <v/>
      </c>
    </row>
    <row r="715">
      <c r="A715" s="36">
        <f>A714+1</f>
        <v/>
      </c>
      <c r="B715" s="37">
        <f>IF(A715="","",TEXT(A715,"ddd"))</f>
        <v/>
      </c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9" t="n"/>
      <c r="M715" s="39" t="n"/>
      <c r="N715" s="38" t="n"/>
      <c r="O715" s="40">
        <f>IF($Q715=0,"",IF(C715&gt;=C$2,1,0)+IF(D715&gt;=D$2,1,0)+IF(E715&gt;=E$2,1,0)+IF(F715&gt;=F$2,1,0))</f>
        <v/>
      </c>
      <c r="P715" s="41" t="n"/>
      <c r="Q715" s="42">
        <f>IF(COUNT(C715:M715)&gt;0,1,0)</f>
        <v/>
      </c>
      <c r="R715" s="42">
        <f>IF(Q715=0,0,R714+1)</f>
        <v/>
      </c>
      <c r="S715" s="42">
        <f>IF(O715="",0,IF(O715=4,S714+1,0))</f>
        <v/>
      </c>
      <c r="T715" s="43">
        <f>IF(Q715=1,A715,"")</f>
        <v/>
      </c>
    </row>
    <row r="716">
      <c r="A716" s="36">
        <f>A715+1</f>
        <v/>
      </c>
      <c r="B716" s="37">
        <f>IF(A716="","",TEXT(A716,"ddd"))</f>
        <v/>
      </c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9" t="n"/>
      <c r="M716" s="39" t="n"/>
      <c r="N716" s="38" t="n"/>
      <c r="O716" s="40">
        <f>IF($Q716=0,"",IF(C716&gt;=C$2,1,0)+IF(D716&gt;=D$2,1,0)+IF(E716&gt;=E$2,1,0)+IF(F716&gt;=F$2,1,0))</f>
        <v/>
      </c>
      <c r="P716" s="41" t="n"/>
      <c r="Q716" s="42">
        <f>IF(COUNT(C716:M716)&gt;0,1,0)</f>
        <v/>
      </c>
      <c r="R716" s="42">
        <f>IF(Q716=0,0,R715+1)</f>
        <v/>
      </c>
      <c r="S716" s="42">
        <f>IF(O716="",0,IF(O716=4,S715+1,0))</f>
        <v/>
      </c>
      <c r="T716" s="43">
        <f>IF(Q716=1,A716,"")</f>
        <v/>
      </c>
    </row>
    <row r="717">
      <c r="A717" s="36">
        <f>A716+1</f>
        <v/>
      </c>
      <c r="B717" s="37">
        <f>IF(A717="","",TEXT(A717,"ddd"))</f>
        <v/>
      </c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9" t="n"/>
      <c r="M717" s="39" t="n"/>
      <c r="N717" s="38" t="n"/>
      <c r="O717" s="40">
        <f>IF($Q717=0,"",IF(C717&gt;=C$2,1,0)+IF(D717&gt;=D$2,1,0)+IF(E717&gt;=E$2,1,0)+IF(F717&gt;=F$2,1,0))</f>
        <v/>
      </c>
      <c r="P717" s="41" t="n"/>
      <c r="Q717" s="42">
        <f>IF(COUNT(C717:M717)&gt;0,1,0)</f>
        <v/>
      </c>
      <c r="R717" s="42">
        <f>IF(Q717=0,0,R716+1)</f>
        <v/>
      </c>
      <c r="S717" s="42">
        <f>IF(O717="",0,IF(O717=4,S716+1,0))</f>
        <v/>
      </c>
      <c r="T717" s="43">
        <f>IF(Q717=1,A717,"")</f>
        <v/>
      </c>
    </row>
    <row r="718">
      <c r="A718" s="36">
        <f>A717+1</f>
        <v/>
      </c>
      <c r="B718" s="37">
        <f>IF(A718="","",TEXT(A718,"ddd"))</f>
        <v/>
      </c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9" t="n"/>
      <c r="M718" s="39" t="n"/>
      <c r="N718" s="38" t="n"/>
      <c r="O718" s="40">
        <f>IF($Q718=0,"",IF(C718&gt;=C$2,1,0)+IF(D718&gt;=D$2,1,0)+IF(E718&gt;=E$2,1,0)+IF(F718&gt;=F$2,1,0))</f>
        <v/>
      </c>
      <c r="P718" s="41" t="n"/>
      <c r="Q718" s="42">
        <f>IF(COUNT(C718:M718)&gt;0,1,0)</f>
        <v/>
      </c>
      <c r="R718" s="42">
        <f>IF(Q718=0,0,R717+1)</f>
        <v/>
      </c>
      <c r="S718" s="42">
        <f>IF(O718="",0,IF(O718=4,S717+1,0))</f>
        <v/>
      </c>
      <c r="T718" s="43">
        <f>IF(Q718=1,A718,"")</f>
        <v/>
      </c>
    </row>
    <row r="719">
      <c r="A719" s="36">
        <f>A718+1</f>
        <v/>
      </c>
      <c r="B719" s="37">
        <f>IF(A719="","",TEXT(A719,"ddd"))</f>
        <v/>
      </c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9" t="n"/>
      <c r="M719" s="39" t="n"/>
      <c r="N719" s="38" t="n"/>
      <c r="O719" s="40">
        <f>IF($Q719=0,"",IF(C719&gt;=C$2,1,0)+IF(D719&gt;=D$2,1,0)+IF(E719&gt;=E$2,1,0)+IF(F719&gt;=F$2,1,0))</f>
        <v/>
      </c>
      <c r="P719" s="41" t="n"/>
      <c r="Q719" s="42">
        <f>IF(COUNT(C719:M719)&gt;0,1,0)</f>
        <v/>
      </c>
      <c r="R719" s="42">
        <f>IF(Q719=0,0,R718+1)</f>
        <v/>
      </c>
      <c r="S719" s="42">
        <f>IF(O719="",0,IF(O719=4,S718+1,0))</f>
        <v/>
      </c>
      <c r="T719" s="43">
        <f>IF(Q719=1,A719,"")</f>
        <v/>
      </c>
    </row>
    <row r="720">
      <c r="A720" s="36">
        <f>A719+1</f>
        <v/>
      </c>
      <c r="B720" s="37">
        <f>IF(A720="","",TEXT(A720,"ddd"))</f>
        <v/>
      </c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9" t="n"/>
      <c r="M720" s="39" t="n"/>
      <c r="N720" s="38" t="n"/>
      <c r="O720" s="40">
        <f>IF($Q720=0,"",IF(C720&gt;=C$2,1,0)+IF(D720&gt;=D$2,1,0)+IF(E720&gt;=E$2,1,0)+IF(F720&gt;=F$2,1,0))</f>
        <v/>
      </c>
      <c r="P720" s="41" t="n"/>
      <c r="Q720" s="42">
        <f>IF(COUNT(C720:M720)&gt;0,1,0)</f>
        <v/>
      </c>
      <c r="R720" s="42">
        <f>IF(Q720=0,0,R719+1)</f>
        <v/>
      </c>
      <c r="S720" s="42">
        <f>IF(O720="",0,IF(O720=4,S719+1,0))</f>
        <v/>
      </c>
      <c r="T720" s="43">
        <f>IF(Q720=1,A720,"")</f>
        <v/>
      </c>
    </row>
    <row r="721">
      <c r="A721" s="36">
        <f>A720+1</f>
        <v/>
      </c>
      <c r="B721" s="37">
        <f>IF(A721="","",TEXT(A721,"ddd"))</f>
        <v/>
      </c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9" t="n"/>
      <c r="M721" s="39" t="n"/>
      <c r="N721" s="38" t="n"/>
      <c r="O721" s="40">
        <f>IF($Q721=0,"",IF(C721&gt;=C$2,1,0)+IF(D721&gt;=D$2,1,0)+IF(E721&gt;=E$2,1,0)+IF(F721&gt;=F$2,1,0))</f>
        <v/>
      </c>
      <c r="P721" s="41" t="n"/>
      <c r="Q721" s="42">
        <f>IF(COUNT(C721:M721)&gt;0,1,0)</f>
        <v/>
      </c>
      <c r="R721" s="42">
        <f>IF(Q721=0,0,R720+1)</f>
        <v/>
      </c>
      <c r="S721" s="42">
        <f>IF(O721="",0,IF(O721=4,S720+1,0))</f>
        <v/>
      </c>
      <c r="T721" s="43">
        <f>IF(Q721=1,A721,"")</f>
        <v/>
      </c>
    </row>
    <row r="722">
      <c r="A722" s="36">
        <f>A721+1</f>
        <v/>
      </c>
      <c r="B722" s="37">
        <f>IF(A722="","",TEXT(A722,"ddd"))</f>
        <v/>
      </c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9" t="n"/>
      <c r="M722" s="39" t="n"/>
      <c r="N722" s="38" t="n"/>
      <c r="O722" s="40">
        <f>IF($Q722=0,"",IF(C722&gt;=C$2,1,0)+IF(D722&gt;=D$2,1,0)+IF(E722&gt;=E$2,1,0)+IF(F722&gt;=F$2,1,0))</f>
        <v/>
      </c>
      <c r="P722" s="41" t="n"/>
      <c r="Q722" s="42">
        <f>IF(COUNT(C722:M722)&gt;0,1,0)</f>
        <v/>
      </c>
      <c r="R722" s="42">
        <f>IF(Q722=0,0,R721+1)</f>
        <v/>
      </c>
      <c r="S722" s="42">
        <f>IF(O722="",0,IF(O722=4,S721+1,0))</f>
        <v/>
      </c>
      <c r="T722" s="43">
        <f>IF(Q722=1,A722,"")</f>
        <v/>
      </c>
    </row>
    <row r="723">
      <c r="A723" s="36">
        <f>A722+1</f>
        <v/>
      </c>
      <c r="B723" s="37">
        <f>IF(A723="","",TEXT(A723,"ddd"))</f>
        <v/>
      </c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9" t="n"/>
      <c r="M723" s="39" t="n"/>
      <c r="N723" s="38" t="n"/>
      <c r="O723" s="40">
        <f>IF($Q723=0,"",IF(C723&gt;=C$2,1,0)+IF(D723&gt;=D$2,1,0)+IF(E723&gt;=E$2,1,0)+IF(F723&gt;=F$2,1,0))</f>
        <v/>
      </c>
      <c r="P723" s="41" t="n"/>
      <c r="Q723" s="42">
        <f>IF(COUNT(C723:M723)&gt;0,1,0)</f>
        <v/>
      </c>
      <c r="R723" s="42">
        <f>IF(Q723=0,0,R722+1)</f>
        <v/>
      </c>
      <c r="S723" s="42">
        <f>IF(O723="",0,IF(O723=4,S722+1,0))</f>
        <v/>
      </c>
      <c r="T723" s="43">
        <f>IF(Q723=1,A723,"")</f>
        <v/>
      </c>
    </row>
    <row r="724">
      <c r="A724" s="36">
        <f>A723+1</f>
        <v/>
      </c>
      <c r="B724" s="37">
        <f>IF(A724="","",TEXT(A724,"ddd"))</f>
        <v/>
      </c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9" t="n"/>
      <c r="M724" s="39" t="n"/>
      <c r="N724" s="38" t="n"/>
      <c r="O724" s="40">
        <f>IF($Q724=0,"",IF(C724&gt;=C$2,1,0)+IF(D724&gt;=D$2,1,0)+IF(E724&gt;=E$2,1,0)+IF(F724&gt;=F$2,1,0))</f>
        <v/>
      </c>
      <c r="P724" s="41" t="n"/>
      <c r="Q724" s="42">
        <f>IF(COUNT(C724:M724)&gt;0,1,0)</f>
        <v/>
      </c>
      <c r="R724" s="42">
        <f>IF(Q724=0,0,R723+1)</f>
        <v/>
      </c>
      <c r="S724" s="42">
        <f>IF(O724="",0,IF(O724=4,S723+1,0))</f>
        <v/>
      </c>
      <c r="T724" s="43">
        <f>IF(Q724=1,A724,"")</f>
        <v/>
      </c>
    </row>
    <row r="725">
      <c r="A725" s="36">
        <f>A724+1</f>
        <v/>
      </c>
      <c r="B725" s="37">
        <f>IF(A725="","",TEXT(A725,"ddd"))</f>
        <v/>
      </c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9" t="n"/>
      <c r="M725" s="39" t="n"/>
      <c r="N725" s="38" t="n"/>
      <c r="O725" s="40">
        <f>IF($Q725=0,"",IF(C725&gt;=C$2,1,0)+IF(D725&gt;=D$2,1,0)+IF(E725&gt;=E$2,1,0)+IF(F725&gt;=F$2,1,0))</f>
        <v/>
      </c>
      <c r="P725" s="41" t="n"/>
      <c r="Q725" s="42">
        <f>IF(COUNT(C725:M725)&gt;0,1,0)</f>
        <v/>
      </c>
      <c r="R725" s="42">
        <f>IF(Q725=0,0,R724+1)</f>
        <v/>
      </c>
      <c r="S725" s="42">
        <f>IF(O725="",0,IF(O725=4,S724+1,0))</f>
        <v/>
      </c>
      <c r="T725" s="43">
        <f>IF(Q725=1,A725,"")</f>
        <v/>
      </c>
    </row>
    <row r="726">
      <c r="A726" s="36">
        <f>A725+1</f>
        <v/>
      </c>
      <c r="B726" s="37">
        <f>IF(A726="","",TEXT(A726,"ddd"))</f>
        <v/>
      </c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9" t="n"/>
      <c r="M726" s="39" t="n"/>
      <c r="N726" s="38" t="n"/>
      <c r="O726" s="40">
        <f>IF($Q726=0,"",IF(C726&gt;=C$2,1,0)+IF(D726&gt;=D$2,1,0)+IF(E726&gt;=E$2,1,0)+IF(F726&gt;=F$2,1,0))</f>
        <v/>
      </c>
      <c r="P726" s="41" t="n"/>
      <c r="Q726" s="42">
        <f>IF(COUNT(C726:M726)&gt;0,1,0)</f>
        <v/>
      </c>
      <c r="R726" s="42">
        <f>IF(Q726=0,0,R725+1)</f>
        <v/>
      </c>
      <c r="S726" s="42">
        <f>IF(O726="",0,IF(O726=4,S725+1,0))</f>
        <v/>
      </c>
      <c r="T726" s="43">
        <f>IF(Q726=1,A726,"")</f>
        <v/>
      </c>
    </row>
    <row r="727">
      <c r="A727" s="36">
        <f>A726+1</f>
        <v/>
      </c>
      <c r="B727" s="37">
        <f>IF(A727="","",TEXT(A727,"ddd"))</f>
        <v/>
      </c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9" t="n"/>
      <c r="M727" s="39" t="n"/>
      <c r="N727" s="38" t="n"/>
      <c r="O727" s="40">
        <f>IF($Q727=0,"",IF(C727&gt;=C$2,1,0)+IF(D727&gt;=D$2,1,0)+IF(E727&gt;=E$2,1,0)+IF(F727&gt;=F$2,1,0))</f>
        <v/>
      </c>
      <c r="P727" s="41" t="n"/>
      <c r="Q727" s="42">
        <f>IF(COUNT(C727:M727)&gt;0,1,0)</f>
        <v/>
      </c>
      <c r="R727" s="42">
        <f>IF(Q727=0,0,R726+1)</f>
        <v/>
      </c>
      <c r="S727" s="42">
        <f>IF(O727="",0,IF(O727=4,S726+1,0))</f>
        <v/>
      </c>
      <c r="T727" s="43">
        <f>IF(Q727=1,A727,"")</f>
        <v/>
      </c>
    </row>
    <row r="728">
      <c r="A728" s="36">
        <f>A727+1</f>
        <v/>
      </c>
      <c r="B728" s="37">
        <f>IF(A728="","",TEXT(A728,"ddd"))</f>
        <v/>
      </c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9" t="n"/>
      <c r="M728" s="39" t="n"/>
      <c r="N728" s="38" t="n"/>
      <c r="O728" s="40">
        <f>IF($Q728=0,"",IF(C728&gt;=C$2,1,0)+IF(D728&gt;=D$2,1,0)+IF(E728&gt;=E$2,1,0)+IF(F728&gt;=F$2,1,0))</f>
        <v/>
      </c>
      <c r="P728" s="41" t="n"/>
      <c r="Q728" s="42">
        <f>IF(COUNT(C728:M728)&gt;0,1,0)</f>
        <v/>
      </c>
      <c r="R728" s="42">
        <f>IF(Q728=0,0,R727+1)</f>
        <v/>
      </c>
      <c r="S728" s="42">
        <f>IF(O728="",0,IF(O728=4,S727+1,0))</f>
        <v/>
      </c>
      <c r="T728" s="43">
        <f>IF(Q728=1,A728,"")</f>
        <v/>
      </c>
    </row>
    <row r="729">
      <c r="A729" s="36">
        <f>A728+1</f>
        <v/>
      </c>
      <c r="B729" s="37">
        <f>IF(A729="","",TEXT(A729,"ddd"))</f>
        <v/>
      </c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9" t="n"/>
      <c r="M729" s="39" t="n"/>
      <c r="N729" s="38" t="n"/>
      <c r="O729" s="40">
        <f>IF($Q729=0,"",IF(C729&gt;=C$2,1,0)+IF(D729&gt;=D$2,1,0)+IF(E729&gt;=E$2,1,0)+IF(F729&gt;=F$2,1,0))</f>
        <v/>
      </c>
      <c r="P729" s="41" t="n"/>
      <c r="Q729" s="42">
        <f>IF(COUNT(C729:M729)&gt;0,1,0)</f>
        <v/>
      </c>
      <c r="R729" s="42">
        <f>IF(Q729=0,0,R728+1)</f>
        <v/>
      </c>
      <c r="S729" s="42">
        <f>IF(O729="",0,IF(O729=4,S728+1,0))</f>
        <v/>
      </c>
      <c r="T729" s="43">
        <f>IF(Q729=1,A729,"")</f>
        <v/>
      </c>
    </row>
    <row r="730">
      <c r="A730" s="36">
        <f>A729+1</f>
        <v/>
      </c>
      <c r="B730" s="37">
        <f>IF(A730="","",TEXT(A730,"ddd"))</f>
        <v/>
      </c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9" t="n"/>
      <c r="M730" s="39" t="n"/>
      <c r="N730" s="38" t="n"/>
      <c r="O730" s="40">
        <f>IF($Q730=0,"",IF(C730&gt;=C$2,1,0)+IF(D730&gt;=D$2,1,0)+IF(E730&gt;=E$2,1,0)+IF(F730&gt;=F$2,1,0))</f>
        <v/>
      </c>
      <c r="P730" s="41" t="n"/>
      <c r="Q730" s="42">
        <f>IF(COUNT(C730:M730)&gt;0,1,0)</f>
        <v/>
      </c>
      <c r="R730" s="42">
        <f>IF(Q730=0,0,R729+1)</f>
        <v/>
      </c>
      <c r="S730" s="42">
        <f>IF(O730="",0,IF(O730=4,S729+1,0))</f>
        <v/>
      </c>
      <c r="T730" s="43">
        <f>IF(Q730=1,A730,"")</f>
        <v/>
      </c>
    </row>
    <row r="731">
      <c r="A731" s="36">
        <f>A730+1</f>
        <v/>
      </c>
      <c r="B731" s="37">
        <f>IF(A731="","",TEXT(A731,"ddd"))</f>
        <v/>
      </c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9" t="n"/>
      <c r="M731" s="39" t="n"/>
      <c r="N731" s="38" t="n"/>
      <c r="O731" s="40">
        <f>IF($Q731=0,"",IF(C731&gt;=C$2,1,0)+IF(D731&gt;=D$2,1,0)+IF(E731&gt;=E$2,1,0)+IF(F731&gt;=F$2,1,0))</f>
        <v/>
      </c>
      <c r="P731" s="41" t="n"/>
      <c r="Q731" s="42">
        <f>IF(COUNT(C731:M731)&gt;0,1,0)</f>
        <v/>
      </c>
      <c r="R731" s="42">
        <f>IF(Q731=0,0,R730+1)</f>
        <v/>
      </c>
      <c r="S731" s="42">
        <f>IF(O731="",0,IF(O731=4,S730+1,0))</f>
        <v/>
      </c>
      <c r="T731" s="43">
        <f>IF(Q731=1,A731,"")</f>
        <v/>
      </c>
    </row>
    <row r="732">
      <c r="A732" s="36">
        <f>A731+1</f>
        <v/>
      </c>
      <c r="B732" s="37">
        <f>IF(A732="","",TEXT(A732,"ddd"))</f>
        <v/>
      </c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9" t="n"/>
      <c r="M732" s="39" t="n"/>
      <c r="N732" s="38" t="n"/>
      <c r="O732" s="40">
        <f>IF($Q732=0,"",IF(C732&gt;=C$2,1,0)+IF(D732&gt;=D$2,1,0)+IF(E732&gt;=E$2,1,0)+IF(F732&gt;=F$2,1,0))</f>
        <v/>
      </c>
      <c r="P732" s="41" t="n"/>
      <c r="Q732" s="42">
        <f>IF(COUNT(C732:M732)&gt;0,1,0)</f>
        <v/>
      </c>
      <c r="R732" s="42">
        <f>IF(Q732=0,0,R731+1)</f>
        <v/>
      </c>
      <c r="S732" s="42">
        <f>IF(O732="",0,IF(O732=4,S731+1,0))</f>
        <v/>
      </c>
      <c r="T732" s="43">
        <f>IF(Q732=1,A732,"")</f>
        <v/>
      </c>
    </row>
    <row r="733">
      <c r="A733" s="36">
        <f>A732+1</f>
        <v/>
      </c>
      <c r="B733" s="37">
        <f>IF(A733="","",TEXT(A733,"ddd"))</f>
        <v/>
      </c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9" t="n"/>
      <c r="M733" s="39" t="n"/>
      <c r="N733" s="38" t="n"/>
      <c r="O733" s="40">
        <f>IF($Q733=0,"",IF(C733&gt;=C$2,1,0)+IF(D733&gt;=D$2,1,0)+IF(E733&gt;=E$2,1,0)+IF(F733&gt;=F$2,1,0))</f>
        <v/>
      </c>
      <c r="P733" s="41" t="n"/>
      <c r="Q733" s="42">
        <f>IF(COUNT(C733:M733)&gt;0,1,0)</f>
        <v/>
      </c>
      <c r="R733" s="42">
        <f>IF(Q733=0,0,R732+1)</f>
        <v/>
      </c>
      <c r="S733" s="42">
        <f>IF(O733="",0,IF(O733=4,S732+1,0))</f>
        <v/>
      </c>
      <c r="T733" s="43">
        <f>IF(Q733=1,A733,"")</f>
        <v/>
      </c>
    </row>
    <row r="734">
      <c r="A734" s="36">
        <f>A733+1</f>
        <v/>
      </c>
      <c r="B734" s="37">
        <f>IF(A734="","",TEXT(A734,"ddd"))</f>
        <v/>
      </c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9" t="n"/>
      <c r="M734" s="39" t="n"/>
      <c r="N734" s="38" t="n"/>
      <c r="O734" s="40">
        <f>IF($Q734=0,"",IF(C734&gt;=C$2,1,0)+IF(D734&gt;=D$2,1,0)+IF(E734&gt;=E$2,1,0)+IF(F734&gt;=F$2,1,0))</f>
        <v/>
      </c>
      <c r="P734" s="41" t="n"/>
      <c r="Q734" s="42">
        <f>IF(COUNT(C734:M734)&gt;0,1,0)</f>
        <v/>
      </c>
      <c r="R734" s="42">
        <f>IF(Q734=0,0,R733+1)</f>
        <v/>
      </c>
      <c r="S734" s="42">
        <f>IF(O734="",0,IF(O734=4,S733+1,0))</f>
        <v/>
      </c>
      <c r="T734" s="43">
        <f>IF(Q734=1,A734,"")</f>
        <v/>
      </c>
    </row>
  </sheetData>
  <mergeCells count="2">
    <mergeCell ref="A1:T1"/>
    <mergeCell ref="H2:P2"/>
  </mergeCells>
  <conditionalFormatting sqref="C4:F734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734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734">
    <cfRule type="expression" priority="5" dxfId="3" stopIfTrue="0">
      <formula>$A4=TODAY()</formula>
    </cfRule>
  </conditionalFormatting>
  <conditionalFormatting sqref="G4:N734">
    <cfRule type="expression" priority="6" dxfId="3" stopIfTrue="0">
      <formula>$A4=TODAY()</formula>
    </cfRule>
  </conditionalFormatting>
  <conditionalFormatting sqref="P4:T734">
    <cfRule type="expression" priority="7" dxfId="3" stopIfTrue="0">
      <formula>$A4=TODAY()</formula>
    </cfRule>
  </conditionalFormatting>
  <dataValidations count="2">
    <dataValidation sqref="C4:C734 D4:D734 E4:E734 F4:F734 G4:G734 H4:H734 I4:I734 J4:J734 K4:K734 N4:N734" showDropDown="0" showInputMessage="0" showErrorMessage="1" allowBlank="1" errorTitle="Whole numbers only" error="Enter a whole number of 0 or more." type="whole" operator="greaterThanOrEqual">
      <formula1>0</formula1>
    </dataValidation>
    <dataValidation sqref="L4:L734 M4:M734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B579"/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4" t="inlineStr">
        <is>
          <t>Week starts</t>
        </is>
      </c>
      <c r="B3" s="45">
        <f>TODAY()-WEEKDAY(TODAY(),2)+1</f>
        <v/>
      </c>
      <c r="C3" s="44" t="inlineStr">
        <is>
          <t>Day of week</t>
        </is>
      </c>
      <c r="D3" s="44">
        <f>TODAY()-B3+1</f>
        <v/>
      </c>
      <c r="E3" s="44" t="inlineStr">
        <is>
          <t>Last week</t>
        </is>
      </c>
      <c r="F3" s="45">
        <f>B3-7</f>
        <v/>
      </c>
      <c r="G3" s="45">
        <f>B3-1</f>
        <v/>
      </c>
    </row>
    <row r="5" ht="28" customHeight="1">
      <c r="A5" s="46">
        <f>IF(SUM(B10:B13)=0,"Log a couple of days and this line tells you what to fix first.",IF(MIN($F$10:$F$13)&gt;=1,"Every standard is at or ahead of pace. Hold it — and push volume.","Fix this first: "&amp;INDEX($A$10:$A$13,MATCH(MIN($F$10:$F$13),$F$10:$F$13,0))&amp;" — you are at "&amp;TEXT(MIN($F$10:$F$13),"0%")&amp;" of your target for end of today."))</f>
        <v/>
      </c>
    </row>
    <row r="6" ht="24" customHeight="1">
      <c r="A6" s="47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8" t="inlineStr">
        <is>
          <t>Reels / posts</t>
        </is>
      </c>
      <c r="B10" s="49">
        <f>SUMIFS('Daily Log'!$C$4:$C$734,'Daily Log'!$A$4:$A$734,"&gt;="&amp;$B$3,'Daily Log'!$A$4:$A$734,"&lt;="&amp;TODAY())</f>
        <v/>
      </c>
      <c r="C10" s="50">
        <f>Setup!$C$12*$D$3</f>
        <v/>
      </c>
      <c r="D10" s="51">
        <f>B10-C10</f>
        <v/>
      </c>
      <c r="E10" s="50">
        <f>Setup!$C$12*7</f>
        <v/>
      </c>
      <c r="F10" s="52">
        <f>IFERROR(B10/C10,0)</f>
        <v/>
      </c>
      <c r="G10" s="53">
        <f>IF(F10&gt;=1,ROUND(Setup!$C$12*1.1,0),Setup!$C$12)</f>
        <v/>
      </c>
    </row>
    <row r="11">
      <c r="A11" s="48" t="inlineStr">
        <is>
          <t>Stories</t>
        </is>
      </c>
      <c r="B11" s="49">
        <f>SUMIFS('Daily Log'!$D$4:$D$734,'Daily Log'!$A$4:$A$734,"&gt;="&amp;$B$3,'Daily Log'!$A$4:$A$734,"&lt;="&amp;TODAY())</f>
        <v/>
      </c>
      <c r="C11" s="50">
        <f>Setup!$C$13*$D$3</f>
        <v/>
      </c>
      <c r="D11" s="51">
        <f>B11-C11</f>
        <v/>
      </c>
      <c r="E11" s="50">
        <f>Setup!$C$13*7</f>
        <v/>
      </c>
      <c r="F11" s="52">
        <f>IFERROR(B11/C11,0)</f>
        <v/>
      </c>
      <c r="G11" s="53">
        <f>IF(F11&gt;=1,ROUND(Setup!$C$13*1.1,0),Setup!$C$13)</f>
        <v/>
      </c>
    </row>
    <row r="12">
      <c r="A12" s="48" t="inlineStr">
        <is>
          <t>Opener DMs</t>
        </is>
      </c>
      <c r="B12" s="49">
        <f>SUMIFS('Daily Log'!$E$4:$E$734,'Daily Log'!$A$4:$A$734,"&gt;="&amp;$B$3,'Daily Log'!$A$4:$A$734,"&lt;="&amp;TODAY())</f>
        <v/>
      </c>
      <c r="C12" s="50">
        <f>Setup!$C$14*$D$3</f>
        <v/>
      </c>
      <c r="D12" s="51">
        <f>B12-C12</f>
        <v/>
      </c>
      <c r="E12" s="50">
        <f>Setup!$C$14*7</f>
        <v/>
      </c>
      <c r="F12" s="52">
        <f>IFERROR(B12/C12,0)</f>
        <v/>
      </c>
      <c r="G12" s="53">
        <f>IF(F12&gt;=1,ROUND(Setup!$C$14*1.1,0),Setup!$C$14)</f>
        <v/>
      </c>
    </row>
    <row r="13">
      <c r="A13" s="48" t="inlineStr">
        <is>
          <t>Follow-up DMs</t>
        </is>
      </c>
      <c r="B13" s="49">
        <f>SUMIFS('Daily Log'!$F$4:$F$734,'Daily Log'!$A$4:$A$734,"&gt;="&amp;$B$3,'Daily Log'!$A$4:$A$734,"&lt;="&amp;TODAY())</f>
        <v/>
      </c>
      <c r="C13" s="50">
        <f>Setup!$C$15*$D$3</f>
        <v/>
      </c>
      <c r="D13" s="51">
        <f>B13-C13</f>
        <v/>
      </c>
      <c r="E13" s="50">
        <f>Setup!$C$15*7</f>
        <v/>
      </c>
      <c r="F13" s="52">
        <f>IFERROR(B13/C13,0)</f>
        <v/>
      </c>
      <c r="G13" s="53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8" t="inlineStr">
        <is>
          <t>Total DMs sent</t>
        </is>
      </c>
      <c r="B17" s="49">
        <f>SUMIFS('Daily Log'!$E$4:$E$734,'Daily Log'!$A$4:$A$734,"&gt;="&amp;$B$3,'Daily Log'!$A$4:$A$734,"&lt;="&amp;TODAY())+SUMIFS('Daily Log'!$F$4:$F$734,'Daily Log'!$A$4:$A$734,"&gt;="&amp;$B$3,'Daily Log'!$A$4:$A$734,"&lt;="&amp;TODAY())</f>
        <v/>
      </c>
      <c r="C17" s="50">
        <f>SUMIFS('Daily Log'!$E$4:$E$734,'Daily Log'!$A$4:$A$734,"&gt;="&amp;$F$3,'Daily Log'!$A$4:$A$734,"&lt;="&amp;$G$3)+SUMIFS('Daily Log'!$F$4:$F$734,'Daily Log'!$A$4:$A$734,"&gt;="&amp;$F$3,'Daily Log'!$A$4:$A$734,"&lt;="&amp;$G$3)</f>
        <v/>
      </c>
      <c r="D17" s="51">
        <f>B17-C17</f>
        <v/>
      </c>
    </row>
    <row r="18">
      <c r="A18" s="54" t="inlineStr">
        <is>
          <t>Replies</t>
        </is>
      </c>
      <c r="B18" s="49">
        <f>SUMIFS('Daily Log'!$G$4:$G$734,'Daily Log'!$A$4:$A$734,"&gt;="&amp;$B$3,'Daily Log'!$A$4:$A$734,"&lt;="&amp;TODAY())</f>
        <v/>
      </c>
      <c r="C18" s="50">
        <f>SUMIFS('Daily Log'!$G$4:$G$734,'Daily Log'!$A$4:$A$734,"&gt;="&amp;$F$3,'Daily Log'!$A$4:$A$734,"&lt;="&amp;$G$3)</f>
        <v/>
      </c>
      <c r="D18" s="51">
        <f>B18-C18</f>
        <v/>
      </c>
    </row>
    <row r="19">
      <c r="A19" s="54" t="inlineStr">
        <is>
          <t>Calls pitched</t>
        </is>
      </c>
      <c r="B19" s="49">
        <f>SUMIFS('Daily Log'!$H$4:$H$734,'Daily Log'!$A$4:$A$734,"&gt;="&amp;$B$3,'Daily Log'!$A$4:$A$734,"&lt;="&amp;TODAY())</f>
        <v/>
      </c>
      <c r="C19" s="50">
        <f>SUMIFS('Daily Log'!$H$4:$H$734,'Daily Log'!$A$4:$A$734,"&gt;="&amp;$F$3,'Daily Log'!$A$4:$A$734,"&lt;="&amp;$G$3)</f>
        <v/>
      </c>
      <c r="D19" s="51">
        <f>B19-C19</f>
        <v/>
      </c>
    </row>
    <row r="20">
      <c r="A20" s="54" t="inlineStr">
        <is>
          <t>Calls booked</t>
        </is>
      </c>
      <c r="B20" s="49">
        <f>SUMIFS('Daily Log'!$I$4:$I$734,'Daily Log'!$A$4:$A$734,"&gt;="&amp;$B$3,'Daily Log'!$A$4:$A$734,"&lt;="&amp;TODAY())</f>
        <v/>
      </c>
      <c r="C20" s="50">
        <f>SUMIFS('Daily Log'!$I$4:$I$734,'Daily Log'!$A$4:$A$734,"&gt;="&amp;$F$3,'Daily Log'!$A$4:$A$734,"&lt;="&amp;$G$3)</f>
        <v/>
      </c>
      <c r="D20" s="51">
        <f>B20-C20</f>
        <v/>
      </c>
    </row>
    <row r="21">
      <c r="A21" s="54" t="inlineStr">
        <is>
          <t>Calls showed</t>
        </is>
      </c>
      <c r="B21" s="49">
        <f>SUMIFS('Daily Log'!$J$4:$J$734,'Daily Log'!$A$4:$A$734,"&gt;="&amp;$B$3,'Daily Log'!$A$4:$A$734,"&lt;="&amp;TODAY())</f>
        <v/>
      </c>
      <c r="C21" s="50">
        <f>SUMIFS('Daily Log'!$J$4:$J$734,'Daily Log'!$A$4:$A$734,"&gt;="&amp;$F$3,'Daily Log'!$A$4:$A$734,"&lt;="&amp;$G$3)</f>
        <v/>
      </c>
      <c r="D21" s="51">
        <f>B21-C21</f>
        <v/>
      </c>
    </row>
    <row r="22">
      <c r="A22" s="54" t="inlineStr">
        <is>
          <t>Closes</t>
        </is>
      </c>
      <c r="B22" s="49">
        <f>SUMIFS('Daily Log'!$K$4:$K$734,'Daily Log'!$A$4:$A$734,"&gt;="&amp;$B$3,'Daily Log'!$A$4:$A$734,"&lt;="&amp;TODAY())</f>
        <v/>
      </c>
      <c r="C22" s="50">
        <f>SUMIFS('Daily Log'!$K$4:$K$734,'Daily Log'!$A$4:$A$734,"&gt;="&amp;$F$3,'Daily Log'!$A$4:$A$734,"&lt;="&amp;$G$3)</f>
        <v/>
      </c>
      <c r="D22" s="51">
        <f>B22-C22</f>
        <v/>
      </c>
    </row>
    <row r="23">
      <c r="A23" s="48" t="inlineStr">
        <is>
          <t>Cash collected</t>
        </is>
      </c>
      <c r="B23" s="55">
        <f>SUMIFS('Daily Log'!$L$4:$L$734,'Daily Log'!$A$4:$A$734,"&gt;="&amp;$B$3,'Daily Log'!$A$4:$A$734,"&lt;="&amp;TODAY())</f>
        <v/>
      </c>
      <c r="C23" s="56">
        <f>SUMIFS('Daily Log'!$L$4:$L$734,'Daily Log'!$A$4:$A$734,"&gt;="&amp;$F$3,'Daily Log'!$A$4:$A$734,"&lt;="&amp;$G$3)</f>
        <v/>
      </c>
      <c r="D23" s="57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8" t="inlineStr">
        <is>
          <t>Reply rate</t>
        </is>
      </c>
      <c r="B27" s="58">
        <f>IFERROR(B18/B17,"")</f>
        <v/>
      </c>
      <c r="C27" s="59">
        <f>IFERROR(AVERAGE('Weekly Rollup'!$P$4:$P$16),"")</f>
        <v/>
      </c>
      <c r="D27" s="60">
        <f>IFERROR(B27-C27,"")</f>
        <v/>
      </c>
    </row>
    <row r="28">
      <c r="A28" s="48" t="inlineStr">
        <is>
          <t>Pitch rate</t>
        </is>
      </c>
      <c r="B28" s="58">
        <f>IFERROR(B19/B18,"")</f>
        <v/>
      </c>
      <c r="C28" s="59">
        <f>IFERROR(AVERAGE('Weekly Rollup'!$Q$4:$Q$16),"")</f>
        <v/>
      </c>
      <c r="D28" s="60">
        <f>IFERROR(B28-C28,"")</f>
        <v/>
      </c>
    </row>
    <row r="29">
      <c r="A29" s="48" t="inlineStr">
        <is>
          <t>Book rate</t>
        </is>
      </c>
      <c r="B29" s="58">
        <f>IFERROR(B20/B19,"")</f>
        <v/>
      </c>
      <c r="C29" s="59">
        <f>IFERROR(AVERAGE('Weekly Rollup'!$R$4:$R$16),"")</f>
        <v/>
      </c>
      <c r="D29" s="60">
        <f>IFERROR(B29-C29,"")</f>
        <v/>
      </c>
    </row>
    <row r="30">
      <c r="A30" s="48" t="inlineStr">
        <is>
          <t>Show rate</t>
        </is>
      </c>
      <c r="B30" s="58">
        <f>IFERROR(B21/B20,"")</f>
        <v/>
      </c>
      <c r="C30" s="59">
        <f>IFERROR(AVERAGE('Weekly Rollup'!$S$4:$S$16),"")</f>
        <v/>
      </c>
      <c r="D30" s="60">
        <f>IFERROR(B30-C30,"")</f>
        <v/>
      </c>
    </row>
    <row r="31">
      <c r="A31" s="48" t="inlineStr">
        <is>
          <t>Close rate</t>
        </is>
      </c>
      <c r="B31" s="58">
        <f>IFERROR(B22/B21,"")</f>
        <v/>
      </c>
      <c r="C31" s="59">
        <f>IFERROR(AVERAGE('Weekly Rollup'!$T$4:$T$16),"")</f>
        <v/>
      </c>
      <c r="D31" s="60">
        <f>IFERROR(B31-C31,"")</f>
        <v/>
      </c>
    </row>
    <row r="33" ht="21" customHeight="1">
      <c r="A33" s="5" t="inlineStr">
        <is>
          <t>AIM FOR NEXT WEEK</t>
        </is>
      </c>
    </row>
    <row r="34" ht="26" customHeight="1">
      <c r="A34" s="61">
        <f>IF(SUM(B10:B13)=0,"Log this week first — next week's aim builds off it.","Next week, the one to protect: "&amp;INDEX($A$10:$A$13,MATCH(MIN($F$10:$F$13),$F$10:$F$13,0))&amp;" — "&amp;INDEX($G$10:$G$13,MATCH(MIN($F$10:$F$13),$F$10:$F$13,0))&amp;" a day, every day.")</f>
        <v/>
      </c>
    </row>
    <row r="35" ht="32" customHeight="1">
      <c r="A35" s="6" t="inlineStr">
        <is>
          <t>Standard</t>
        </is>
      </c>
      <c r="B35" s="6" t="inlineStr">
        <is>
          <t>This week</t>
        </is>
      </c>
      <c r="C35" s="6" t="inlineStr">
        <is>
          <t>Per day</t>
        </is>
      </c>
      <c r="D35" s="6" t="inlineStr">
        <is>
          <t>Week total</t>
        </is>
      </c>
      <c r="E35" s="6" t="inlineStr">
        <is>
          <t>Why</t>
        </is>
      </c>
      <c r="F35" s="25" t="n"/>
      <c r="G35" s="26" t="n"/>
    </row>
    <row r="36">
      <c r="A36" s="48" t="inlineStr">
        <is>
          <t>Reels / posts</t>
        </is>
      </c>
      <c r="B36" s="50">
        <f>B10</f>
        <v/>
      </c>
      <c r="C36" s="53">
        <f>G10</f>
        <v/>
      </c>
      <c r="D36" s="49">
        <f>C36*7</f>
        <v/>
      </c>
      <c r="E36" s="62">
        <f>IF(F10&gt;=1,"Held the line — push it 10%.","Missed it. Hold the standard and close the gap.")</f>
        <v/>
      </c>
    </row>
    <row r="37">
      <c r="A37" s="48" t="inlineStr">
        <is>
          <t>Stories</t>
        </is>
      </c>
      <c r="B37" s="50">
        <f>B11</f>
        <v/>
      </c>
      <c r="C37" s="53">
        <f>G11</f>
        <v/>
      </c>
      <c r="D37" s="49">
        <f>C37*7</f>
        <v/>
      </c>
      <c r="E37" s="62">
        <f>IF(F11&gt;=1,"Held the line — push it 10%.","Missed it. Hold the standard and close the gap.")</f>
        <v/>
      </c>
    </row>
    <row r="38">
      <c r="A38" s="48" t="inlineStr">
        <is>
          <t>Opener DMs</t>
        </is>
      </c>
      <c r="B38" s="50">
        <f>B12</f>
        <v/>
      </c>
      <c r="C38" s="53">
        <f>G12</f>
        <v/>
      </c>
      <c r="D38" s="49">
        <f>C38*7</f>
        <v/>
      </c>
      <c r="E38" s="62">
        <f>IF(F12&gt;=1,"Held the line — push it 10%.","Missed it. Hold the standard and close the gap.")</f>
        <v/>
      </c>
    </row>
    <row r="39">
      <c r="A39" s="48" t="inlineStr">
        <is>
          <t>Follow-up DMs</t>
        </is>
      </c>
      <c r="B39" s="50">
        <f>B13</f>
        <v/>
      </c>
      <c r="C39" s="53">
        <f>G13</f>
        <v/>
      </c>
      <c r="D39" s="49">
        <f>C39*7</f>
        <v/>
      </c>
      <c r="E39" s="62">
        <f>IF(F13&gt;=1,"Held the line — push it 10%.","Missed it. Hold the standard and close the gap.")</f>
        <v/>
      </c>
    </row>
    <row r="41" ht="26" customHeight="1">
      <c r="A41" s="63" t="inlineStr">
        <is>
          <t>Per day nudges up 10% on anything you hit this week and holds the standard on anything you didn't. It's a suggestion — your actual standards live on Setup.</t>
        </is>
      </c>
    </row>
  </sheetData>
  <mergeCells count="15">
    <mergeCell ref="A1:G1"/>
    <mergeCell ref="E36:G36"/>
    <mergeCell ref="E38:G38"/>
    <mergeCell ref="A8:G8"/>
    <mergeCell ref="A6:G6"/>
    <mergeCell ref="E37:G37"/>
    <mergeCell ref="A34:G34"/>
    <mergeCell ref="E39:G39"/>
    <mergeCell ref="A2:G2"/>
    <mergeCell ref="E35:G35"/>
    <mergeCell ref="A15:G15"/>
    <mergeCell ref="A25:G25"/>
    <mergeCell ref="A41:G41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4" t="inlineStr">
        <is>
          <t>CASH THIS MONTH</t>
        </is>
      </c>
      <c r="D4" s="64" t="inlineStr">
        <is>
          <t>% OF MONTHLY GOAL</t>
        </is>
      </c>
      <c r="F4" s="64" t="inlineStr">
        <is>
          <t>CALLS BOOKED THIS WEEK</t>
        </is>
      </c>
      <c r="H4" s="64" t="inlineStr">
        <is>
          <t>DAYS LOGGED IN A ROW</t>
        </is>
      </c>
      <c r="J4" s="64" t="inlineStr">
        <is>
          <t>PERFECT DAYS IN A ROW</t>
        </is>
      </c>
    </row>
    <row r="5" ht="16" customHeight="1">
      <c r="A5" s="65" t="inlineStr">
        <is>
          <t>AT A GLANCE</t>
        </is>
      </c>
      <c r="B5" s="66">
        <f>SUMIFS('Daily Log'!$L$4:$L$734,'Daily Log'!$A$4:$A$734,"&gt;="&amp;$D$10,'Daily Log'!$A$4:$A$734,"&lt;="&amp;$D$11)</f>
        <v/>
      </c>
      <c r="D5" s="67">
        <f>IFERROR(B5/Setup!$C$18,0)</f>
        <v/>
      </c>
      <c r="F5" s="68">
        <f>SUMIFS('Daily Log'!$I$4:$I$734,'Daily Log'!$A$4:$A$734,"&gt;="&amp;$B$10,'Daily Log'!$A$4:$A$734,"&lt;="&amp;$B$11)</f>
        <v/>
      </c>
      <c r="H5" s="68">
        <f>IFERROR(IF(INDEX('Daily Log'!$R$4:$R$734,MATCH(TODAY(),'Daily Log'!$A$4:$A$734,0))&gt;0,INDEX('Daily Log'!$R$4:$R$734,MATCH(TODAY(),'Daily Log'!$A$4:$A$734,0)),INDEX('Daily Log'!$R$4:$R$734,MATCH(TODAY()-1,'Daily Log'!$A$4:$A$734,0))),0)</f>
        <v/>
      </c>
      <c r="J5" s="68">
        <f>IFERROR(IF(INDEX('Daily Log'!$S$4:$S$734,MATCH(TODAY(),'Daily Log'!$A$4:$A$734,0))&gt;0,INDEX('Daily Log'!$S$4:$S$734,MATCH(TODAY(),'Daily Log'!$A$4:$A$734,0)),INDEX('Daily Log'!$S$4:$S$734,MATCH(TODAY()-1,'Daily Log'!$A$4:$A$734,0))),0)</f>
        <v/>
      </c>
    </row>
    <row r="6" ht="16" customHeight="1"/>
    <row r="7" ht="19" customHeight="1">
      <c r="A7" s="69">
        <f>"Last entry: "&amp;IF($G$7=-1,"nothing logged yet",IF($G$7=0,"today",IF($G$7=1,"yesterday",$G$7&amp;" days ago")))</f>
        <v/>
      </c>
      <c r="G7" s="70">
        <f>IF(MAX('Daily Log'!$T$4:$T$369)=0,-1,TODAY()-MAX('Daily Log'!$T$4:$T$369))</f>
        <v/>
      </c>
    </row>
    <row r="8" ht="20" customHeight="1">
      <c r="B8" s="71" t="inlineStr">
        <is>
          <t>This Week</t>
        </is>
      </c>
      <c r="C8" s="71" t="inlineStr">
        <is>
          <t>Last Week</t>
        </is>
      </c>
      <c r="D8" s="71" t="inlineStr">
        <is>
          <t>This Month</t>
        </is>
      </c>
      <c r="E8" s="71" t="inlineStr">
        <is>
          <t>Last Month</t>
        </is>
      </c>
      <c r="F8" s="71" t="inlineStr">
        <is>
          <t>All Time</t>
        </is>
      </c>
    </row>
    <row r="9">
      <c r="B9" s="72">
        <f>TEXT(B10,"d mmm")&amp;" – "&amp;TEXT(B11,"d mmm")</f>
        <v/>
      </c>
      <c r="C9" s="72">
        <f>TEXT(C10,"d mmm")&amp;" – "&amp;TEXT(C11,"d mmm")</f>
        <v/>
      </c>
      <c r="D9" s="72">
        <f>TEXT(D10,"d mmm")&amp;" – "&amp;TEXT(D11,"d mmm")</f>
        <v/>
      </c>
      <c r="E9" s="72">
        <f>TEXT(E10,"d mmm")&amp;" – "&amp;TEXT(E11,"d mmm")</f>
        <v/>
      </c>
      <c r="F9" s="72">
        <f>TEXT(F10,"d mmm")&amp;" – "&amp;TEXT(F11,"d mmm")</f>
        <v/>
      </c>
    </row>
    <row r="10">
      <c r="A10" s="73" t="inlineStr">
        <is>
          <t>Period start</t>
        </is>
      </c>
      <c r="B10" s="74">
        <f>TODAY()-WEEKDAY(TODAY(),2)+1</f>
        <v/>
      </c>
      <c r="C10" s="74">
        <f>B10-7</f>
        <v/>
      </c>
      <c r="D10" s="74">
        <f>DATE(YEAR(TODAY()),MONTH(TODAY()),1)</f>
        <v/>
      </c>
      <c r="E10" s="74">
        <f>EOMONTH(TODAY(),-2)+1</f>
        <v/>
      </c>
      <c r="F10" s="74">
        <f>Setup!$C$8</f>
        <v/>
      </c>
    </row>
    <row r="11">
      <c r="A11" s="73" t="inlineStr">
        <is>
          <t>Period end</t>
        </is>
      </c>
      <c r="B11" s="74">
        <f>TODAY()</f>
        <v/>
      </c>
      <c r="C11" s="74">
        <f>B10-1</f>
        <v/>
      </c>
      <c r="D11" s="74">
        <f>TODAY()</f>
        <v/>
      </c>
      <c r="E11" s="74">
        <f>EOMONTH(TODAY(),-1)</f>
        <v/>
      </c>
      <c r="F11" s="74">
        <f>TODAY()</f>
        <v/>
      </c>
    </row>
    <row r="13" ht="21" customHeight="1">
      <c r="A13" s="5" t="inlineStr">
        <is>
          <t>ACTIVITY — what you put in</t>
        </is>
      </c>
    </row>
    <row r="14">
      <c r="A14" s="75" t="inlineStr">
        <is>
          <t>Days Logged</t>
        </is>
      </c>
      <c r="B14" s="50">
        <f>SUMIFS('Daily Log'!$Q$4:$Q$734,'Daily Log'!$A$4:$A$734,"&gt;="&amp;B$10,'Daily Log'!$A$4:$A$734,"&lt;="&amp;B$11)</f>
        <v/>
      </c>
      <c r="C14" s="50">
        <f>SUMIFS('Daily Log'!$Q$4:$Q$734,'Daily Log'!$A$4:$A$734,"&gt;="&amp;C$10,'Daily Log'!$A$4:$A$734,"&lt;="&amp;C$11)</f>
        <v/>
      </c>
      <c r="D14" s="50">
        <f>SUMIFS('Daily Log'!$Q$4:$Q$734,'Daily Log'!$A$4:$A$734,"&gt;="&amp;D$10,'Daily Log'!$A$4:$A$734,"&lt;="&amp;D$11)</f>
        <v/>
      </c>
      <c r="E14" s="50">
        <f>SUMIFS('Daily Log'!$Q$4:$Q$734,'Daily Log'!$A$4:$A$734,"&gt;="&amp;E$10,'Daily Log'!$A$4:$A$734,"&lt;="&amp;E$11)</f>
        <v/>
      </c>
      <c r="F14" s="50">
        <f>SUMIFS('Daily Log'!$Q$4:$Q$734,'Daily Log'!$A$4:$A$734,"&gt;="&amp;F$10,'Daily Log'!$A$4:$A$734,"&lt;="&amp;F$11)</f>
        <v/>
      </c>
    </row>
    <row r="15">
      <c r="A15" s="75" t="inlineStr">
        <is>
          <t>Reels / Posts</t>
        </is>
      </c>
      <c r="B15" s="50">
        <f>SUMIFS('Daily Log'!$C$4:$C$734,'Daily Log'!$A$4:$A$734,"&gt;="&amp;B$10,'Daily Log'!$A$4:$A$734,"&lt;="&amp;B$11)</f>
        <v/>
      </c>
      <c r="C15" s="50">
        <f>SUMIFS('Daily Log'!$C$4:$C$734,'Daily Log'!$A$4:$A$734,"&gt;="&amp;C$10,'Daily Log'!$A$4:$A$734,"&lt;="&amp;C$11)</f>
        <v/>
      </c>
      <c r="D15" s="50">
        <f>SUMIFS('Daily Log'!$C$4:$C$734,'Daily Log'!$A$4:$A$734,"&gt;="&amp;D$10,'Daily Log'!$A$4:$A$734,"&lt;="&amp;D$11)</f>
        <v/>
      </c>
      <c r="E15" s="50">
        <f>SUMIFS('Daily Log'!$C$4:$C$734,'Daily Log'!$A$4:$A$734,"&gt;="&amp;E$10,'Daily Log'!$A$4:$A$734,"&lt;="&amp;E$11)</f>
        <v/>
      </c>
      <c r="F15" s="50">
        <f>SUMIFS('Daily Log'!$C$4:$C$734,'Daily Log'!$A$4:$A$734,"&gt;="&amp;F$10,'Daily Log'!$A$4:$A$734,"&lt;="&amp;F$11)</f>
        <v/>
      </c>
    </row>
    <row r="16">
      <c r="A16" s="75" t="inlineStr">
        <is>
          <t>Stories</t>
        </is>
      </c>
      <c r="B16" s="50">
        <f>SUMIFS('Daily Log'!$D$4:$D$734,'Daily Log'!$A$4:$A$734,"&gt;="&amp;B$10,'Daily Log'!$A$4:$A$734,"&lt;="&amp;B$11)</f>
        <v/>
      </c>
      <c r="C16" s="50">
        <f>SUMIFS('Daily Log'!$D$4:$D$734,'Daily Log'!$A$4:$A$734,"&gt;="&amp;C$10,'Daily Log'!$A$4:$A$734,"&lt;="&amp;C$11)</f>
        <v/>
      </c>
      <c r="D16" s="50">
        <f>SUMIFS('Daily Log'!$D$4:$D$734,'Daily Log'!$A$4:$A$734,"&gt;="&amp;D$10,'Daily Log'!$A$4:$A$734,"&lt;="&amp;D$11)</f>
        <v/>
      </c>
      <c r="E16" s="50">
        <f>SUMIFS('Daily Log'!$D$4:$D$734,'Daily Log'!$A$4:$A$734,"&gt;="&amp;E$10,'Daily Log'!$A$4:$A$734,"&lt;="&amp;E$11)</f>
        <v/>
      </c>
      <c r="F16" s="50">
        <f>SUMIFS('Daily Log'!$D$4:$D$734,'Daily Log'!$A$4:$A$734,"&gt;="&amp;F$10,'Daily Log'!$A$4:$A$734,"&lt;="&amp;F$11)</f>
        <v/>
      </c>
    </row>
    <row r="17">
      <c r="A17" s="75" t="inlineStr">
        <is>
          <t>Opener DMs Sent</t>
        </is>
      </c>
      <c r="B17" s="50">
        <f>SUMIFS('Daily Log'!$E$4:$E$734,'Daily Log'!$A$4:$A$734,"&gt;="&amp;B$10,'Daily Log'!$A$4:$A$734,"&lt;="&amp;B$11)</f>
        <v/>
      </c>
      <c r="C17" s="50">
        <f>SUMIFS('Daily Log'!$E$4:$E$734,'Daily Log'!$A$4:$A$734,"&gt;="&amp;C$10,'Daily Log'!$A$4:$A$734,"&lt;="&amp;C$11)</f>
        <v/>
      </c>
      <c r="D17" s="50">
        <f>SUMIFS('Daily Log'!$E$4:$E$734,'Daily Log'!$A$4:$A$734,"&gt;="&amp;D$10,'Daily Log'!$A$4:$A$734,"&lt;="&amp;D$11)</f>
        <v/>
      </c>
      <c r="E17" s="50">
        <f>SUMIFS('Daily Log'!$E$4:$E$734,'Daily Log'!$A$4:$A$734,"&gt;="&amp;E$10,'Daily Log'!$A$4:$A$734,"&lt;="&amp;E$11)</f>
        <v/>
      </c>
      <c r="F17" s="50">
        <f>SUMIFS('Daily Log'!$E$4:$E$734,'Daily Log'!$A$4:$A$734,"&gt;="&amp;F$10,'Daily Log'!$A$4:$A$734,"&lt;="&amp;F$11)</f>
        <v/>
      </c>
    </row>
    <row r="18">
      <c r="A18" s="75" t="inlineStr">
        <is>
          <t>Follow-Up DMs Sent</t>
        </is>
      </c>
      <c r="B18" s="50">
        <f>SUMIFS('Daily Log'!$F$4:$F$734,'Daily Log'!$A$4:$A$734,"&gt;="&amp;B$10,'Daily Log'!$A$4:$A$734,"&lt;="&amp;B$11)</f>
        <v/>
      </c>
      <c r="C18" s="50">
        <f>SUMIFS('Daily Log'!$F$4:$F$734,'Daily Log'!$A$4:$A$734,"&gt;="&amp;C$10,'Daily Log'!$A$4:$A$734,"&lt;="&amp;C$11)</f>
        <v/>
      </c>
      <c r="D18" s="50">
        <f>SUMIFS('Daily Log'!$F$4:$F$734,'Daily Log'!$A$4:$A$734,"&gt;="&amp;D$10,'Daily Log'!$A$4:$A$734,"&lt;="&amp;D$11)</f>
        <v/>
      </c>
      <c r="E18" s="50">
        <f>SUMIFS('Daily Log'!$F$4:$F$734,'Daily Log'!$A$4:$A$734,"&gt;="&amp;E$10,'Daily Log'!$A$4:$A$734,"&lt;="&amp;E$11)</f>
        <v/>
      </c>
      <c r="F18" s="50">
        <f>SUMIFS('Daily Log'!$F$4:$F$734,'Daily Log'!$A$4:$A$734,"&gt;="&amp;F$10,'Daily Log'!$A$4:$A$734,"&lt;="&amp;F$11)</f>
        <v/>
      </c>
    </row>
    <row r="19">
      <c r="A19" s="76" t="inlineStr">
        <is>
          <t>Total DMs Sent</t>
        </is>
      </c>
      <c r="B19" s="49">
        <f>B17+B18</f>
        <v/>
      </c>
      <c r="C19" s="49">
        <f>C17+C18</f>
        <v/>
      </c>
      <c r="D19" s="49">
        <f>D17+D18</f>
        <v/>
      </c>
      <c r="E19" s="49">
        <f>E17+E18</f>
        <v/>
      </c>
      <c r="F19" s="49">
        <f>F17+F18</f>
        <v/>
      </c>
    </row>
    <row r="20">
      <c r="A20" s="75" t="inlineStr">
        <is>
          <t>Replies</t>
        </is>
      </c>
      <c r="B20" s="50">
        <f>SUMIFS('Daily Log'!$G$4:$G$734,'Daily Log'!$A$4:$A$734,"&gt;="&amp;B$10,'Daily Log'!$A$4:$A$734,"&lt;="&amp;B$11)</f>
        <v/>
      </c>
      <c r="C20" s="50">
        <f>SUMIFS('Daily Log'!$G$4:$G$734,'Daily Log'!$A$4:$A$734,"&gt;="&amp;C$10,'Daily Log'!$A$4:$A$734,"&lt;="&amp;C$11)</f>
        <v/>
      </c>
      <c r="D20" s="50">
        <f>SUMIFS('Daily Log'!$G$4:$G$734,'Daily Log'!$A$4:$A$734,"&gt;="&amp;D$10,'Daily Log'!$A$4:$A$734,"&lt;="&amp;D$11)</f>
        <v/>
      </c>
      <c r="E20" s="50">
        <f>SUMIFS('Daily Log'!$G$4:$G$734,'Daily Log'!$A$4:$A$734,"&gt;="&amp;E$10,'Daily Log'!$A$4:$A$734,"&lt;="&amp;E$11)</f>
        <v/>
      </c>
      <c r="F20" s="50">
        <f>SUMIFS('Daily Log'!$G$4:$G$734,'Daily Log'!$A$4:$A$734,"&gt;="&amp;F$10,'Daily Log'!$A$4:$A$734,"&lt;="&amp;F$11)</f>
        <v/>
      </c>
    </row>
    <row r="22" ht="21" customHeight="1">
      <c r="A22" s="5" t="inlineStr">
        <is>
          <t>SALES — what it turned into</t>
        </is>
      </c>
    </row>
    <row r="23">
      <c r="A23" s="75" t="inlineStr">
        <is>
          <t>Calls Pitched</t>
        </is>
      </c>
      <c r="B23" s="50">
        <f>SUMIFS('Daily Log'!$H$4:$H$734,'Daily Log'!$A$4:$A$734,"&gt;="&amp;B$10,'Daily Log'!$A$4:$A$734,"&lt;="&amp;B$11)</f>
        <v/>
      </c>
      <c r="C23" s="50">
        <f>SUMIFS('Daily Log'!$H$4:$H$734,'Daily Log'!$A$4:$A$734,"&gt;="&amp;C$10,'Daily Log'!$A$4:$A$734,"&lt;="&amp;C$11)</f>
        <v/>
      </c>
      <c r="D23" s="50">
        <f>SUMIFS('Daily Log'!$H$4:$H$734,'Daily Log'!$A$4:$A$734,"&gt;="&amp;D$10,'Daily Log'!$A$4:$A$734,"&lt;="&amp;D$11)</f>
        <v/>
      </c>
      <c r="E23" s="50">
        <f>SUMIFS('Daily Log'!$H$4:$H$734,'Daily Log'!$A$4:$A$734,"&gt;="&amp;E$10,'Daily Log'!$A$4:$A$734,"&lt;="&amp;E$11)</f>
        <v/>
      </c>
      <c r="F23" s="50">
        <f>SUMIFS('Daily Log'!$H$4:$H$734,'Daily Log'!$A$4:$A$734,"&gt;="&amp;F$10,'Daily Log'!$A$4:$A$734,"&lt;="&amp;F$11)</f>
        <v/>
      </c>
    </row>
    <row r="24">
      <c r="A24" s="75" t="inlineStr">
        <is>
          <t>Calls Booked</t>
        </is>
      </c>
      <c r="B24" s="50">
        <f>SUMIFS('Daily Log'!$I$4:$I$734,'Daily Log'!$A$4:$A$734,"&gt;="&amp;B$10,'Daily Log'!$A$4:$A$734,"&lt;="&amp;B$11)</f>
        <v/>
      </c>
      <c r="C24" s="50">
        <f>SUMIFS('Daily Log'!$I$4:$I$734,'Daily Log'!$A$4:$A$734,"&gt;="&amp;C$10,'Daily Log'!$A$4:$A$734,"&lt;="&amp;C$11)</f>
        <v/>
      </c>
      <c r="D24" s="50">
        <f>SUMIFS('Daily Log'!$I$4:$I$734,'Daily Log'!$A$4:$A$734,"&gt;="&amp;D$10,'Daily Log'!$A$4:$A$734,"&lt;="&amp;D$11)</f>
        <v/>
      </c>
      <c r="E24" s="50">
        <f>SUMIFS('Daily Log'!$I$4:$I$734,'Daily Log'!$A$4:$A$734,"&gt;="&amp;E$10,'Daily Log'!$A$4:$A$734,"&lt;="&amp;E$11)</f>
        <v/>
      </c>
      <c r="F24" s="50">
        <f>SUMIFS('Daily Log'!$I$4:$I$734,'Daily Log'!$A$4:$A$734,"&gt;="&amp;F$10,'Daily Log'!$A$4:$A$734,"&lt;="&amp;F$11)</f>
        <v/>
      </c>
    </row>
    <row r="25">
      <c r="A25" s="75" t="inlineStr">
        <is>
          <t>Calls Showed</t>
        </is>
      </c>
      <c r="B25" s="50">
        <f>SUMIFS('Daily Log'!$J$4:$J$734,'Daily Log'!$A$4:$A$734,"&gt;="&amp;B$10,'Daily Log'!$A$4:$A$734,"&lt;="&amp;B$11)</f>
        <v/>
      </c>
      <c r="C25" s="50">
        <f>SUMIFS('Daily Log'!$J$4:$J$734,'Daily Log'!$A$4:$A$734,"&gt;="&amp;C$10,'Daily Log'!$A$4:$A$734,"&lt;="&amp;C$11)</f>
        <v/>
      </c>
      <c r="D25" s="50">
        <f>SUMIFS('Daily Log'!$J$4:$J$734,'Daily Log'!$A$4:$A$734,"&gt;="&amp;D$10,'Daily Log'!$A$4:$A$734,"&lt;="&amp;D$11)</f>
        <v/>
      </c>
      <c r="E25" s="50">
        <f>SUMIFS('Daily Log'!$J$4:$J$734,'Daily Log'!$A$4:$A$734,"&gt;="&amp;E$10,'Daily Log'!$A$4:$A$734,"&lt;="&amp;E$11)</f>
        <v/>
      </c>
      <c r="F25" s="50">
        <f>SUMIFS('Daily Log'!$J$4:$J$734,'Daily Log'!$A$4:$A$734,"&gt;="&amp;F$10,'Daily Log'!$A$4:$A$734,"&lt;="&amp;F$11)</f>
        <v/>
      </c>
    </row>
    <row r="26">
      <c r="A26" s="75" t="inlineStr">
        <is>
          <t>Closes</t>
        </is>
      </c>
      <c r="B26" s="50">
        <f>SUMIFS('Daily Log'!$K$4:$K$734,'Daily Log'!$A$4:$A$734,"&gt;="&amp;B$10,'Daily Log'!$A$4:$A$734,"&lt;="&amp;B$11)</f>
        <v/>
      </c>
      <c r="C26" s="50">
        <f>SUMIFS('Daily Log'!$K$4:$K$734,'Daily Log'!$A$4:$A$734,"&gt;="&amp;C$10,'Daily Log'!$A$4:$A$734,"&lt;="&amp;C$11)</f>
        <v/>
      </c>
      <c r="D26" s="50">
        <f>SUMIFS('Daily Log'!$K$4:$K$734,'Daily Log'!$A$4:$A$734,"&gt;="&amp;D$10,'Daily Log'!$A$4:$A$734,"&lt;="&amp;D$11)</f>
        <v/>
      </c>
      <c r="E26" s="50">
        <f>SUMIFS('Daily Log'!$K$4:$K$734,'Daily Log'!$A$4:$A$734,"&gt;="&amp;E$10,'Daily Log'!$A$4:$A$734,"&lt;="&amp;E$11)</f>
        <v/>
      </c>
      <c r="F26" s="50">
        <f>SUMIFS('Daily Log'!$K$4:$K$734,'Daily Log'!$A$4:$A$734,"&gt;="&amp;F$10,'Daily Log'!$A$4:$A$734,"&lt;="&amp;F$11)</f>
        <v/>
      </c>
    </row>
    <row r="27">
      <c r="A27" s="76" t="inlineStr">
        <is>
          <t>Cash Collected</t>
        </is>
      </c>
      <c r="B27" s="55">
        <f>SUMIFS('Daily Log'!$L$4:$L$734,'Daily Log'!$A$4:$A$734,"&gt;="&amp;B$10,'Daily Log'!$A$4:$A$734,"&lt;="&amp;B$11)</f>
        <v/>
      </c>
      <c r="C27" s="55">
        <f>SUMIFS('Daily Log'!$L$4:$L$734,'Daily Log'!$A$4:$A$734,"&gt;="&amp;C$10,'Daily Log'!$A$4:$A$734,"&lt;="&amp;C$11)</f>
        <v/>
      </c>
      <c r="D27" s="55">
        <f>SUMIFS('Daily Log'!$L$4:$L$734,'Daily Log'!$A$4:$A$734,"&gt;="&amp;D$10,'Daily Log'!$A$4:$A$734,"&lt;="&amp;D$11)</f>
        <v/>
      </c>
      <c r="E27" s="55">
        <f>SUMIFS('Daily Log'!$L$4:$L$734,'Daily Log'!$A$4:$A$734,"&gt;="&amp;E$10,'Daily Log'!$A$4:$A$734,"&lt;="&amp;E$11)</f>
        <v/>
      </c>
      <c r="F27" s="55">
        <f>SUMIFS('Daily Log'!$L$4:$L$734,'Daily Log'!$A$4:$A$734,"&gt;="&amp;F$10,'Daily Log'!$A$4:$A$734,"&lt;="&amp;F$11)</f>
        <v/>
      </c>
    </row>
    <row r="28">
      <c r="A28" s="75" t="inlineStr">
        <is>
          <t>Revenue Generated</t>
        </is>
      </c>
      <c r="B28" s="56">
        <f>SUMIFS('Daily Log'!$M$4:$M$734,'Daily Log'!$A$4:$A$734,"&gt;="&amp;B$10,'Daily Log'!$A$4:$A$734,"&lt;="&amp;B$11)</f>
        <v/>
      </c>
      <c r="C28" s="56">
        <f>SUMIFS('Daily Log'!$M$4:$M$734,'Daily Log'!$A$4:$A$734,"&gt;="&amp;C$10,'Daily Log'!$A$4:$A$734,"&lt;="&amp;C$11)</f>
        <v/>
      </c>
      <c r="D28" s="56">
        <f>SUMIFS('Daily Log'!$M$4:$M$734,'Daily Log'!$A$4:$A$734,"&gt;="&amp;D$10,'Daily Log'!$A$4:$A$734,"&lt;="&amp;D$11)</f>
        <v/>
      </c>
      <c r="E28" s="56">
        <f>SUMIFS('Daily Log'!$M$4:$M$734,'Daily Log'!$A$4:$A$734,"&gt;="&amp;E$10,'Daily Log'!$A$4:$A$734,"&lt;="&amp;E$11)</f>
        <v/>
      </c>
      <c r="F28" s="56">
        <f>SUMIFS('Daily Log'!$M$4:$M$734,'Daily Log'!$A$4:$A$734,"&gt;="&amp;F$10,'Daily Log'!$A$4:$A$734,"&lt;="&amp;F$11)</f>
        <v/>
      </c>
    </row>
    <row r="30" ht="21" customHeight="1">
      <c r="A30" s="5" t="inlineStr">
        <is>
          <t>CONVERSION RATES — where you're actually leaking</t>
        </is>
      </c>
      <c r="G30" s="77" t="inlineStr">
        <is>
          <t>Healthy
floor</t>
        </is>
      </c>
    </row>
    <row r="31">
      <c r="A31" s="75" t="inlineStr">
        <is>
          <t>Reply Rate (replies ÷ DMs sent)</t>
        </is>
      </c>
      <c r="B31" s="59">
        <f>IFERROR(B20/B19,"")</f>
        <v/>
      </c>
      <c r="C31" s="59">
        <f>IFERROR(C20/C19,"")</f>
        <v/>
      </c>
      <c r="D31" s="59">
        <f>IFERROR(D20/D19,"")</f>
        <v/>
      </c>
      <c r="E31" s="59">
        <f>IFERROR(E20/E19,"")</f>
        <v/>
      </c>
      <c r="F31" s="59">
        <f>IFERROR(F20/F19,"")</f>
        <v/>
      </c>
      <c r="G31" s="78">
        <f>'Cheat Sheet'!$C$11</f>
        <v/>
      </c>
    </row>
    <row r="32">
      <c r="A32" s="75" t="inlineStr">
        <is>
          <t>Pitch Rate (pitched ÷ replies)</t>
        </is>
      </c>
      <c r="B32" s="59">
        <f>IFERROR(B23/B20,"")</f>
        <v/>
      </c>
      <c r="C32" s="59">
        <f>IFERROR(C23/C20,"")</f>
        <v/>
      </c>
      <c r="D32" s="59">
        <f>IFERROR(D23/D20,"")</f>
        <v/>
      </c>
      <c r="E32" s="59">
        <f>IFERROR(E23/E20,"")</f>
        <v/>
      </c>
      <c r="F32" s="59">
        <f>IFERROR(F23/F20,"")</f>
        <v/>
      </c>
      <c r="G32" s="78">
        <f>'Cheat Sheet'!$C$12</f>
        <v/>
      </c>
    </row>
    <row r="33">
      <c r="A33" s="75" t="inlineStr">
        <is>
          <t>Book Rate (booked ÷ pitched)</t>
        </is>
      </c>
      <c r="B33" s="59">
        <f>IFERROR(B24/B23,"")</f>
        <v/>
      </c>
      <c r="C33" s="59">
        <f>IFERROR(C24/C23,"")</f>
        <v/>
      </c>
      <c r="D33" s="59">
        <f>IFERROR(D24/D23,"")</f>
        <v/>
      </c>
      <c r="E33" s="59">
        <f>IFERROR(E24/E23,"")</f>
        <v/>
      </c>
      <c r="F33" s="59">
        <f>IFERROR(F24/F23,"")</f>
        <v/>
      </c>
      <c r="G33" s="78">
        <f>'Cheat Sheet'!$C$13</f>
        <v/>
      </c>
    </row>
    <row r="34">
      <c r="A34" s="75" t="inlineStr">
        <is>
          <t>Show Rate (showed ÷ booked)</t>
        </is>
      </c>
      <c r="B34" s="59">
        <f>IFERROR(B25/B24,"")</f>
        <v/>
      </c>
      <c r="C34" s="59">
        <f>IFERROR(C25/C24,"")</f>
        <v/>
      </c>
      <c r="D34" s="59">
        <f>IFERROR(D25/D24,"")</f>
        <v/>
      </c>
      <c r="E34" s="59">
        <f>IFERROR(E25/E24,"")</f>
        <v/>
      </c>
      <c r="F34" s="59">
        <f>IFERROR(F25/F24,"")</f>
        <v/>
      </c>
      <c r="G34" s="78">
        <f>'Cheat Sheet'!$C$14</f>
        <v/>
      </c>
    </row>
    <row r="35">
      <c r="A35" s="75" t="inlineStr">
        <is>
          <t>Close Rate (closes ÷ showed)</t>
        </is>
      </c>
      <c r="B35" s="59">
        <f>IFERROR(B26/B25,"")</f>
        <v/>
      </c>
      <c r="C35" s="59">
        <f>IFERROR(C26/C25,"")</f>
        <v/>
      </c>
      <c r="D35" s="59">
        <f>IFERROR(D26/D25,"")</f>
        <v/>
      </c>
      <c r="E35" s="59">
        <f>IFERROR(E26/E25,"")</f>
        <v/>
      </c>
      <c r="F35" s="59">
        <f>IFERROR(F26/F25,"")</f>
        <v/>
      </c>
      <c r="G35" s="78">
        <f>'Cheat Sheet'!$C$15</f>
        <v/>
      </c>
    </row>
    <row r="36">
      <c r="A36" s="75" t="inlineStr">
        <is>
          <t>DMs per Call Booked</t>
        </is>
      </c>
      <c r="B36" s="79">
        <f>IFERROR(B19/B24,"")</f>
        <v/>
      </c>
      <c r="C36" s="79">
        <f>IFERROR(C19/C24,"")</f>
        <v/>
      </c>
      <c r="D36" s="79">
        <f>IFERROR(D19/D24,"")</f>
        <v/>
      </c>
      <c r="E36" s="79">
        <f>IFERROR(E19/E24,"")</f>
        <v/>
      </c>
      <c r="F36" s="79">
        <f>IFERROR(F19/F24,"")</f>
        <v/>
      </c>
    </row>
    <row r="37">
      <c r="A37" s="75" t="inlineStr">
        <is>
          <t>Cash per Call Booked</t>
        </is>
      </c>
      <c r="B37" s="56">
        <f>IFERROR(B27/B24,"")</f>
        <v/>
      </c>
      <c r="C37" s="56">
        <f>IFERROR(C27/C24,"")</f>
        <v/>
      </c>
      <c r="D37" s="56">
        <f>IFERROR(D27/D24,"")</f>
        <v/>
      </c>
      <c r="E37" s="56">
        <f>IFERROR(E27/E24,"")</f>
        <v/>
      </c>
      <c r="F37" s="56">
        <f>IFERROR(F27/F24,"")</f>
        <v/>
      </c>
    </row>
    <row r="38">
      <c r="A38" s="76" t="inlineStr">
        <is>
          <t>Cash per 100 DMs Sent</t>
        </is>
      </c>
      <c r="B38" s="55">
        <f>IFERROR(B27/B19*100,"")</f>
        <v/>
      </c>
      <c r="C38" s="55">
        <f>IFERROR(C27/C19*100,"")</f>
        <v/>
      </c>
      <c r="D38" s="55">
        <f>IFERROR(D27/D19*100,"")</f>
        <v/>
      </c>
      <c r="E38" s="55">
        <f>IFERROR(E27/E19*100,"")</f>
        <v/>
      </c>
      <c r="F38" s="55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5" t="inlineStr">
        <is>
          <t>Avg Reels / day</t>
        </is>
      </c>
      <c r="B41" s="79">
        <f>IFERROR(B15/B14,"")</f>
        <v/>
      </c>
      <c r="C41" s="79">
        <f>IFERROR(C15/C14,"")</f>
        <v/>
      </c>
      <c r="D41" s="79">
        <f>IFERROR(D15/D14,"")</f>
        <v/>
      </c>
      <c r="E41" s="79">
        <f>IFERROR(E15/E14,"")</f>
        <v/>
      </c>
      <c r="F41" s="79">
        <f>IFERROR(F15/F14,"")</f>
        <v/>
      </c>
      <c r="G41" s="80">
        <f>Setup!$C$12</f>
        <v/>
      </c>
    </row>
    <row r="42">
      <c r="A42" s="75" t="inlineStr">
        <is>
          <t>Avg Stories / day</t>
        </is>
      </c>
      <c r="B42" s="79">
        <f>IFERROR(B16/B14,"")</f>
        <v/>
      </c>
      <c r="C42" s="79">
        <f>IFERROR(C16/C14,"")</f>
        <v/>
      </c>
      <c r="D42" s="79">
        <f>IFERROR(D16/D14,"")</f>
        <v/>
      </c>
      <c r="E42" s="79">
        <f>IFERROR(E16/E14,"")</f>
        <v/>
      </c>
      <c r="F42" s="79">
        <f>IFERROR(F16/F14,"")</f>
        <v/>
      </c>
      <c r="G42" s="80">
        <f>Setup!$C$13</f>
        <v/>
      </c>
    </row>
    <row r="43">
      <c r="A43" s="75" t="inlineStr">
        <is>
          <t>Avg Opener DMs / day</t>
        </is>
      </c>
      <c r="B43" s="79">
        <f>IFERROR(B17/B14,"")</f>
        <v/>
      </c>
      <c r="C43" s="79">
        <f>IFERROR(C17/C14,"")</f>
        <v/>
      </c>
      <c r="D43" s="79">
        <f>IFERROR(D17/D14,"")</f>
        <v/>
      </c>
      <c r="E43" s="79">
        <f>IFERROR(E17/E14,"")</f>
        <v/>
      </c>
      <c r="F43" s="79">
        <f>IFERROR(F17/F14,"")</f>
        <v/>
      </c>
      <c r="G43" s="80">
        <f>Setup!$C$14</f>
        <v/>
      </c>
    </row>
    <row r="44">
      <c r="A44" s="75" t="inlineStr">
        <is>
          <t>Avg Follow-Up DMs / day</t>
        </is>
      </c>
      <c r="B44" s="79">
        <f>IFERROR(B18/B14,"")</f>
        <v/>
      </c>
      <c r="C44" s="79">
        <f>IFERROR(C18/C14,"")</f>
        <v/>
      </c>
      <c r="D44" s="79">
        <f>IFERROR(D18/D14,"")</f>
        <v/>
      </c>
      <c r="E44" s="79">
        <f>IFERROR(E18/E14,"")</f>
        <v/>
      </c>
      <c r="F44" s="79">
        <f>IFERROR(F18/F14,"")</f>
        <v/>
      </c>
      <c r="G44" s="80">
        <f>Setup!$C$15</f>
        <v/>
      </c>
    </row>
    <row r="45">
      <c r="A45" s="75" t="inlineStr">
        <is>
          <t>Perfect Days (all 4 standards hit)</t>
        </is>
      </c>
      <c r="B45" s="50">
        <f>COUNTIFS('Daily Log'!$A$4:$A$734,"&gt;="&amp;B$10,'Daily Log'!$A$4:$A$734,"&lt;="&amp;B$11,'Daily Log'!$O$4:$O$734,4)</f>
        <v/>
      </c>
      <c r="C45" s="50">
        <f>COUNTIFS('Daily Log'!$A$4:$A$734,"&gt;="&amp;C$10,'Daily Log'!$A$4:$A$734,"&lt;="&amp;C$11,'Daily Log'!$O$4:$O$734,4)</f>
        <v/>
      </c>
      <c r="D45" s="50">
        <f>COUNTIFS('Daily Log'!$A$4:$A$734,"&gt;="&amp;D$10,'Daily Log'!$A$4:$A$734,"&lt;="&amp;D$11,'Daily Log'!$O$4:$O$734,4)</f>
        <v/>
      </c>
      <c r="E45" s="50">
        <f>COUNTIFS('Daily Log'!$A$4:$A$734,"&gt;="&amp;E$10,'Daily Log'!$A$4:$A$734,"&lt;="&amp;E$11,'Daily Log'!$O$4:$O$734,4)</f>
        <v/>
      </c>
      <c r="F45" s="50">
        <f>COUNTIFS('Daily Log'!$A$4:$A$734,"&gt;="&amp;F$10,'Daily Log'!$A$4:$A$734,"&lt;="&amp;F$11,'Daily Log'!$O$4:$O$734,4)</f>
        <v/>
      </c>
    </row>
    <row r="46">
      <c r="A46" s="76" t="inlineStr">
        <is>
          <t>Standards Hit Rate</t>
        </is>
      </c>
      <c r="B46" s="58">
        <f>IFERROR(B45/B14,"")</f>
        <v/>
      </c>
      <c r="C46" s="58">
        <f>IFERROR(C45/C14,"")</f>
        <v/>
      </c>
      <c r="D46" s="58">
        <f>IFERROR(D45/D14,"")</f>
        <v/>
      </c>
      <c r="E46" s="58">
        <f>IFERROR(E45/E14,"")</f>
        <v/>
      </c>
      <c r="F46" s="58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8">
    <mergeCell ref="F4:G4"/>
    <mergeCell ref="A22:K22"/>
    <mergeCell ref="J4:K4"/>
    <mergeCell ref="A30:F30"/>
    <mergeCell ref="A48:K48"/>
    <mergeCell ref="A7:E7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A7:E7">
    <cfRule type="expression" priority="1" dxfId="2">
      <formula>$G$7&gt;3</formula>
    </cfRule>
    <cfRule type="expression" priority="2" dxfId="0">
      <formula>AND($G$7&gt;=0,$G$7&lt;=1)</formula>
    </cfRule>
  </conditionalFormatting>
  <conditionalFormatting sqref="B31:F35">
    <cfRule type="expression" priority="3" dxfId="0">
      <formula>AND(B31&lt;&gt;"",B31&gt;=$G31)</formula>
    </cfRule>
    <cfRule type="expression" priority="4" dxfId="2">
      <formula>AND(B31&lt;&gt;"",B31&lt;$G31)</formula>
    </cfRule>
  </conditionalFormatting>
  <conditionalFormatting sqref="B41:F44">
    <cfRule type="expression" priority="5" dxfId="0">
      <formula>AND(B41&lt;&gt;"",B41&gt;=$G41)</formula>
    </cfRule>
    <cfRule type="expression" priority="6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124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81" t="inlineStr">
        <is>
          <t>1.  Screenshot your profile — bio, follower count and the top of your grid.</t>
        </is>
      </c>
    </row>
    <row r="6">
      <c r="A6" s="81" t="inlineStr">
        <is>
          <t>2.  Screenshot Professional Dashboard → Insights (last 30 days).</t>
        </is>
      </c>
    </row>
    <row r="7">
      <c r="A7" s="81" t="inlineStr">
        <is>
          <t>3.  Click a box below, then Insert → Image → Image in cell, and upload.</t>
        </is>
      </c>
    </row>
    <row r="9">
      <c r="A9" s="82" t="inlineStr">
        <is>
          <t>PROFILE SCREENSHOT</t>
        </is>
      </c>
      <c r="G9" s="82" t="inlineStr">
        <is>
          <t>INSIGHTS SCREENSHOT</t>
        </is>
      </c>
    </row>
    <row r="10">
      <c r="A10" s="83" t="inlineStr">
        <is>
          <t>drop image here</t>
        </is>
      </c>
      <c r="B10" s="84" t="n"/>
      <c r="C10" s="84" t="n"/>
      <c r="D10" s="84" t="n"/>
      <c r="E10" s="84" t="n"/>
      <c r="G10" s="83" t="inlineStr">
        <is>
          <t>drop image here</t>
        </is>
      </c>
      <c r="H10" s="84" t="n"/>
      <c r="I10" s="84" t="n"/>
      <c r="J10" s="84" t="n"/>
      <c r="K10" s="84" t="n"/>
    </row>
    <row r="11">
      <c r="A11" s="84" t="n"/>
      <c r="B11" s="84" t="n"/>
      <c r="C11" s="84" t="n"/>
      <c r="D11" s="84" t="n"/>
      <c r="E11" s="84" t="n"/>
      <c r="G11" s="84" t="n"/>
      <c r="H11" s="84" t="n"/>
      <c r="I11" s="84" t="n"/>
      <c r="J11" s="84" t="n"/>
      <c r="K11" s="84" t="n"/>
    </row>
    <row r="12">
      <c r="A12" s="84" t="n"/>
      <c r="B12" s="84" t="n"/>
      <c r="C12" s="84" t="n"/>
      <c r="D12" s="84" t="n"/>
      <c r="E12" s="84" t="n"/>
      <c r="G12" s="84" t="n"/>
      <c r="H12" s="84" t="n"/>
      <c r="I12" s="84" t="n"/>
      <c r="J12" s="84" t="n"/>
      <c r="K12" s="84" t="n"/>
    </row>
    <row r="13">
      <c r="A13" s="84" t="n"/>
      <c r="B13" s="84" t="n"/>
      <c r="C13" s="84" t="n"/>
      <c r="D13" s="84" t="n"/>
      <c r="E13" s="84" t="n"/>
      <c r="G13" s="84" t="n"/>
      <c r="H13" s="84" t="n"/>
      <c r="I13" s="84" t="n"/>
      <c r="J13" s="84" t="n"/>
      <c r="K13" s="84" t="n"/>
    </row>
    <row r="14">
      <c r="A14" s="84" t="n"/>
      <c r="B14" s="84" t="n"/>
      <c r="C14" s="84" t="n"/>
      <c r="D14" s="84" t="n"/>
      <c r="E14" s="84" t="n"/>
      <c r="G14" s="84" t="n"/>
      <c r="H14" s="84" t="n"/>
      <c r="I14" s="84" t="n"/>
      <c r="J14" s="84" t="n"/>
      <c r="K14" s="84" t="n"/>
    </row>
    <row r="15">
      <c r="A15" s="84" t="n"/>
      <c r="B15" s="84" t="n"/>
      <c r="C15" s="84" t="n"/>
      <c r="D15" s="84" t="n"/>
      <c r="E15" s="84" t="n"/>
      <c r="G15" s="84" t="n"/>
      <c r="H15" s="84" t="n"/>
      <c r="I15" s="84" t="n"/>
      <c r="J15" s="84" t="n"/>
      <c r="K15" s="84" t="n"/>
    </row>
    <row r="16">
      <c r="A16" s="84" t="n"/>
      <c r="B16" s="84" t="n"/>
      <c r="C16" s="84" t="n"/>
      <c r="D16" s="84" t="n"/>
      <c r="E16" s="84" t="n"/>
      <c r="G16" s="84" t="n"/>
      <c r="H16" s="84" t="n"/>
      <c r="I16" s="84" t="n"/>
      <c r="J16" s="84" t="n"/>
      <c r="K16" s="84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85">
        <f>Setup!$C$9</f>
        <v/>
      </c>
      <c r="B20" s="38" t="n"/>
      <c r="C20" s="86" t="n"/>
      <c r="D20" s="59" t="n"/>
      <c r="E20" s="38" t="n"/>
      <c r="F20" s="38" t="n"/>
      <c r="G20" s="38" t="n"/>
      <c r="H20" s="38" t="n"/>
      <c r="I20" s="38" t="n"/>
      <c r="J20" s="50">
        <f>IF($A20&gt;TODAY(),"",SUMIFS('Daily Log'!$C$4:$C$734,'Daily Log'!$A$4:$A$734,"&gt;="&amp;$A20,'Daily Log'!$A$4:$A$734,"&lt;="&amp;$A20+6))</f>
        <v/>
      </c>
      <c r="K20" s="50">
        <f>IF($A20&gt;TODAY(),"",SUMIFS('Daily Log'!$D$4:$D$734,'Daily Log'!$A$4:$A$734,"&gt;="&amp;$A20,'Daily Log'!$A$4:$A$734,"&lt;="&amp;$A20+6))</f>
        <v/>
      </c>
      <c r="L20" s="79">
        <f>IFERROR(E20/J20,"")</f>
        <v/>
      </c>
      <c r="M20" s="79">
        <f>IFERROR(H20/E20*1000,"")</f>
        <v/>
      </c>
      <c r="N20" s="87" t="n"/>
    </row>
    <row r="21">
      <c r="A21" s="85">
        <f>A20+7</f>
        <v/>
      </c>
      <c r="B21" s="38" t="n"/>
      <c r="C21" s="86">
        <f>IF(OR(B21="",B20=""),"",B21-B20)</f>
        <v/>
      </c>
      <c r="D21" s="59">
        <f>IF(OR(B21="",B20=""),"",IFERROR((B21-B20)/B20,""))</f>
        <v/>
      </c>
      <c r="E21" s="38" t="n"/>
      <c r="F21" s="38" t="n"/>
      <c r="G21" s="38" t="n"/>
      <c r="H21" s="38" t="n"/>
      <c r="I21" s="38" t="n"/>
      <c r="J21" s="50">
        <f>IF($A21&gt;TODAY(),"",SUMIFS('Daily Log'!$C$4:$C$734,'Daily Log'!$A$4:$A$734,"&gt;="&amp;$A21,'Daily Log'!$A$4:$A$734,"&lt;="&amp;$A21+6))</f>
        <v/>
      </c>
      <c r="K21" s="50">
        <f>IF($A21&gt;TODAY(),"",SUMIFS('Daily Log'!$D$4:$D$734,'Daily Log'!$A$4:$A$734,"&gt;="&amp;$A21,'Daily Log'!$A$4:$A$734,"&lt;="&amp;$A21+6))</f>
        <v/>
      </c>
      <c r="L21" s="79">
        <f>IFERROR(E21/J21,"")</f>
        <v/>
      </c>
      <c r="M21" s="79">
        <f>IFERROR(H21/E21*1000,"")</f>
        <v/>
      </c>
      <c r="N21" s="87" t="n"/>
    </row>
    <row r="22">
      <c r="A22" s="85">
        <f>A21+7</f>
        <v/>
      </c>
      <c r="B22" s="38" t="n"/>
      <c r="C22" s="86">
        <f>IF(OR(B22="",B21=""),"",B22-B21)</f>
        <v/>
      </c>
      <c r="D22" s="59">
        <f>IF(OR(B22="",B21=""),"",IFERROR((B22-B21)/B21,""))</f>
        <v/>
      </c>
      <c r="E22" s="38" t="n"/>
      <c r="F22" s="38" t="n"/>
      <c r="G22" s="38" t="n"/>
      <c r="H22" s="38" t="n"/>
      <c r="I22" s="38" t="n"/>
      <c r="J22" s="50">
        <f>IF($A22&gt;TODAY(),"",SUMIFS('Daily Log'!$C$4:$C$734,'Daily Log'!$A$4:$A$734,"&gt;="&amp;$A22,'Daily Log'!$A$4:$A$734,"&lt;="&amp;$A22+6))</f>
        <v/>
      </c>
      <c r="K22" s="50">
        <f>IF($A22&gt;TODAY(),"",SUMIFS('Daily Log'!$D$4:$D$734,'Daily Log'!$A$4:$A$734,"&gt;="&amp;$A22,'Daily Log'!$A$4:$A$734,"&lt;="&amp;$A22+6))</f>
        <v/>
      </c>
      <c r="L22" s="79">
        <f>IFERROR(E22/J22,"")</f>
        <v/>
      </c>
      <c r="M22" s="79">
        <f>IFERROR(H22/E22*1000,"")</f>
        <v/>
      </c>
      <c r="N22" s="87" t="n"/>
    </row>
    <row r="23">
      <c r="A23" s="85">
        <f>A22+7</f>
        <v/>
      </c>
      <c r="B23" s="38" t="n"/>
      <c r="C23" s="86">
        <f>IF(OR(B23="",B22=""),"",B23-B22)</f>
        <v/>
      </c>
      <c r="D23" s="59">
        <f>IF(OR(B23="",B22=""),"",IFERROR((B23-B22)/B22,""))</f>
        <v/>
      </c>
      <c r="E23" s="38" t="n"/>
      <c r="F23" s="38" t="n"/>
      <c r="G23" s="38" t="n"/>
      <c r="H23" s="38" t="n"/>
      <c r="I23" s="38" t="n"/>
      <c r="J23" s="50">
        <f>IF($A23&gt;TODAY(),"",SUMIFS('Daily Log'!$C$4:$C$734,'Daily Log'!$A$4:$A$734,"&gt;="&amp;$A23,'Daily Log'!$A$4:$A$734,"&lt;="&amp;$A23+6))</f>
        <v/>
      </c>
      <c r="K23" s="50">
        <f>IF($A23&gt;TODAY(),"",SUMIFS('Daily Log'!$D$4:$D$734,'Daily Log'!$A$4:$A$734,"&gt;="&amp;$A23,'Daily Log'!$A$4:$A$734,"&lt;="&amp;$A23+6))</f>
        <v/>
      </c>
      <c r="L23" s="79">
        <f>IFERROR(E23/J23,"")</f>
        <v/>
      </c>
      <c r="M23" s="79">
        <f>IFERROR(H23/E23*1000,"")</f>
        <v/>
      </c>
      <c r="N23" s="87" t="n"/>
    </row>
    <row r="24">
      <c r="A24" s="85">
        <f>A23+7</f>
        <v/>
      </c>
      <c r="B24" s="38" t="n"/>
      <c r="C24" s="86">
        <f>IF(OR(B24="",B23=""),"",B24-B23)</f>
        <v/>
      </c>
      <c r="D24" s="59">
        <f>IF(OR(B24="",B23=""),"",IFERROR((B24-B23)/B23,""))</f>
        <v/>
      </c>
      <c r="E24" s="38" t="n"/>
      <c r="F24" s="38" t="n"/>
      <c r="G24" s="38" t="n"/>
      <c r="H24" s="38" t="n"/>
      <c r="I24" s="38" t="n"/>
      <c r="J24" s="50">
        <f>IF($A24&gt;TODAY(),"",SUMIFS('Daily Log'!$C$4:$C$734,'Daily Log'!$A$4:$A$734,"&gt;="&amp;$A24,'Daily Log'!$A$4:$A$734,"&lt;="&amp;$A24+6))</f>
        <v/>
      </c>
      <c r="K24" s="50">
        <f>IF($A24&gt;TODAY(),"",SUMIFS('Daily Log'!$D$4:$D$734,'Daily Log'!$A$4:$A$734,"&gt;="&amp;$A24,'Daily Log'!$A$4:$A$734,"&lt;="&amp;$A24+6))</f>
        <v/>
      </c>
      <c r="L24" s="79">
        <f>IFERROR(E24/J24,"")</f>
        <v/>
      </c>
      <c r="M24" s="79">
        <f>IFERROR(H24/E24*1000,"")</f>
        <v/>
      </c>
      <c r="N24" s="87" t="n"/>
    </row>
    <row r="25">
      <c r="A25" s="85">
        <f>A24+7</f>
        <v/>
      </c>
      <c r="B25" s="38" t="n"/>
      <c r="C25" s="86">
        <f>IF(OR(B25="",B24=""),"",B25-B24)</f>
        <v/>
      </c>
      <c r="D25" s="59">
        <f>IF(OR(B25="",B24=""),"",IFERROR((B25-B24)/B24,""))</f>
        <v/>
      </c>
      <c r="E25" s="38" t="n"/>
      <c r="F25" s="38" t="n"/>
      <c r="G25" s="38" t="n"/>
      <c r="H25" s="38" t="n"/>
      <c r="I25" s="38" t="n"/>
      <c r="J25" s="50">
        <f>IF($A25&gt;TODAY(),"",SUMIFS('Daily Log'!$C$4:$C$734,'Daily Log'!$A$4:$A$734,"&gt;="&amp;$A25,'Daily Log'!$A$4:$A$734,"&lt;="&amp;$A25+6))</f>
        <v/>
      </c>
      <c r="K25" s="50">
        <f>IF($A25&gt;TODAY(),"",SUMIFS('Daily Log'!$D$4:$D$734,'Daily Log'!$A$4:$A$734,"&gt;="&amp;$A25,'Daily Log'!$A$4:$A$734,"&lt;="&amp;$A25+6))</f>
        <v/>
      </c>
      <c r="L25" s="79">
        <f>IFERROR(E25/J25,"")</f>
        <v/>
      </c>
      <c r="M25" s="79">
        <f>IFERROR(H25/E25*1000,"")</f>
        <v/>
      </c>
      <c r="N25" s="87" t="n"/>
    </row>
    <row r="26">
      <c r="A26" s="85">
        <f>A25+7</f>
        <v/>
      </c>
      <c r="B26" s="38" t="n"/>
      <c r="C26" s="86">
        <f>IF(OR(B26="",B25=""),"",B26-B25)</f>
        <v/>
      </c>
      <c r="D26" s="59">
        <f>IF(OR(B26="",B25=""),"",IFERROR((B26-B25)/B25,""))</f>
        <v/>
      </c>
      <c r="E26" s="38" t="n"/>
      <c r="F26" s="38" t="n"/>
      <c r="G26" s="38" t="n"/>
      <c r="H26" s="38" t="n"/>
      <c r="I26" s="38" t="n"/>
      <c r="J26" s="50">
        <f>IF($A26&gt;TODAY(),"",SUMIFS('Daily Log'!$C$4:$C$734,'Daily Log'!$A$4:$A$734,"&gt;="&amp;$A26,'Daily Log'!$A$4:$A$734,"&lt;="&amp;$A26+6))</f>
        <v/>
      </c>
      <c r="K26" s="50">
        <f>IF($A26&gt;TODAY(),"",SUMIFS('Daily Log'!$D$4:$D$734,'Daily Log'!$A$4:$A$734,"&gt;="&amp;$A26,'Daily Log'!$A$4:$A$734,"&lt;="&amp;$A26+6))</f>
        <v/>
      </c>
      <c r="L26" s="79">
        <f>IFERROR(E26/J26,"")</f>
        <v/>
      </c>
      <c r="M26" s="79">
        <f>IFERROR(H26/E26*1000,"")</f>
        <v/>
      </c>
      <c r="N26" s="87" t="n"/>
    </row>
    <row r="27">
      <c r="A27" s="85">
        <f>A26+7</f>
        <v/>
      </c>
      <c r="B27" s="38" t="n"/>
      <c r="C27" s="86">
        <f>IF(OR(B27="",B26=""),"",B27-B26)</f>
        <v/>
      </c>
      <c r="D27" s="59">
        <f>IF(OR(B27="",B26=""),"",IFERROR((B27-B26)/B26,""))</f>
        <v/>
      </c>
      <c r="E27" s="38" t="n"/>
      <c r="F27" s="38" t="n"/>
      <c r="G27" s="38" t="n"/>
      <c r="H27" s="38" t="n"/>
      <c r="I27" s="38" t="n"/>
      <c r="J27" s="50">
        <f>IF($A27&gt;TODAY(),"",SUMIFS('Daily Log'!$C$4:$C$734,'Daily Log'!$A$4:$A$734,"&gt;="&amp;$A27,'Daily Log'!$A$4:$A$734,"&lt;="&amp;$A27+6))</f>
        <v/>
      </c>
      <c r="K27" s="50">
        <f>IF($A27&gt;TODAY(),"",SUMIFS('Daily Log'!$D$4:$D$734,'Daily Log'!$A$4:$A$734,"&gt;="&amp;$A27,'Daily Log'!$A$4:$A$734,"&lt;="&amp;$A27+6))</f>
        <v/>
      </c>
      <c r="L27" s="79">
        <f>IFERROR(E27/J27,"")</f>
        <v/>
      </c>
      <c r="M27" s="79">
        <f>IFERROR(H27/E27*1000,"")</f>
        <v/>
      </c>
      <c r="N27" s="87" t="n"/>
    </row>
    <row r="28">
      <c r="A28" s="85">
        <f>A27+7</f>
        <v/>
      </c>
      <c r="B28" s="38" t="n"/>
      <c r="C28" s="86">
        <f>IF(OR(B28="",B27=""),"",B28-B27)</f>
        <v/>
      </c>
      <c r="D28" s="59">
        <f>IF(OR(B28="",B27=""),"",IFERROR((B28-B27)/B27,""))</f>
        <v/>
      </c>
      <c r="E28" s="38" t="n"/>
      <c r="F28" s="38" t="n"/>
      <c r="G28" s="38" t="n"/>
      <c r="H28" s="38" t="n"/>
      <c r="I28" s="38" t="n"/>
      <c r="J28" s="50">
        <f>IF($A28&gt;TODAY(),"",SUMIFS('Daily Log'!$C$4:$C$734,'Daily Log'!$A$4:$A$734,"&gt;="&amp;$A28,'Daily Log'!$A$4:$A$734,"&lt;="&amp;$A28+6))</f>
        <v/>
      </c>
      <c r="K28" s="50">
        <f>IF($A28&gt;TODAY(),"",SUMIFS('Daily Log'!$D$4:$D$734,'Daily Log'!$A$4:$A$734,"&gt;="&amp;$A28,'Daily Log'!$A$4:$A$734,"&lt;="&amp;$A28+6))</f>
        <v/>
      </c>
      <c r="L28" s="79">
        <f>IFERROR(E28/J28,"")</f>
        <v/>
      </c>
      <c r="M28" s="79">
        <f>IFERROR(H28/E28*1000,"")</f>
        <v/>
      </c>
      <c r="N28" s="87" t="n"/>
    </row>
    <row r="29">
      <c r="A29" s="85">
        <f>A28+7</f>
        <v/>
      </c>
      <c r="B29" s="38" t="n"/>
      <c r="C29" s="86">
        <f>IF(OR(B29="",B28=""),"",B29-B28)</f>
        <v/>
      </c>
      <c r="D29" s="59">
        <f>IF(OR(B29="",B28=""),"",IFERROR((B29-B28)/B28,""))</f>
        <v/>
      </c>
      <c r="E29" s="38" t="n"/>
      <c r="F29" s="38" t="n"/>
      <c r="G29" s="38" t="n"/>
      <c r="H29" s="38" t="n"/>
      <c r="I29" s="38" t="n"/>
      <c r="J29" s="50">
        <f>IF($A29&gt;TODAY(),"",SUMIFS('Daily Log'!$C$4:$C$734,'Daily Log'!$A$4:$A$734,"&gt;="&amp;$A29,'Daily Log'!$A$4:$A$734,"&lt;="&amp;$A29+6))</f>
        <v/>
      </c>
      <c r="K29" s="50">
        <f>IF($A29&gt;TODAY(),"",SUMIFS('Daily Log'!$D$4:$D$734,'Daily Log'!$A$4:$A$734,"&gt;="&amp;$A29,'Daily Log'!$A$4:$A$734,"&lt;="&amp;$A29+6))</f>
        <v/>
      </c>
      <c r="L29" s="79">
        <f>IFERROR(E29/J29,"")</f>
        <v/>
      </c>
      <c r="M29" s="79">
        <f>IFERROR(H29/E29*1000,"")</f>
        <v/>
      </c>
      <c r="N29" s="87" t="n"/>
    </row>
    <row r="30">
      <c r="A30" s="85">
        <f>A29+7</f>
        <v/>
      </c>
      <c r="B30" s="38" t="n"/>
      <c r="C30" s="86">
        <f>IF(OR(B30="",B29=""),"",B30-B29)</f>
        <v/>
      </c>
      <c r="D30" s="59">
        <f>IF(OR(B30="",B29=""),"",IFERROR((B30-B29)/B29,""))</f>
        <v/>
      </c>
      <c r="E30" s="38" t="n"/>
      <c r="F30" s="38" t="n"/>
      <c r="G30" s="38" t="n"/>
      <c r="H30" s="38" t="n"/>
      <c r="I30" s="38" t="n"/>
      <c r="J30" s="50">
        <f>IF($A30&gt;TODAY(),"",SUMIFS('Daily Log'!$C$4:$C$734,'Daily Log'!$A$4:$A$734,"&gt;="&amp;$A30,'Daily Log'!$A$4:$A$734,"&lt;="&amp;$A30+6))</f>
        <v/>
      </c>
      <c r="K30" s="50">
        <f>IF($A30&gt;TODAY(),"",SUMIFS('Daily Log'!$D$4:$D$734,'Daily Log'!$A$4:$A$734,"&gt;="&amp;$A30,'Daily Log'!$A$4:$A$734,"&lt;="&amp;$A30+6))</f>
        <v/>
      </c>
      <c r="L30" s="79">
        <f>IFERROR(E30/J30,"")</f>
        <v/>
      </c>
      <c r="M30" s="79">
        <f>IFERROR(H30/E30*1000,"")</f>
        <v/>
      </c>
      <c r="N30" s="87" t="n"/>
    </row>
    <row r="31">
      <c r="A31" s="85">
        <f>A30+7</f>
        <v/>
      </c>
      <c r="B31" s="38" t="n"/>
      <c r="C31" s="86">
        <f>IF(OR(B31="",B30=""),"",B31-B30)</f>
        <v/>
      </c>
      <c r="D31" s="59">
        <f>IF(OR(B31="",B30=""),"",IFERROR((B31-B30)/B30,""))</f>
        <v/>
      </c>
      <c r="E31" s="38" t="n"/>
      <c r="F31" s="38" t="n"/>
      <c r="G31" s="38" t="n"/>
      <c r="H31" s="38" t="n"/>
      <c r="I31" s="38" t="n"/>
      <c r="J31" s="50">
        <f>IF($A31&gt;TODAY(),"",SUMIFS('Daily Log'!$C$4:$C$734,'Daily Log'!$A$4:$A$734,"&gt;="&amp;$A31,'Daily Log'!$A$4:$A$734,"&lt;="&amp;$A31+6))</f>
        <v/>
      </c>
      <c r="K31" s="50">
        <f>IF($A31&gt;TODAY(),"",SUMIFS('Daily Log'!$D$4:$D$734,'Daily Log'!$A$4:$A$734,"&gt;="&amp;$A31,'Daily Log'!$A$4:$A$734,"&lt;="&amp;$A31+6))</f>
        <v/>
      </c>
      <c r="L31" s="79">
        <f>IFERROR(E31/J31,"")</f>
        <v/>
      </c>
      <c r="M31" s="79">
        <f>IFERROR(H31/E31*1000,"")</f>
        <v/>
      </c>
      <c r="N31" s="87" t="n"/>
    </row>
    <row r="32">
      <c r="A32" s="85">
        <f>A31+7</f>
        <v/>
      </c>
      <c r="B32" s="38" t="n"/>
      <c r="C32" s="86">
        <f>IF(OR(B32="",B31=""),"",B32-B31)</f>
        <v/>
      </c>
      <c r="D32" s="59">
        <f>IF(OR(B32="",B31=""),"",IFERROR((B32-B31)/B31,""))</f>
        <v/>
      </c>
      <c r="E32" s="38" t="n"/>
      <c r="F32" s="38" t="n"/>
      <c r="G32" s="38" t="n"/>
      <c r="H32" s="38" t="n"/>
      <c r="I32" s="38" t="n"/>
      <c r="J32" s="50">
        <f>IF($A32&gt;TODAY(),"",SUMIFS('Daily Log'!$C$4:$C$734,'Daily Log'!$A$4:$A$734,"&gt;="&amp;$A32,'Daily Log'!$A$4:$A$734,"&lt;="&amp;$A32+6))</f>
        <v/>
      </c>
      <c r="K32" s="50">
        <f>IF($A32&gt;TODAY(),"",SUMIFS('Daily Log'!$D$4:$D$734,'Daily Log'!$A$4:$A$734,"&gt;="&amp;$A32,'Daily Log'!$A$4:$A$734,"&lt;="&amp;$A32+6))</f>
        <v/>
      </c>
      <c r="L32" s="79">
        <f>IFERROR(E32/J32,"")</f>
        <v/>
      </c>
      <c r="M32" s="79">
        <f>IFERROR(H32/E32*1000,"")</f>
        <v/>
      </c>
      <c r="N32" s="87" t="n"/>
    </row>
    <row r="33">
      <c r="A33" s="85">
        <f>A32+7</f>
        <v/>
      </c>
      <c r="B33" s="38" t="n"/>
      <c r="C33" s="86">
        <f>IF(OR(B33="",B32=""),"",B33-B32)</f>
        <v/>
      </c>
      <c r="D33" s="59">
        <f>IF(OR(B33="",B32=""),"",IFERROR((B33-B32)/B32,""))</f>
        <v/>
      </c>
      <c r="E33" s="38" t="n"/>
      <c r="F33" s="38" t="n"/>
      <c r="G33" s="38" t="n"/>
      <c r="H33" s="38" t="n"/>
      <c r="I33" s="38" t="n"/>
      <c r="J33" s="50">
        <f>IF($A33&gt;TODAY(),"",SUMIFS('Daily Log'!$C$4:$C$734,'Daily Log'!$A$4:$A$734,"&gt;="&amp;$A33,'Daily Log'!$A$4:$A$734,"&lt;="&amp;$A33+6))</f>
        <v/>
      </c>
      <c r="K33" s="50">
        <f>IF($A33&gt;TODAY(),"",SUMIFS('Daily Log'!$D$4:$D$734,'Daily Log'!$A$4:$A$734,"&gt;="&amp;$A33,'Daily Log'!$A$4:$A$734,"&lt;="&amp;$A33+6))</f>
        <v/>
      </c>
      <c r="L33" s="79">
        <f>IFERROR(E33/J33,"")</f>
        <v/>
      </c>
      <c r="M33" s="79">
        <f>IFERROR(H33/E33*1000,"")</f>
        <v/>
      </c>
      <c r="N33" s="87" t="n"/>
    </row>
    <row r="34">
      <c r="A34" s="85">
        <f>A33+7</f>
        <v/>
      </c>
      <c r="B34" s="38" t="n"/>
      <c r="C34" s="86">
        <f>IF(OR(B34="",B33=""),"",B34-B33)</f>
        <v/>
      </c>
      <c r="D34" s="59">
        <f>IF(OR(B34="",B33=""),"",IFERROR((B34-B33)/B33,""))</f>
        <v/>
      </c>
      <c r="E34" s="38" t="n"/>
      <c r="F34" s="38" t="n"/>
      <c r="G34" s="38" t="n"/>
      <c r="H34" s="38" t="n"/>
      <c r="I34" s="38" t="n"/>
      <c r="J34" s="50">
        <f>IF($A34&gt;TODAY(),"",SUMIFS('Daily Log'!$C$4:$C$734,'Daily Log'!$A$4:$A$734,"&gt;="&amp;$A34,'Daily Log'!$A$4:$A$734,"&lt;="&amp;$A34+6))</f>
        <v/>
      </c>
      <c r="K34" s="50">
        <f>IF($A34&gt;TODAY(),"",SUMIFS('Daily Log'!$D$4:$D$734,'Daily Log'!$A$4:$A$734,"&gt;="&amp;$A34,'Daily Log'!$A$4:$A$734,"&lt;="&amp;$A34+6))</f>
        <v/>
      </c>
      <c r="L34" s="79">
        <f>IFERROR(E34/J34,"")</f>
        <v/>
      </c>
      <c r="M34" s="79">
        <f>IFERROR(H34/E34*1000,"")</f>
        <v/>
      </c>
      <c r="N34" s="87" t="n"/>
    </row>
    <row r="35">
      <c r="A35" s="85">
        <f>A34+7</f>
        <v/>
      </c>
      <c r="B35" s="38" t="n"/>
      <c r="C35" s="86">
        <f>IF(OR(B35="",B34=""),"",B35-B34)</f>
        <v/>
      </c>
      <c r="D35" s="59">
        <f>IF(OR(B35="",B34=""),"",IFERROR((B35-B34)/B34,""))</f>
        <v/>
      </c>
      <c r="E35" s="38" t="n"/>
      <c r="F35" s="38" t="n"/>
      <c r="G35" s="38" t="n"/>
      <c r="H35" s="38" t="n"/>
      <c r="I35" s="38" t="n"/>
      <c r="J35" s="50">
        <f>IF($A35&gt;TODAY(),"",SUMIFS('Daily Log'!$C$4:$C$734,'Daily Log'!$A$4:$A$734,"&gt;="&amp;$A35,'Daily Log'!$A$4:$A$734,"&lt;="&amp;$A35+6))</f>
        <v/>
      </c>
      <c r="K35" s="50">
        <f>IF($A35&gt;TODAY(),"",SUMIFS('Daily Log'!$D$4:$D$734,'Daily Log'!$A$4:$A$734,"&gt;="&amp;$A35,'Daily Log'!$A$4:$A$734,"&lt;="&amp;$A35+6))</f>
        <v/>
      </c>
      <c r="L35" s="79">
        <f>IFERROR(E35/J35,"")</f>
        <v/>
      </c>
      <c r="M35" s="79">
        <f>IFERROR(H35/E35*1000,"")</f>
        <v/>
      </c>
      <c r="N35" s="87" t="n"/>
    </row>
    <row r="36">
      <c r="A36" s="85">
        <f>A35+7</f>
        <v/>
      </c>
      <c r="B36" s="38" t="n"/>
      <c r="C36" s="86">
        <f>IF(OR(B36="",B35=""),"",B36-B35)</f>
        <v/>
      </c>
      <c r="D36" s="59">
        <f>IF(OR(B36="",B35=""),"",IFERROR((B36-B35)/B35,""))</f>
        <v/>
      </c>
      <c r="E36" s="38" t="n"/>
      <c r="F36" s="38" t="n"/>
      <c r="G36" s="38" t="n"/>
      <c r="H36" s="38" t="n"/>
      <c r="I36" s="38" t="n"/>
      <c r="J36" s="50">
        <f>IF($A36&gt;TODAY(),"",SUMIFS('Daily Log'!$C$4:$C$734,'Daily Log'!$A$4:$A$734,"&gt;="&amp;$A36,'Daily Log'!$A$4:$A$734,"&lt;="&amp;$A36+6))</f>
        <v/>
      </c>
      <c r="K36" s="50">
        <f>IF($A36&gt;TODAY(),"",SUMIFS('Daily Log'!$D$4:$D$734,'Daily Log'!$A$4:$A$734,"&gt;="&amp;$A36,'Daily Log'!$A$4:$A$734,"&lt;="&amp;$A36+6))</f>
        <v/>
      </c>
      <c r="L36" s="79">
        <f>IFERROR(E36/J36,"")</f>
        <v/>
      </c>
      <c r="M36" s="79">
        <f>IFERROR(H36/E36*1000,"")</f>
        <v/>
      </c>
      <c r="N36" s="87" t="n"/>
    </row>
    <row r="37">
      <c r="A37" s="85">
        <f>A36+7</f>
        <v/>
      </c>
      <c r="B37" s="38" t="n"/>
      <c r="C37" s="86">
        <f>IF(OR(B37="",B36=""),"",B37-B36)</f>
        <v/>
      </c>
      <c r="D37" s="59">
        <f>IF(OR(B37="",B36=""),"",IFERROR((B37-B36)/B36,""))</f>
        <v/>
      </c>
      <c r="E37" s="38" t="n"/>
      <c r="F37" s="38" t="n"/>
      <c r="G37" s="38" t="n"/>
      <c r="H37" s="38" t="n"/>
      <c r="I37" s="38" t="n"/>
      <c r="J37" s="50">
        <f>IF($A37&gt;TODAY(),"",SUMIFS('Daily Log'!$C$4:$C$734,'Daily Log'!$A$4:$A$734,"&gt;="&amp;$A37,'Daily Log'!$A$4:$A$734,"&lt;="&amp;$A37+6))</f>
        <v/>
      </c>
      <c r="K37" s="50">
        <f>IF($A37&gt;TODAY(),"",SUMIFS('Daily Log'!$D$4:$D$734,'Daily Log'!$A$4:$A$734,"&gt;="&amp;$A37,'Daily Log'!$A$4:$A$734,"&lt;="&amp;$A37+6))</f>
        <v/>
      </c>
      <c r="L37" s="79">
        <f>IFERROR(E37/J37,"")</f>
        <v/>
      </c>
      <c r="M37" s="79">
        <f>IFERROR(H37/E37*1000,"")</f>
        <v/>
      </c>
      <c r="N37" s="87" t="n"/>
    </row>
    <row r="38">
      <c r="A38" s="85">
        <f>A37+7</f>
        <v/>
      </c>
      <c r="B38" s="38" t="n"/>
      <c r="C38" s="86">
        <f>IF(OR(B38="",B37=""),"",B38-B37)</f>
        <v/>
      </c>
      <c r="D38" s="59">
        <f>IF(OR(B38="",B37=""),"",IFERROR((B38-B37)/B37,""))</f>
        <v/>
      </c>
      <c r="E38" s="38" t="n"/>
      <c r="F38" s="38" t="n"/>
      <c r="G38" s="38" t="n"/>
      <c r="H38" s="38" t="n"/>
      <c r="I38" s="38" t="n"/>
      <c r="J38" s="50">
        <f>IF($A38&gt;TODAY(),"",SUMIFS('Daily Log'!$C$4:$C$734,'Daily Log'!$A$4:$A$734,"&gt;="&amp;$A38,'Daily Log'!$A$4:$A$734,"&lt;="&amp;$A38+6))</f>
        <v/>
      </c>
      <c r="K38" s="50">
        <f>IF($A38&gt;TODAY(),"",SUMIFS('Daily Log'!$D$4:$D$734,'Daily Log'!$A$4:$A$734,"&gt;="&amp;$A38,'Daily Log'!$A$4:$A$734,"&lt;="&amp;$A38+6))</f>
        <v/>
      </c>
      <c r="L38" s="79">
        <f>IFERROR(E38/J38,"")</f>
        <v/>
      </c>
      <c r="M38" s="79">
        <f>IFERROR(H38/E38*1000,"")</f>
        <v/>
      </c>
      <c r="N38" s="87" t="n"/>
    </row>
    <row r="39">
      <c r="A39" s="85">
        <f>A38+7</f>
        <v/>
      </c>
      <c r="B39" s="38" t="n"/>
      <c r="C39" s="86">
        <f>IF(OR(B39="",B38=""),"",B39-B38)</f>
        <v/>
      </c>
      <c r="D39" s="59">
        <f>IF(OR(B39="",B38=""),"",IFERROR((B39-B38)/B38,""))</f>
        <v/>
      </c>
      <c r="E39" s="38" t="n"/>
      <c r="F39" s="38" t="n"/>
      <c r="G39" s="38" t="n"/>
      <c r="H39" s="38" t="n"/>
      <c r="I39" s="38" t="n"/>
      <c r="J39" s="50">
        <f>IF($A39&gt;TODAY(),"",SUMIFS('Daily Log'!$C$4:$C$734,'Daily Log'!$A$4:$A$734,"&gt;="&amp;$A39,'Daily Log'!$A$4:$A$734,"&lt;="&amp;$A39+6))</f>
        <v/>
      </c>
      <c r="K39" s="50">
        <f>IF($A39&gt;TODAY(),"",SUMIFS('Daily Log'!$D$4:$D$734,'Daily Log'!$A$4:$A$734,"&gt;="&amp;$A39,'Daily Log'!$A$4:$A$734,"&lt;="&amp;$A39+6))</f>
        <v/>
      </c>
      <c r="L39" s="79">
        <f>IFERROR(E39/J39,"")</f>
        <v/>
      </c>
      <c r="M39" s="79">
        <f>IFERROR(H39/E39*1000,"")</f>
        <v/>
      </c>
      <c r="N39" s="87" t="n"/>
    </row>
    <row r="40">
      <c r="A40" s="85">
        <f>A39+7</f>
        <v/>
      </c>
      <c r="B40" s="38" t="n"/>
      <c r="C40" s="86">
        <f>IF(OR(B40="",B39=""),"",B40-B39)</f>
        <v/>
      </c>
      <c r="D40" s="59">
        <f>IF(OR(B40="",B39=""),"",IFERROR((B40-B39)/B39,""))</f>
        <v/>
      </c>
      <c r="E40" s="38" t="n"/>
      <c r="F40" s="38" t="n"/>
      <c r="G40" s="38" t="n"/>
      <c r="H40" s="38" t="n"/>
      <c r="I40" s="38" t="n"/>
      <c r="J40" s="50">
        <f>IF($A40&gt;TODAY(),"",SUMIFS('Daily Log'!$C$4:$C$734,'Daily Log'!$A$4:$A$734,"&gt;="&amp;$A40,'Daily Log'!$A$4:$A$734,"&lt;="&amp;$A40+6))</f>
        <v/>
      </c>
      <c r="K40" s="50">
        <f>IF($A40&gt;TODAY(),"",SUMIFS('Daily Log'!$D$4:$D$734,'Daily Log'!$A$4:$A$734,"&gt;="&amp;$A40,'Daily Log'!$A$4:$A$734,"&lt;="&amp;$A40+6))</f>
        <v/>
      </c>
      <c r="L40" s="79">
        <f>IFERROR(E40/J40,"")</f>
        <v/>
      </c>
      <c r="M40" s="79">
        <f>IFERROR(H40/E40*1000,"")</f>
        <v/>
      </c>
      <c r="N40" s="87" t="n"/>
    </row>
    <row r="41">
      <c r="A41" s="85">
        <f>A40+7</f>
        <v/>
      </c>
      <c r="B41" s="38" t="n"/>
      <c r="C41" s="86">
        <f>IF(OR(B41="",B40=""),"",B41-B40)</f>
        <v/>
      </c>
      <c r="D41" s="59">
        <f>IF(OR(B41="",B40=""),"",IFERROR((B41-B40)/B40,""))</f>
        <v/>
      </c>
      <c r="E41" s="38" t="n"/>
      <c r="F41" s="38" t="n"/>
      <c r="G41" s="38" t="n"/>
      <c r="H41" s="38" t="n"/>
      <c r="I41" s="38" t="n"/>
      <c r="J41" s="50">
        <f>IF($A41&gt;TODAY(),"",SUMIFS('Daily Log'!$C$4:$C$734,'Daily Log'!$A$4:$A$734,"&gt;="&amp;$A41,'Daily Log'!$A$4:$A$734,"&lt;="&amp;$A41+6))</f>
        <v/>
      </c>
      <c r="K41" s="50">
        <f>IF($A41&gt;TODAY(),"",SUMIFS('Daily Log'!$D$4:$D$734,'Daily Log'!$A$4:$A$734,"&gt;="&amp;$A41,'Daily Log'!$A$4:$A$734,"&lt;="&amp;$A41+6))</f>
        <v/>
      </c>
      <c r="L41" s="79">
        <f>IFERROR(E41/J41,"")</f>
        <v/>
      </c>
      <c r="M41" s="79">
        <f>IFERROR(H41/E41*1000,"")</f>
        <v/>
      </c>
      <c r="N41" s="87" t="n"/>
    </row>
    <row r="42">
      <c r="A42" s="85">
        <f>A41+7</f>
        <v/>
      </c>
      <c r="B42" s="38" t="n"/>
      <c r="C42" s="86">
        <f>IF(OR(B42="",B41=""),"",B42-B41)</f>
        <v/>
      </c>
      <c r="D42" s="59">
        <f>IF(OR(B42="",B41=""),"",IFERROR((B42-B41)/B41,""))</f>
        <v/>
      </c>
      <c r="E42" s="38" t="n"/>
      <c r="F42" s="38" t="n"/>
      <c r="G42" s="38" t="n"/>
      <c r="H42" s="38" t="n"/>
      <c r="I42" s="38" t="n"/>
      <c r="J42" s="50">
        <f>IF($A42&gt;TODAY(),"",SUMIFS('Daily Log'!$C$4:$C$734,'Daily Log'!$A$4:$A$734,"&gt;="&amp;$A42,'Daily Log'!$A$4:$A$734,"&lt;="&amp;$A42+6))</f>
        <v/>
      </c>
      <c r="K42" s="50">
        <f>IF($A42&gt;TODAY(),"",SUMIFS('Daily Log'!$D$4:$D$734,'Daily Log'!$A$4:$A$734,"&gt;="&amp;$A42,'Daily Log'!$A$4:$A$734,"&lt;="&amp;$A42+6))</f>
        <v/>
      </c>
      <c r="L42" s="79">
        <f>IFERROR(E42/J42,"")</f>
        <v/>
      </c>
      <c r="M42" s="79">
        <f>IFERROR(H42/E42*1000,"")</f>
        <v/>
      </c>
      <c r="N42" s="87" t="n"/>
    </row>
    <row r="43">
      <c r="A43" s="85">
        <f>A42+7</f>
        <v/>
      </c>
      <c r="B43" s="38" t="n"/>
      <c r="C43" s="86">
        <f>IF(OR(B43="",B42=""),"",B43-B42)</f>
        <v/>
      </c>
      <c r="D43" s="59">
        <f>IF(OR(B43="",B42=""),"",IFERROR((B43-B42)/B42,""))</f>
        <v/>
      </c>
      <c r="E43" s="38" t="n"/>
      <c r="F43" s="38" t="n"/>
      <c r="G43" s="38" t="n"/>
      <c r="H43" s="38" t="n"/>
      <c r="I43" s="38" t="n"/>
      <c r="J43" s="50">
        <f>IF($A43&gt;TODAY(),"",SUMIFS('Daily Log'!$C$4:$C$734,'Daily Log'!$A$4:$A$734,"&gt;="&amp;$A43,'Daily Log'!$A$4:$A$734,"&lt;="&amp;$A43+6))</f>
        <v/>
      </c>
      <c r="K43" s="50">
        <f>IF($A43&gt;TODAY(),"",SUMIFS('Daily Log'!$D$4:$D$734,'Daily Log'!$A$4:$A$734,"&gt;="&amp;$A43,'Daily Log'!$A$4:$A$734,"&lt;="&amp;$A43+6))</f>
        <v/>
      </c>
      <c r="L43" s="79">
        <f>IFERROR(E43/J43,"")</f>
        <v/>
      </c>
      <c r="M43" s="79">
        <f>IFERROR(H43/E43*1000,"")</f>
        <v/>
      </c>
      <c r="N43" s="87" t="n"/>
    </row>
    <row r="44">
      <c r="A44" s="85">
        <f>A43+7</f>
        <v/>
      </c>
      <c r="B44" s="38" t="n"/>
      <c r="C44" s="86">
        <f>IF(OR(B44="",B43=""),"",B44-B43)</f>
        <v/>
      </c>
      <c r="D44" s="59">
        <f>IF(OR(B44="",B43=""),"",IFERROR((B44-B43)/B43,""))</f>
        <v/>
      </c>
      <c r="E44" s="38" t="n"/>
      <c r="F44" s="38" t="n"/>
      <c r="G44" s="38" t="n"/>
      <c r="H44" s="38" t="n"/>
      <c r="I44" s="38" t="n"/>
      <c r="J44" s="50">
        <f>IF($A44&gt;TODAY(),"",SUMIFS('Daily Log'!$C$4:$C$734,'Daily Log'!$A$4:$A$734,"&gt;="&amp;$A44,'Daily Log'!$A$4:$A$734,"&lt;="&amp;$A44+6))</f>
        <v/>
      </c>
      <c r="K44" s="50">
        <f>IF($A44&gt;TODAY(),"",SUMIFS('Daily Log'!$D$4:$D$734,'Daily Log'!$A$4:$A$734,"&gt;="&amp;$A44,'Daily Log'!$A$4:$A$734,"&lt;="&amp;$A44+6))</f>
        <v/>
      </c>
      <c r="L44" s="79">
        <f>IFERROR(E44/J44,"")</f>
        <v/>
      </c>
      <c r="M44" s="79">
        <f>IFERROR(H44/E44*1000,"")</f>
        <v/>
      </c>
      <c r="N44" s="87" t="n"/>
    </row>
    <row r="45">
      <c r="A45" s="85">
        <f>A44+7</f>
        <v/>
      </c>
      <c r="B45" s="38" t="n"/>
      <c r="C45" s="86">
        <f>IF(OR(B45="",B44=""),"",B45-B44)</f>
        <v/>
      </c>
      <c r="D45" s="59">
        <f>IF(OR(B45="",B44=""),"",IFERROR((B45-B44)/B44,""))</f>
        <v/>
      </c>
      <c r="E45" s="38" t="n"/>
      <c r="F45" s="38" t="n"/>
      <c r="G45" s="38" t="n"/>
      <c r="H45" s="38" t="n"/>
      <c r="I45" s="38" t="n"/>
      <c r="J45" s="50">
        <f>IF($A45&gt;TODAY(),"",SUMIFS('Daily Log'!$C$4:$C$734,'Daily Log'!$A$4:$A$734,"&gt;="&amp;$A45,'Daily Log'!$A$4:$A$734,"&lt;="&amp;$A45+6))</f>
        <v/>
      </c>
      <c r="K45" s="50">
        <f>IF($A45&gt;TODAY(),"",SUMIFS('Daily Log'!$D$4:$D$734,'Daily Log'!$A$4:$A$734,"&gt;="&amp;$A45,'Daily Log'!$A$4:$A$734,"&lt;="&amp;$A45+6))</f>
        <v/>
      </c>
      <c r="L45" s="79">
        <f>IFERROR(E45/J45,"")</f>
        <v/>
      </c>
      <c r="M45" s="79">
        <f>IFERROR(H45/E45*1000,"")</f>
        <v/>
      </c>
      <c r="N45" s="87" t="n"/>
    </row>
    <row r="46">
      <c r="A46" s="85">
        <f>A45+7</f>
        <v/>
      </c>
      <c r="B46" s="38" t="n"/>
      <c r="C46" s="86">
        <f>IF(OR(B46="",B45=""),"",B46-B45)</f>
        <v/>
      </c>
      <c r="D46" s="59">
        <f>IF(OR(B46="",B45=""),"",IFERROR((B46-B45)/B45,""))</f>
        <v/>
      </c>
      <c r="E46" s="38" t="n"/>
      <c r="F46" s="38" t="n"/>
      <c r="G46" s="38" t="n"/>
      <c r="H46" s="38" t="n"/>
      <c r="I46" s="38" t="n"/>
      <c r="J46" s="50">
        <f>IF($A46&gt;TODAY(),"",SUMIFS('Daily Log'!$C$4:$C$734,'Daily Log'!$A$4:$A$734,"&gt;="&amp;$A46,'Daily Log'!$A$4:$A$734,"&lt;="&amp;$A46+6))</f>
        <v/>
      </c>
      <c r="K46" s="50">
        <f>IF($A46&gt;TODAY(),"",SUMIFS('Daily Log'!$D$4:$D$734,'Daily Log'!$A$4:$A$734,"&gt;="&amp;$A46,'Daily Log'!$A$4:$A$734,"&lt;="&amp;$A46+6))</f>
        <v/>
      </c>
      <c r="L46" s="79">
        <f>IFERROR(E46/J46,"")</f>
        <v/>
      </c>
      <c r="M46" s="79">
        <f>IFERROR(H46/E46*1000,"")</f>
        <v/>
      </c>
      <c r="N46" s="87" t="n"/>
    </row>
    <row r="47">
      <c r="A47" s="85">
        <f>A46+7</f>
        <v/>
      </c>
      <c r="B47" s="38" t="n"/>
      <c r="C47" s="86">
        <f>IF(OR(B47="",B46=""),"",B47-B46)</f>
        <v/>
      </c>
      <c r="D47" s="59">
        <f>IF(OR(B47="",B46=""),"",IFERROR((B47-B46)/B46,""))</f>
        <v/>
      </c>
      <c r="E47" s="38" t="n"/>
      <c r="F47" s="38" t="n"/>
      <c r="G47" s="38" t="n"/>
      <c r="H47" s="38" t="n"/>
      <c r="I47" s="38" t="n"/>
      <c r="J47" s="50">
        <f>IF($A47&gt;TODAY(),"",SUMIFS('Daily Log'!$C$4:$C$734,'Daily Log'!$A$4:$A$734,"&gt;="&amp;$A47,'Daily Log'!$A$4:$A$734,"&lt;="&amp;$A47+6))</f>
        <v/>
      </c>
      <c r="K47" s="50">
        <f>IF($A47&gt;TODAY(),"",SUMIFS('Daily Log'!$D$4:$D$734,'Daily Log'!$A$4:$A$734,"&gt;="&amp;$A47,'Daily Log'!$A$4:$A$734,"&lt;="&amp;$A47+6))</f>
        <v/>
      </c>
      <c r="L47" s="79">
        <f>IFERROR(E47/J47,"")</f>
        <v/>
      </c>
      <c r="M47" s="79">
        <f>IFERROR(H47/E47*1000,"")</f>
        <v/>
      </c>
      <c r="N47" s="87" t="n"/>
    </row>
    <row r="48">
      <c r="A48" s="85">
        <f>A47+7</f>
        <v/>
      </c>
      <c r="B48" s="38" t="n"/>
      <c r="C48" s="86">
        <f>IF(OR(B48="",B47=""),"",B48-B47)</f>
        <v/>
      </c>
      <c r="D48" s="59">
        <f>IF(OR(B48="",B47=""),"",IFERROR((B48-B47)/B47,""))</f>
        <v/>
      </c>
      <c r="E48" s="38" t="n"/>
      <c r="F48" s="38" t="n"/>
      <c r="G48" s="38" t="n"/>
      <c r="H48" s="38" t="n"/>
      <c r="I48" s="38" t="n"/>
      <c r="J48" s="50">
        <f>IF($A48&gt;TODAY(),"",SUMIFS('Daily Log'!$C$4:$C$734,'Daily Log'!$A$4:$A$734,"&gt;="&amp;$A48,'Daily Log'!$A$4:$A$734,"&lt;="&amp;$A48+6))</f>
        <v/>
      </c>
      <c r="K48" s="50">
        <f>IF($A48&gt;TODAY(),"",SUMIFS('Daily Log'!$D$4:$D$734,'Daily Log'!$A$4:$A$734,"&gt;="&amp;$A48,'Daily Log'!$A$4:$A$734,"&lt;="&amp;$A48+6))</f>
        <v/>
      </c>
      <c r="L48" s="79">
        <f>IFERROR(E48/J48,"")</f>
        <v/>
      </c>
      <c r="M48" s="79">
        <f>IFERROR(H48/E48*1000,"")</f>
        <v/>
      </c>
      <c r="N48" s="87" t="n"/>
    </row>
    <row r="49">
      <c r="A49" s="85">
        <f>A48+7</f>
        <v/>
      </c>
      <c r="B49" s="38" t="n"/>
      <c r="C49" s="86">
        <f>IF(OR(B49="",B48=""),"",B49-B48)</f>
        <v/>
      </c>
      <c r="D49" s="59">
        <f>IF(OR(B49="",B48=""),"",IFERROR((B49-B48)/B48,""))</f>
        <v/>
      </c>
      <c r="E49" s="38" t="n"/>
      <c r="F49" s="38" t="n"/>
      <c r="G49" s="38" t="n"/>
      <c r="H49" s="38" t="n"/>
      <c r="I49" s="38" t="n"/>
      <c r="J49" s="50">
        <f>IF($A49&gt;TODAY(),"",SUMIFS('Daily Log'!$C$4:$C$734,'Daily Log'!$A$4:$A$734,"&gt;="&amp;$A49,'Daily Log'!$A$4:$A$734,"&lt;="&amp;$A49+6))</f>
        <v/>
      </c>
      <c r="K49" s="50">
        <f>IF($A49&gt;TODAY(),"",SUMIFS('Daily Log'!$D$4:$D$734,'Daily Log'!$A$4:$A$734,"&gt;="&amp;$A49,'Daily Log'!$A$4:$A$734,"&lt;="&amp;$A49+6))</f>
        <v/>
      </c>
      <c r="L49" s="79">
        <f>IFERROR(E49/J49,"")</f>
        <v/>
      </c>
      <c r="M49" s="79">
        <f>IFERROR(H49/E49*1000,"")</f>
        <v/>
      </c>
      <c r="N49" s="87" t="n"/>
    </row>
    <row r="50">
      <c r="A50" s="85">
        <f>A49+7</f>
        <v/>
      </c>
      <c r="B50" s="38" t="n"/>
      <c r="C50" s="86">
        <f>IF(OR(B50="",B49=""),"",B50-B49)</f>
        <v/>
      </c>
      <c r="D50" s="59">
        <f>IF(OR(B50="",B49=""),"",IFERROR((B50-B49)/B49,""))</f>
        <v/>
      </c>
      <c r="E50" s="38" t="n"/>
      <c r="F50" s="38" t="n"/>
      <c r="G50" s="38" t="n"/>
      <c r="H50" s="38" t="n"/>
      <c r="I50" s="38" t="n"/>
      <c r="J50" s="50">
        <f>IF($A50&gt;TODAY(),"",SUMIFS('Daily Log'!$C$4:$C$734,'Daily Log'!$A$4:$A$734,"&gt;="&amp;$A50,'Daily Log'!$A$4:$A$734,"&lt;="&amp;$A50+6))</f>
        <v/>
      </c>
      <c r="K50" s="50">
        <f>IF($A50&gt;TODAY(),"",SUMIFS('Daily Log'!$D$4:$D$734,'Daily Log'!$A$4:$A$734,"&gt;="&amp;$A50,'Daily Log'!$A$4:$A$734,"&lt;="&amp;$A50+6))</f>
        <v/>
      </c>
      <c r="L50" s="79">
        <f>IFERROR(E50/J50,"")</f>
        <v/>
      </c>
      <c r="M50" s="79">
        <f>IFERROR(H50/E50*1000,"")</f>
        <v/>
      </c>
      <c r="N50" s="87" t="n"/>
    </row>
    <row r="51">
      <c r="A51" s="85">
        <f>A50+7</f>
        <v/>
      </c>
      <c r="B51" s="38" t="n"/>
      <c r="C51" s="86">
        <f>IF(OR(B51="",B50=""),"",B51-B50)</f>
        <v/>
      </c>
      <c r="D51" s="59">
        <f>IF(OR(B51="",B50=""),"",IFERROR((B51-B50)/B50,""))</f>
        <v/>
      </c>
      <c r="E51" s="38" t="n"/>
      <c r="F51" s="38" t="n"/>
      <c r="G51" s="38" t="n"/>
      <c r="H51" s="38" t="n"/>
      <c r="I51" s="38" t="n"/>
      <c r="J51" s="50">
        <f>IF($A51&gt;TODAY(),"",SUMIFS('Daily Log'!$C$4:$C$734,'Daily Log'!$A$4:$A$734,"&gt;="&amp;$A51,'Daily Log'!$A$4:$A$734,"&lt;="&amp;$A51+6))</f>
        <v/>
      </c>
      <c r="K51" s="50">
        <f>IF($A51&gt;TODAY(),"",SUMIFS('Daily Log'!$D$4:$D$734,'Daily Log'!$A$4:$A$734,"&gt;="&amp;$A51,'Daily Log'!$A$4:$A$734,"&lt;="&amp;$A51+6))</f>
        <v/>
      </c>
      <c r="L51" s="79">
        <f>IFERROR(E51/J51,"")</f>
        <v/>
      </c>
      <c r="M51" s="79">
        <f>IFERROR(H51/E51*1000,"")</f>
        <v/>
      </c>
      <c r="N51" s="87" t="n"/>
    </row>
    <row r="52">
      <c r="A52" s="85">
        <f>A51+7</f>
        <v/>
      </c>
      <c r="B52" s="38" t="n"/>
      <c r="C52" s="86">
        <f>IF(OR(B52="",B51=""),"",B52-B51)</f>
        <v/>
      </c>
      <c r="D52" s="59">
        <f>IF(OR(B52="",B51=""),"",IFERROR((B52-B51)/B51,""))</f>
        <v/>
      </c>
      <c r="E52" s="38" t="n"/>
      <c r="F52" s="38" t="n"/>
      <c r="G52" s="38" t="n"/>
      <c r="H52" s="38" t="n"/>
      <c r="I52" s="38" t="n"/>
      <c r="J52" s="50">
        <f>IF($A52&gt;TODAY(),"",SUMIFS('Daily Log'!$C$4:$C$734,'Daily Log'!$A$4:$A$734,"&gt;="&amp;$A52,'Daily Log'!$A$4:$A$734,"&lt;="&amp;$A52+6))</f>
        <v/>
      </c>
      <c r="K52" s="50">
        <f>IF($A52&gt;TODAY(),"",SUMIFS('Daily Log'!$D$4:$D$734,'Daily Log'!$A$4:$A$734,"&gt;="&amp;$A52,'Daily Log'!$A$4:$A$734,"&lt;="&amp;$A52+6))</f>
        <v/>
      </c>
      <c r="L52" s="79">
        <f>IFERROR(E52/J52,"")</f>
        <v/>
      </c>
      <c r="M52" s="79">
        <f>IFERROR(H52/E52*1000,"")</f>
        <v/>
      </c>
      <c r="N52" s="87" t="n"/>
    </row>
    <row r="53">
      <c r="A53" s="85">
        <f>A52+7</f>
        <v/>
      </c>
      <c r="B53" s="38" t="n"/>
      <c r="C53" s="86">
        <f>IF(OR(B53="",B52=""),"",B53-B52)</f>
        <v/>
      </c>
      <c r="D53" s="59">
        <f>IF(OR(B53="",B52=""),"",IFERROR((B53-B52)/B52,""))</f>
        <v/>
      </c>
      <c r="E53" s="38" t="n"/>
      <c r="F53" s="38" t="n"/>
      <c r="G53" s="38" t="n"/>
      <c r="H53" s="38" t="n"/>
      <c r="I53" s="38" t="n"/>
      <c r="J53" s="50">
        <f>IF($A53&gt;TODAY(),"",SUMIFS('Daily Log'!$C$4:$C$734,'Daily Log'!$A$4:$A$734,"&gt;="&amp;$A53,'Daily Log'!$A$4:$A$734,"&lt;="&amp;$A53+6))</f>
        <v/>
      </c>
      <c r="K53" s="50">
        <f>IF($A53&gt;TODAY(),"",SUMIFS('Daily Log'!$D$4:$D$734,'Daily Log'!$A$4:$A$734,"&gt;="&amp;$A53,'Daily Log'!$A$4:$A$734,"&lt;="&amp;$A53+6))</f>
        <v/>
      </c>
      <c r="L53" s="79">
        <f>IFERROR(E53/J53,"")</f>
        <v/>
      </c>
      <c r="M53" s="79">
        <f>IFERROR(H53/E53*1000,"")</f>
        <v/>
      </c>
      <c r="N53" s="87" t="n"/>
    </row>
    <row r="54">
      <c r="A54" s="85">
        <f>A53+7</f>
        <v/>
      </c>
      <c r="B54" s="38" t="n"/>
      <c r="C54" s="86">
        <f>IF(OR(B54="",B53=""),"",B54-B53)</f>
        <v/>
      </c>
      <c r="D54" s="59">
        <f>IF(OR(B54="",B53=""),"",IFERROR((B54-B53)/B53,""))</f>
        <v/>
      </c>
      <c r="E54" s="38" t="n"/>
      <c r="F54" s="38" t="n"/>
      <c r="G54" s="38" t="n"/>
      <c r="H54" s="38" t="n"/>
      <c r="I54" s="38" t="n"/>
      <c r="J54" s="50">
        <f>IF($A54&gt;TODAY(),"",SUMIFS('Daily Log'!$C$4:$C$734,'Daily Log'!$A$4:$A$734,"&gt;="&amp;$A54,'Daily Log'!$A$4:$A$734,"&lt;="&amp;$A54+6))</f>
        <v/>
      </c>
      <c r="K54" s="50">
        <f>IF($A54&gt;TODAY(),"",SUMIFS('Daily Log'!$D$4:$D$734,'Daily Log'!$A$4:$A$734,"&gt;="&amp;$A54,'Daily Log'!$A$4:$A$734,"&lt;="&amp;$A54+6))</f>
        <v/>
      </c>
      <c r="L54" s="79">
        <f>IFERROR(E54/J54,"")</f>
        <v/>
      </c>
      <c r="M54" s="79">
        <f>IFERROR(H54/E54*1000,"")</f>
        <v/>
      </c>
      <c r="N54" s="87" t="n"/>
    </row>
    <row r="55">
      <c r="A55" s="85">
        <f>A54+7</f>
        <v/>
      </c>
      <c r="B55" s="38" t="n"/>
      <c r="C55" s="86">
        <f>IF(OR(B55="",B54=""),"",B55-B54)</f>
        <v/>
      </c>
      <c r="D55" s="59">
        <f>IF(OR(B55="",B54=""),"",IFERROR((B55-B54)/B54,""))</f>
        <v/>
      </c>
      <c r="E55" s="38" t="n"/>
      <c r="F55" s="38" t="n"/>
      <c r="G55" s="38" t="n"/>
      <c r="H55" s="38" t="n"/>
      <c r="I55" s="38" t="n"/>
      <c r="J55" s="50">
        <f>IF($A55&gt;TODAY(),"",SUMIFS('Daily Log'!$C$4:$C$734,'Daily Log'!$A$4:$A$734,"&gt;="&amp;$A55,'Daily Log'!$A$4:$A$734,"&lt;="&amp;$A55+6))</f>
        <v/>
      </c>
      <c r="K55" s="50">
        <f>IF($A55&gt;TODAY(),"",SUMIFS('Daily Log'!$D$4:$D$734,'Daily Log'!$A$4:$A$734,"&gt;="&amp;$A55,'Daily Log'!$A$4:$A$734,"&lt;="&amp;$A55+6))</f>
        <v/>
      </c>
      <c r="L55" s="79">
        <f>IFERROR(E55/J55,"")</f>
        <v/>
      </c>
      <c r="M55" s="79">
        <f>IFERROR(H55/E55*1000,"")</f>
        <v/>
      </c>
      <c r="N55" s="87" t="n"/>
    </row>
    <row r="56">
      <c r="A56" s="85">
        <f>A55+7</f>
        <v/>
      </c>
      <c r="B56" s="38" t="n"/>
      <c r="C56" s="86">
        <f>IF(OR(B56="",B55=""),"",B56-B55)</f>
        <v/>
      </c>
      <c r="D56" s="59">
        <f>IF(OR(B56="",B55=""),"",IFERROR((B56-B55)/B55,""))</f>
        <v/>
      </c>
      <c r="E56" s="38" t="n"/>
      <c r="F56" s="38" t="n"/>
      <c r="G56" s="38" t="n"/>
      <c r="H56" s="38" t="n"/>
      <c r="I56" s="38" t="n"/>
      <c r="J56" s="50">
        <f>IF($A56&gt;TODAY(),"",SUMIFS('Daily Log'!$C$4:$C$734,'Daily Log'!$A$4:$A$734,"&gt;="&amp;$A56,'Daily Log'!$A$4:$A$734,"&lt;="&amp;$A56+6))</f>
        <v/>
      </c>
      <c r="K56" s="50">
        <f>IF($A56&gt;TODAY(),"",SUMIFS('Daily Log'!$D$4:$D$734,'Daily Log'!$A$4:$A$734,"&gt;="&amp;$A56,'Daily Log'!$A$4:$A$734,"&lt;="&amp;$A56+6))</f>
        <v/>
      </c>
      <c r="L56" s="79">
        <f>IFERROR(E56/J56,"")</f>
        <v/>
      </c>
      <c r="M56" s="79">
        <f>IFERROR(H56/E56*1000,"")</f>
        <v/>
      </c>
      <c r="N56" s="87" t="n"/>
    </row>
    <row r="57">
      <c r="A57" s="85">
        <f>A56+7</f>
        <v/>
      </c>
      <c r="B57" s="38" t="n"/>
      <c r="C57" s="86">
        <f>IF(OR(B57="",B56=""),"",B57-B56)</f>
        <v/>
      </c>
      <c r="D57" s="59">
        <f>IF(OR(B57="",B56=""),"",IFERROR((B57-B56)/B56,""))</f>
        <v/>
      </c>
      <c r="E57" s="38" t="n"/>
      <c r="F57" s="38" t="n"/>
      <c r="G57" s="38" t="n"/>
      <c r="H57" s="38" t="n"/>
      <c r="I57" s="38" t="n"/>
      <c r="J57" s="50">
        <f>IF($A57&gt;TODAY(),"",SUMIFS('Daily Log'!$C$4:$C$734,'Daily Log'!$A$4:$A$734,"&gt;="&amp;$A57,'Daily Log'!$A$4:$A$734,"&lt;="&amp;$A57+6))</f>
        <v/>
      </c>
      <c r="K57" s="50">
        <f>IF($A57&gt;TODAY(),"",SUMIFS('Daily Log'!$D$4:$D$734,'Daily Log'!$A$4:$A$734,"&gt;="&amp;$A57,'Daily Log'!$A$4:$A$734,"&lt;="&amp;$A57+6))</f>
        <v/>
      </c>
      <c r="L57" s="79">
        <f>IFERROR(E57/J57,"")</f>
        <v/>
      </c>
      <c r="M57" s="79">
        <f>IFERROR(H57/E57*1000,"")</f>
        <v/>
      </c>
      <c r="N57" s="87" t="n"/>
    </row>
    <row r="58">
      <c r="A58" s="85">
        <f>A57+7</f>
        <v/>
      </c>
      <c r="B58" s="38" t="n"/>
      <c r="C58" s="86">
        <f>IF(OR(B58="",B57=""),"",B58-B57)</f>
        <v/>
      </c>
      <c r="D58" s="59">
        <f>IF(OR(B58="",B57=""),"",IFERROR((B58-B57)/B57,""))</f>
        <v/>
      </c>
      <c r="E58" s="38" t="n"/>
      <c r="F58" s="38" t="n"/>
      <c r="G58" s="38" t="n"/>
      <c r="H58" s="38" t="n"/>
      <c r="I58" s="38" t="n"/>
      <c r="J58" s="50">
        <f>IF($A58&gt;TODAY(),"",SUMIFS('Daily Log'!$C$4:$C$734,'Daily Log'!$A$4:$A$734,"&gt;="&amp;$A58,'Daily Log'!$A$4:$A$734,"&lt;="&amp;$A58+6))</f>
        <v/>
      </c>
      <c r="K58" s="50">
        <f>IF($A58&gt;TODAY(),"",SUMIFS('Daily Log'!$D$4:$D$734,'Daily Log'!$A$4:$A$734,"&gt;="&amp;$A58,'Daily Log'!$A$4:$A$734,"&lt;="&amp;$A58+6))</f>
        <v/>
      </c>
      <c r="L58" s="79">
        <f>IFERROR(E58/J58,"")</f>
        <v/>
      </c>
      <c r="M58" s="79">
        <f>IFERROR(H58/E58*1000,"")</f>
        <v/>
      </c>
      <c r="N58" s="87" t="n"/>
    </row>
    <row r="59">
      <c r="A59" s="85">
        <f>A58+7</f>
        <v/>
      </c>
      <c r="B59" s="38" t="n"/>
      <c r="C59" s="86">
        <f>IF(OR(B59="",B58=""),"",B59-B58)</f>
        <v/>
      </c>
      <c r="D59" s="59">
        <f>IF(OR(B59="",B58=""),"",IFERROR((B59-B58)/B58,""))</f>
        <v/>
      </c>
      <c r="E59" s="38" t="n"/>
      <c r="F59" s="38" t="n"/>
      <c r="G59" s="38" t="n"/>
      <c r="H59" s="38" t="n"/>
      <c r="I59" s="38" t="n"/>
      <c r="J59" s="50">
        <f>IF($A59&gt;TODAY(),"",SUMIFS('Daily Log'!$C$4:$C$734,'Daily Log'!$A$4:$A$734,"&gt;="&amp;$A59,'Daily Log'!$A$4:$A$734,"&lt;="&amp;$A59+6))</f>
        <v/>
      </c>
      <c r="K59" s="50">
        <f>IF($A59&gt;TODAY(),"",SUMIFS('Daily Log'!$D$4:$D$734,'Daily Log'!$A$4:$A$734,"&gt;="&amp;$A59,'Daily Log'!$A$4:$A$734,"&lt;="&amp;$A59+6))</f>
        <v/>
      </c>
      <c r="L59" s="79">
        <f>IFERROR(E59/J59,"")</f>
        <v/>
      </c>
      <c r="M59" s="79">
        <f>IFERROR(H59/E59*1000,"")</f>
        <v/>
      </c>
      <c r="N59" s="87" t="n"/>
    </row>
    <row r="60">
      <c r="A60" s="85">
        <f>A59+7</f>
        <v/>
      </c>
      <c r="B60" s="38" t="n"/>
      <c r="C60" s="86">
        <f>IF(OR(B60="",B59=""),"",B60-B59)</f>
        <v/>
      </c>
      <c r="D60" s="59">
        <f>IF(OR(B60="",B59=""),"",IFERROR((B60-B59)/B59,""))</f>
        <v/>
      </c>
      <c r="E60" s="38" t="n"/>
      <c r="F60" s="38" t="n"/>
      <c r="G60" s="38" t="n"/>
      <c r="H60" s="38" t="n"/>
      <c r="I60" s="38" t="n"/>
      <c r="J60" s="50">
        <f>IF($A60&gt;TODAY(),"",SUMIFS('Daily Log'!$C$4:$C$734,'Daily Log'!$A$4:$A$734,"&gt;="&amp;$A60,'Daily Log'!$A$4:$A$734,"&lt;="&amp;$A60+6))</f>
        <v/>
      </c>
      <c r="K60" s="50">
        <f>IF($A60&gt;TODAY(),"",SUMIFS('Daily Log'!$D$4:$D$734,'Daily Log'!$A$4:$A$734,"&gt;="&amp;$A60,'Daily Log'!$A$4:$A$734,"&lt;="&amp;$A60+6))</f>
        <v/>
      </c>
      <c r="L60" s="79">
        <f>IFERROR(E60/J60,"")</f>
        <v/>
      </c>
      <c r="M60" s="79">
        <f>IFERROR(H60/E60*1000,"")</f>
        <v/>
      </c>
      <c r="N60" s="87" t="n"/>
    </row>
    <row r="61">
      <c r="A61" s="85">
        <f>A60+7</f>
        <v/>
      </c>
      <c r="B61" s="38" t="n"/>
      <c r="C61" s="86">
        <f>IF(OR(B61="",B60=""),"",B61-B60)</f>
        <v/>
      </c>
      <c r="D61" s="59">
        <f>IF(OR(B61="",B60=""),"",IFERROR((B61-B60)/B60,""))</f>
        <v/>
      </c>
      <c r="E61" s="38" t="n"/>
      <c r="F61" s="38" t="n"/>
      <c r="G61" s="38" t="n"/>
      <c r="H61" s="38" t="n"/>
      <c r="I61" s="38" t="n"/>
      <c r="J61" s="50">
        <f>IF($A61&gt;TODAY(),"",SUMIFS('Daily Log'!$C$4:$C$734,'Daily Log'!$A$4:$A$734,"&gt;="&amp;$A61,'Daily Log'!$A$4:$A$734,"&lt;="&amp;$A61+6))</f>
        <v/>
      </c>
      <c r="K61" s="50">
        <f>IF($A61&gt;TODAY(),"",SUMIFS('Daily Log'!$D$4:$D$734,'Daily Log'!$A$4:$A$734,"&gt;="&amp;$A61,'Daily Log'!$A$4:$A$734,"&lt;="&amp;$A61+6))</f>
        <v/>
      </c>
      <c r="L61" s="79">
        <f>IFERROR(E61/J61,"")</f>
        <v/>
      </c>
      <c r="M61" s="79">
        <f>IFERROR(H61/E61*1000,"")</f>
        <v/>
      </c>
      <c r="N61" s="87" t="n"/>
    </row>
    <row r="62">
      <c r="A62" s="85">
        <f>A61+7</f>
        <v/>
      </c>
      <c r="B62" s="38" t="n"/>
      <c r="C62" s="86">
        <f>IF(OR(B62="",B61=""),"",B62-B61)</f>
        <v/>
      </c>
      <c r="D62" s="59">
        <f>IF(OR(B62="",B61=""),"",IFERROR((B62-B61)/B61,""))</f>
        <v/>
      </c>
      <c r="E62" s="38" t="n"/>
      <c r="F62" s="38" t="n"/>
      <c r="G62" s="38" t="n"/>
      <c r="H62" s="38" t="n"/>
      <c r="I62" s="38" t="n"/>
      <c r="J62" s="50">
        <f>IF($A62&gt;TODAY(),"",SUMIFS('Daily Log'!$C$4:$C$734,'Daily Log'!$A$4:$A$734,"&gt;="&amp;$A62,'Daily Log'!$A$4:$A$734,"&lt;="&amp;$A62+6))</f>
        <v/>
      </c>
      <c r="K62" s="50">
        <f>IF($A62&gt;TODAY(),"",SUMIFS('Daily Log'!$D$4:$D$734,'Daily Log'!$A$4:$A$734,"&gt;="&amp;$A62,'Daily Log'!$A$4:$A$734,"&lt;="&amp;$A62+6))</f>
        <v/>
      </c>
      <c r="L62" s="79">
        <f>IFERROR(E62/J62,"")</f>
        <v/>
      </c>
      <c r="M62" s="79">
        <f>IFERROR(H62/E62*1000,"")</f>
        <v/>
      </c>
      <c r="N62" s="87" t="n"/>
    </row>
    <row r="63">
      <c r="A63" s="85">
        <f>A62+7</f>
        <v/>
      </c>
      <c r="B63" s="38" t="n"/>
      <c r="C63" s="86">
        <f>IF(OR(B63="",B62=""),"",B63-B62)</f>
        <v/>
      </c>
      <c r="D63" s="59">
        <f>IF(OR(B63="",B62=""),"",IFERROR((B63-B62)/B62,""))</f>
        <v/>
      </c>
      <c r="E63" s="38" t="n"/>
      <c r="F63" s="38" t="n"/>
      <c r="G63" s="38" t="n"/>
      <c r="H63" s="38" t="n"/>
      <c r="I63" s="38" t="n"/>
      <c r="J63" s="50">
        <f>IF($A63&gt;TODAY(),"",SUMIFS('Daily Log'!$C$4:$C$734,'Daily Log'!$A$4:$A$734,"&gt;="&amp;$A63,'Daily Log'!$A$4:$A$734,"&lt;="&amp;$A63+6))</f>
        <v/>
      </c>
      <c r="K63" s="50">
        <f>IF($A63&gt;TODAY(),"",SUMIFS('Daily Log'!$D$4:$D$734,'Daily Log'!$A$4:$A$734,"&gt;="&amp;$A63,'Daily Log'!$A$4:$A$734,"&lt;="&amp;$A63+6))</f>
        <v/>
      </c>
      <c r="L63" s="79">
        <f>IFERROR(E63/J63,"")</f>
        <v/>
      </c>
      <c r="M63" s="79">
        <f>IFERROR(H63/E63*1000,"")</f>
        <v/>
      </c>
      <c r="N63" s="87" t="n"/>
    </row>
    <row r="64">
      <c r="A64" s="85">
        <f>A63+7</f>
        <v/>
      </c>
      <c r="B64" s="38" t="n"/>
      <c r="C64" s="86">
        <f>IF(OR(B64="",B63=""),"",B64-B63)</f>
        <v/>
      </c>
      <c r="D64" s="59">
        <f>IF(OR(B64="",B63=""),"",IFERROR((B64-B63)/B63,""))</f>
        <v/>
      </c>
      <c r="E64" s="38" t="n"/>
      <c r="F64" s="38" t="n"/>
      <c r="G64" s="38" t="n"/>
      <c r="H64" s="38" t="n"/>
      <c r="I64" s="38" t="n"/>
      <c r="J64" s="50">
        <f>IF($A64&gt;TODAY(),"",SUMIFS('Daily Log'!$C$4:$C$734,'Daily Log'!$A$4:$A$734,"&gt;="&amp;$A64,'Daily Log'!$A$4:$A$734,"&lt;="&amp;$A64+6))</f>
        <v/>
      </c>
      <c r="K64" s="50">
        <f>IF($A64&gt;TODAY(),"",SUMIFS('Daily Log'!$D$4:$D$734,'Daily Log'!$A$4:$A$734,"&gt;="&amp;$A64,'Daily Log'!$A$4:$A$734,"&lt;="&amp;$A64+6))</f>
        <v/>
      </c>
      <c r="L64" s="79">
        <f>IFERROR(E64/J64,"")</f>
        <v/>
      </c>
      <c r="M64" s="79">
        <f>IFERROR(H64/E64*1000,"")</f>
        <v/>
      </c>
      <c r="N64" s="87" t="n"/>
    </row>
    <row r="65">
      <c r="A65" s="85">
        <f>A64+7</f>
        <v/>
      </c>
      <c r="B65" s="38" t="n"/>
      <c r="C65" s="86">
        <f>IF(OR(B65="",B64=""),"",B65-B64)</f>
        <v/>
      </c>
      <c r="D65" s="59">
        <f>IF(OR(B65="",B64=""),"",IFERROR((B65-B64)/B64,""))</f>
        <v/>
      </c>
      <c r="E65" s="38" t="n"/>
      <c r="F65" s="38" t="n"/>
      <c r="G65" s="38" t="n"/>
      <c r="H65" s="38" t="n"/>
      <c r="I65" s="38" t="n"/>
      <c r="J65" s="50">
        <f>IF($A65&gt;TODAY(),"",SUMIFS('Daily Log'!$C$4:$C$734,'Daily Log'!$A$4:$A$734,"&gt;="&amp;$A65,'Daily Log'!$A$4:$A$734,"&lt;="&amp;$A65+6))</f>
        <v/>
      </c>
      <c r="K65" s="50">
        <f>IF($A65&gt;TODAY(),"",SUMIFS('Daily Log'!$D$4:$D$734,'Daily Log'!$A$4:$A$734,"&gt;="&amp;$A65,'Daily Log'!$A$4:$A$734,"&lt;="&amp;$A65+6))</f>
        <v/>
      </c>
      <c r="L65" s="79">
        <f>IFERROR(E65/J65,"")</f>
        <v/>
      </c>
      <c r="M65" s="79">
        <f>IFERROR(H65/E65*1000,"")</f>
        <v/>
      </c>
      <c r="N65" s="87" t="n"/>
    </row>
    <row r="66">
      <c r="A66" s="85">
        <f>A65+7</f>
        <v/>
      </c>
      <c r="B66" s="38" t="n"/>
      <c r="C66" s="86">
        <f>IF(OR(B66="",B65=""),"",B66-B65)</f>
        <v/>
      </c>
      <c r="D66" s="59">
        <f>IF(OR(B66="",B65=""),"",IFERROR((B66-B65)/B65,""))</f>
        <v/>
      </c>
      <c r="E66" s="38" t="n"/>
      <c r="F66" s="38" t="n"/>
      <c r="G66" s="38" t="n"/>
      <c r="H66" s="38" t="n"/>
      <c r="I66" s="38" t="n"/>
      <c r="J66" s="50">
        <f>IF($A66&gt;TODAY(),"",SUMIFS('Daily Log'!$C$4:$C$734,'Daily Log'!$A$4:$A$734,"&gt;="&amp;$A66,'Daily Log'!$A$4:$A$734,"&lt;="&amp;$A66+6))</f>
        <v/>
      </c>
      <c r="K66" s="50">
        <f>IF($A66&gt;TODAY(),"",SUMIFS('Daily Log'!$D$4:$D$734,'Daily Log'!$A$4:$A$734,"&gt;="&amp;$A66,'Daily Log'!$A$4:$A$734,"&lt;="&amp;$A66+6))</f>
        <v/>
      </c>
      <c r="L66" s="79">
        <f>IFERROR(E66/J66,"")</f>
        <v/>
      </c>
      <c r="M66" s="79">
        <f>IFERROR(H66/E66*1000,"")</f>
        <v/>
      </c>
      <c r="N66" s="87" t="n"/>
    </row>
    <row r="67">
      <c r="A67" s="85">
        <f>A66+7</f>
        <v/>
      </c>
      <c r="B67" s="38" t="n"/>
      <c r="C67" s="86">
        <f>IF(OR(B67="",B66=""),"",B67-B66)</f>
        <v/>
      </c>
      <c r="D67" s="59">
        <f>IF(OR(B67="",B66=""),"",IFERROR((B67-B66)/B66,""))</f>
        <v/>
      </c>
      <c r="E67" s="38" t="n"/>
      <c r="F67" s="38" t="n"/>
      <c r="G67" s="38" t="n"/>
      <c r="H67" s="38" t="n"/>
      <c r="I67" s="38" t="n"/>
      <c r="J67" s="50">
        <f>IF($A67&gt;TODAY(),"",SUMIFS('Daily Log'!$C$4:$C$734,'Daily Log'!$A$4:$A$734,"&gt;="&amp;$A67,'Daily Log'!$A$4:$A$734,"&lt;="&amp;$A67+6))</f>
        <v/>
      </c>
      <c r="K67" s="50">
        <f>IF($A67&gt;TODAY(),"",SUMIFS('Daily Log'!$D$4:$D$734,'Daily Log'!$A$4:$A$734,"&gt;="&amp;$A67,'Daily Log'!$A$4:$A$734,"&lt;="&amp;$A67+6))</f>
        <v/>
      </c>
      <c r="L67" s="79">
        <f>IFERROR(E67/J67,"")</f>
        <v/>
      </c>
      <c r="M67" s="79">
        <f>IFERROR(H67/E67*1000,"")</f>
        <v/>
      </c>
      <c r="N67" s="87" t="n"/>
    </row>
    <row r="68">
      <c r="A68" s="85">
        <f>A67+7</f>
        <v/>
      </c>
      <c r="B68" s="38" t="n"/>
      <c r="C68" s="86">
        <f>IF(OR(B68="",B67=""),"",B68-B67)</f>
        <v/>
      </c>
      <c r="D68" s="59">
        <f>IF(OR(B68="",B67=""),"",IFERROR((B68-B67)/B67,""))</f>
        <v/>
      </c>
      <c r="E68" s="38" t="n"/>
      <c r="F68" s="38" t="n"/>
      <c r="G68" s="38" t="n"/>
      <c r="H68" s="38" t="n"/>
      <c r="I68" s="38" t="n"/>
      <c r="J68" s="50">
        <f>IF($A68&gt;TODAY(),"",SUMIFS('Daily Log'!$C$4:$C$734,'Daily Log'!$A$4:$A$734,"&gt;="&amp;$A68,'Daily Log'!$A$4:$A$734,"&lt;="&amp;$A68+6))</f>
        <v/>
      </c>
      <c r="K68" s="50">
        <f>IF($A68&gt;TODAY(),"",SUMIFS('Daily Log'!$D$4:$D$734,'Daily Log'!$A$4:$A$734,"&gt;="&amp;$A68,'Daily Log'!$A$4:$A$734,"&lt;="&amp;$A68+6))</f>
        <v/>
      </c>
      <c r="L68" s="79">
        <f>IFERROR(E68/J68,"")</f>
        <v/>
      </c>
      <c r="M68" s="79">
        <f>IFERROR(H68/E68*1000,"")</f>
        <v/>
      </c>
      <c r="N68" s="87" t="n"/>
    </row>
    <row r="69">
      <c r="A69" s="85">
        <f>A68+7</f>
        <v/>
      </c>
      <c r="B69" s="38" t="n"/>
      <c r="C69" s="86">
        <f>IF(OR(B69="",B68=""),"",B69-B68)</f>
        <v/>
      </c>
      <c r="D69" s="59">
        <f>IF(OR(B69="",B68=""),"",IFERROR((B69-B68)/B68,""))</f>
        <v/>
      </c>
      <c r="E69" s="38" t="n"/>
      <c r="F69" s="38" t="n"/>
      <c r="G69" s="38" t="n"/>
      <c r="H69" s="38" t="n"/>
      <c r="I69" s="38" t="n"/>
      <c r="J69" s="50">
        <f>IF($A69&gt;TODAY(),"",SUMIFS('Daily Log'!$C$4:$C$734,'Daily Log'!$A$4:$A$734,"&gt;="&amp;$A69,'Daily Log'!$A$4:$A$734,"&lt;="&amp;$A69+6))</f>
        <v/>
      </c>
      <c r="K69" s="50">
        <f>IF($A69&gt;TODAY(),"",SUMIFS('Daily Log'!$D$4:$D$734,'Daily Log'!$A$4:$A$734,"&gt;="&amp;$A69,'Daily Log'!$A$4:$A$734,"&lt;="&amp;$A69+6))</f>
        <v/>
      </c>
      <c r="L69" s="79">
        <f>IFERROR(E69/J69,"")</f>
        <v/>
      </c>
      <c r="M69" s="79">
        <f>IFERROR(H69/E69*1000,"")</f>
        <v/>
      </c>
      <c r="N69" s="87" t="n"/>
    </row>
    <row r="70">
      <c r="A70" s="85">
        <f>A69+7</f>
        <v/>
      </c>
      <c r="B70" s="38" t="n"/>
      <c r="C70" s="86">
        <f>IF(OR(B70="",B69=""),"",B70-B69)</f>
        <v/>
      </c>
      <c r="D70" s="59">
        <f>IF(OR(B70="",B69=""),"",IFERROR((B70-B69)/B69,""))</f>
        <v/>
      </c>
      <c r="E70" s="38" t="n"/>
      <c r="F70" s="38" t="n"/>
      <c r="G70" s="38" t="n"/>
      <c r="H70" s="38" t="n"/>
      <c r="I70" s="38" t="n"/>
      <c r="J70" s="50">
        <f>IF($A70&gt;TODAY(),"",SUMIFS('Daily Log'!$C$4:$C$734,'Daily Log'!$A$4:$A$734,"&gt;="&amp;$A70,'Daily Log'!$A$4:$A$734,"&lt;="&amp;$A70+6))</f>
        <v/>
      </c>
      <c r="K70" s="50">
        <f>IF($A70&gt;TODAY(),"",SUMIFS('Daily Log'!$D$4:$D$734,'Daily Log'!$A$4:$A$734,"&gt;="&amp;$A70,'Daily Log'!$A$4:$A$734,"&lt;="&amp;$A70+6))</f>
        <v/>
      </c>
      <c r="L70" s="79">
        <f>IFERROR(E70/J70,"")</f>
        <v/>
      </c>
      <c r="M70" s="79">
        <f>IFERROR(H70/E70*1000,"")</f>
        <v/>
      </c>
      <c r="N70" s="87" t="n"/>
    </row>
    <row r="71">
      <c r="A71" s="85">
        <f>A70+7</f>
        <v/>
      </c>
      <c r="B71" s="38" t="n"/>
      <c r="C71" s="86">
        <f>IF(OR(B71="",B70=""),"",B71-B70)</f>
        <v/>
      </c>
      <c r="D71" s="59">
        <f>IF(OR(B71="",B70=""),"",IFERROR((B71-B70)/B70,""))</f>
        <v/>
      </c>
      <c r="E71" s="38" t="n"/>
      <c r="F71" s="38" t="n"/>
      <c r="G71" s="38" t="n"/>
      <c r="H71" s="38" t="n"/>
      <c r="I71" s="38" t="n"/>
      <c r="J71" s="50">
        <f>IF($A71&gt;TODAY(),"",SUMIFS('Daily Log'!$C$4:$C$734,'Daily Log'!$A$4:$A$734,"&gt;="&amp;$A71,'Daily Log'!$A$4:$A$734,"&lt;="&amp;$A71+6))</f>
        <v/>
      </c>
      <c r="K71" s="50">
        <f>IF($A71&gt;TODAY(),"",SUMIFS('Daily Log'!$D$4:$D$734,'Daily Log'!$A$4:$A$734,"&gt;="&amp;$A71,'Daily Log'!$A$4:$A$734,"&lt;="&amp;$A71+6))</f>
        <v/>
      </c>
      <c r="L71" s="79">
        <f>IFERROR(E71/J71,"")</f>
        <v/>
      </c>
      <c r="M71" s="79">
        <f>IFERROR(H71/E71*1000,"")</f>
        <v/>
      </c>
      <c r="N71" s="87" t="n"/>
    </row>
    <row r="72">
      <c r="A72" s="85">
        <f>A71+7</f>
        <v/>
      </c>
      <c r="B72" s="38" t="n"/>
      <c r="C72" s="86">
        <f>IF(OR(B72="",B71=""),"",B72-B71)</f>
        <v/>
      </c>
      <c r="D72" s="59">
        <f>IF(OR(B72="",B71=""),"",IFERROR((B72-B71)/B71,""))</f>
        <v/>
      </c>
      <c r="E72" s="38" t="n"/>
      <c r="F72" s="38" t="n"/>
      <c r="G72" s="38" t="n"/>
      <c r="H72" s="38" t="n"/>
      <c r="I72" s="38" t="n"/>
      <c r="J72" s="50">
        <f>IF($A72&gt;TODAY(),"",SUMIFS('Daily Log'!$C$4:$C$734,'Daily Log'!$A$4:$A$734,"&gt;="&amp;$A72,'Daily Log'!$A$4:$A$734,"&lt;="&amp;$A72+6))</f>
        <v/>
      </c>
      <c r="K72" s="50">
        <f>IF($A72&gt;TODAY(),"",SUMIFS('Daily Log'!$D$4:$D$734,'Daily Log'!$A$4:$A$734,"&gt;="&amp;$A72,'Daily Log'!$A$4:$A$734,"&lt;="&amp;$A72+6))</f>
        <v/>
      </c>
      <c r="L72" s="79">
        <f>IFERROR(E72/J72,"")</f>
        <v/>
      </c>
      <c r="M72" s="79">
        <f>IFERROR(H72/E72*1000,"")</f>
        <v/>
      </c>
      <c r="N72" s="87" t="n"/>
    </row>
    <row r="73">
      <c r="A73" s="85">
        <f>A72+7</f>
        <v/>
      </c>
      <c r="B73" s="38" t="n"/>
      <c r="C73" s="86">
        <f>IF(OR(B73="",B72=""),"",B73-B72)</f>
        <v/>
      </c>
      <c r="D73" s="59">
        <f>IF(OR(B73="",B72=""),"",IFERROR((B73-B72)/B72,""))</f>
        <v/>
      </c>
      <c r="E73" s="38" t="n"/>
      <c r="F73" s="38" t="n"/>
      <c r="G73" s="38" t="n"/>
      <c r="H73" s="38" t="n"/>
      <c r="I73" s="38" t="n"/>
      <c r="J73" s="50">
        <f>IF($A73&gt;TODAY(),"",SUMIFS('Daily Log'!$C$4:$C$734,'Daily Log'!$A$4:$A$734,"&gt;="&amp;$A73,'Daily Log'!$A$4:$A$734,"&lt;="&amp;$A73+6))</f>
        <v/>
      </c>
      <c r="K73" s="50">
        <f>IF($A73&gt;TODAY(),"",SUMIFS('Daily Log'!$D$4:$D$734,'Daily Log'!$A$4:$A$734,"&gt;="&amp;$A73,'Daily Log'!$A$4:$A$734,"&lt;="&amp;$A73+6))</f>
        <v/>
      </c>
      <c r="L73" s="79">
        <f>IFERROR(E73/J73,"")</f>
        <v/>
      </c>
      <c r="M73" s="79">
        <f>IFERROR(H73/E73*1000,"")</f>
        <v/>
      </c>
      <c r="N73" s="87" t="n"/>
    </row>
    <row r="74">
      <c r="A74" s="85">
        <f>A73+7</f>
        <v/>
      </c>
      <c r="B74" s="38" t="n"/>
      <c r="C74" s="86">
        <f>IF(OR(B74="",B73=""),"",B74-B73)</f>
        <v/>
      </c>
      <c r="D74" s="59">
        <f>IF(OR(B74="",B73=""),"",IFERROR((B74-B73)/B73,""))</f>
        <v/>
      </c>
      <c r="E74" s="38" t="n"/>
      <c r="F74" s="38" t="n"/>
      <c r="G74" s="38" t="n"/>
      <c r="H74" s="38" t="n"/>
      <c r="I74" s="38" t="n"/>
      <c r="J74" s="50">
        <f>IF($A74&gt;TODAY(),"",SUMIFS('Daily Log'!$C$4:$C$734,'Daily Log'!$A$4:$A$734,"&gt;="&amp;$A74,'Daily Log'!$A$4:$A$734,"&lt;="&amp;$A74+6))</f>
        <v/>
      </c>
      <c r="K74" s="50">
        <f>IF($A74&gt;TODAY(),"",SUMIFS('Daily Log'!$D$4:$D$734,'Daily Log'!$A$4:$A$734,"&gt;="&amp;$A74,'Daily Log'!$A$4:$A$734,"&lt;="&amp;$A74+6))</f>
        <v/>
      </c>
      <c r="L74" s="79">
        <f>IFERROR(E74/J74,"")</f>
        <v/>
      </c>
      <c r="M74" s="79">
        <f>IFERROR(H74/E74*1000,"")</f>
        <v/>
      </c>
      <c r="N74" s="87" t="n"/>
    </row>
    <row r="75">
      <c r="A75" s="85">
        <f>A74+7</f>
        <v/>
      </c>
      <c r="B75" s="38" t="n"/>
      <c r="C75" s="86">
        <f>IF(OR(B75="",B74=""),"",B75-B74)</f>
        <v/>
      </c>
      <c r="D75" s="59">
        <f>IF(OR(B75="",B74=""),"",IFERROR((B75-B74)/B74,""))</f>
        <v/>
      </c>
      <c r="E75" s="38" t="n"/>
      <c r="F75" s="38" t="n"/>
      <c r="G75" s="38" t="n"/>
      <c r="H75" s="38" t="n"/>
      <c r="I75" s="38" t="n"/>
      <c r="J75" s="50">
        <f>IF($A75&gt;TODAY(),"",SUMIFS('Daily Log'!$C$4:$C$734,'Daily Log'!$A$4:$A$734,"&gt;="&amp;$A75,'Daily Log'!$A$4:$A$734,"&lt;="&amp;$A75+6))</f>
        <v/>
      </c>
      <c r="K75" s="50">
        <f>IF($A75&gt;TODAY(),"",SUMIFS('Daily Log'!$D$4:$D$734,'Daily Log'!$A$4:$A$734,"&gt;="&amp;$A75,'Daily Log'!$A$4:$A$734,"&lt;="&amp;$A75+6))</f>
        <v/>
      </c>
      <c r="L75" s="79">
        <f>IFERROR(E75/J75,"")</f>
        <v/>
      </c>
      <c r="M75" s="79">
        <f>IFERROR(H75/E75*1000,"")</f>
        <v/>
      </c>
      <c r="N75" s="87" t="n"/>
    </row>
    <row r="76">
      <c r="A76" s="85">
        <f>A75+7</f>
        <v/>
      </c>
      <c r="B76" s="38" t="n"/>
      <c r="C76" s="86">
        <f>IF(OR(B76="",B75=""),"",B76-B75)</f>
        <v/>
      </c>
      <c r="D76" s="59">
        <f>IF(OR(B76="",B75=""),"",IFERROR((B76-B75)/B75,""))</f>
        <v/>
      </c>
      <c r="E76" s="38" t="n"/>
      <c r="F76" s="38" t="n"/>
      <c r="G76" s="38" t="n"/>
      <c r="H76" s="38" t="n"/>
      <c r="I76" s="38" t="n"/>
      <c r="J76" s="50">
        <f>IF($A76&gt;TODAY(),"",SUMIFS('Daily Log'!$C$4:$C$734,'Daily Log'!$A$4:$A$734,"&gt;="&amp;$A76,'Daily Log'!$A$4:$A$734,"&lt;="&amp;$A76+6))</f>
        <v/>
      </c>
      <c r="K76" s="50">
        <f>IF($A76&gt;TODAY(),"",SUMIFS('Daily Log'!$D$4:$D$734,'Daily Log'!$A$4:$A$734,"&gt;="&amp;$A76,'Daily Log'!$A$4:$A$734,"&lt;="&amp;$A76+6))</f>
        <v/>
      </c>
      <c r="L76" s="79">
        <f>IFERROR(E76/J76,"")</f>
        <v/>
      </c>
      <c r="M76" s="79">
        <f>IFERROR(H76/E76*1000,"")</f>
        <v/>
      </c>
      <c r="N76" s="87" t="n"/>
    </row>
    <row r="77">
      <c r="A77" s="85">
        <f>A76+7</f>
        <v/>
      </c>
      <c r="B77" s="38" t="n"/>
      <c r="C77" s="86">
        <f>IF(OR(B77="",B76=""),"",B77-B76)</f>
        <v/>
      </c>
      <c r="D77" s="59">
        <f>IF(OR(B77="",B76=""),"",IFERROR((B77-B76)/B76,""))</f>
        <v/>
      </c>
      <c r="E77" s="38" t="n"/>
      <c r="F77" s="38" t="n"/>
      <c r="G77" s="38" t="n"/>
      <c r="H77" s="38" t="n"/>
      <c r="I77" s="38" t="n"/>
      <c r="J77" s="50">
        <f>IF($A77&gt;TODAY(),"",SUMIFS('Daily Log'!$C$4:$C$734,'Daily Log'!$A$4:$A$734,"&gt;="&amp;$A77,'Daily Log'!$A$4:$A$734,"&lt;="&amp;$A77+6))</f>
        <v/>
      </c>
      <c r="K77" s="50">
        <f>IF($A77&gt;TODAY(),"",SUMIFS('Daily Log'!$D$4:$D$734,'Daily Log'!$A$4:$A$734,"&gt;="&amp;$A77,'Daily Log'!$A$4:$A$734,"&lt;="&amp;$A77+6))</f>
        <v/>
      </c>
      <c r="L77" s="79">
        <f>IFERROR(E77/J77,"")</f>
        <v/>
      </c>
      <c r="M77" s="79">
        <f>IFERROR(H77/E77*1000,"")</f>
        <v/>
      </c>
      <c r="N77" s="87" t="n"/>
    </row>
    <row r="78">
      <c r="A78" s="85">
        <f>A77+7</f>
        <v/>
      </c>
      <c r="B78" s="38" t="n"/>
      <c r="C78" s="86">
        <f>IF(OR(B78="",B77=""),"",B78-B77)</f>
        <v/>
      </c>
      <c r="D78" s="59">
        <f>IF(OR(B78="",B77=""),"",IFERROR((B78-B77)/B77,""))</f>
        <v/>
      </c>
      <c r="E78" s="38" t="n"/>
      <c r="F78" s="38" t="n"/>
      <c r="G78" s="38" t="n"/>
      <c r="H78" s="38" t="n"/>
      <c r="I78" s="38" t="n"/>
      <c r="J78" s="50">
        <f>IF($A78&gt;TODAY(),"",SUMIFS('Daily Log'!$C$4:$C$734,'Daily Log'!$A$4:$A$734,"&gt;="&amp;$A78,'Daily Log'!$A$4:$A$734,"&lt;="&amp;$A78+6))</f>
        <v/>
      </c>
      <c r="K78" s="50">
        <f>IF($A78&gt;TODAY(),"",SUMIFS('Daily Log'!$D$4:$D$734,'Daily Log'!$A$4:$A$734,"&gt;="&amp;$A78,'Daily Log'!$A$4:$A$734,"&lt;="&amp;$A78+6))</f>
        <v/>
      </c>
      <c r="L78" s="79">
        <f>IFERROR(E78/J78,"")</f>
        <v/>
      </c>
      <c r="M78" s="79">
        <f>IFERROR(H78/E78*1000,"")</f>
        <v/>
      </c>
      <c r="N78" s="87" t="n"/>
    </row>
    <row r="79">
      <c r="A79" s="85">
        <f>A78+7</f>
        <v/>
      </c>
      <c r="B79" s="38" t="n"/>
      <c r="C79" s="86">
        <f>IF(OR(B79="",B78=""),"",B79-B78)</f>
        <v/>
      </c>
      <c r="D79" s="59">
        <f>IF(OR(B79="",B78=""),"",IFERROR((B79-B78)/B78,""))</f>
        <v/>
      </c>
      <c r="E79" s="38" t="n"/>
      <c r="F79" s="38" t="n"/>
      <c r="G79" s="38" t="n"/>
      <c r="H79" s="38" t="n"/>
      <c r="I79" s="38" t="n"/>
      <c r="J79" s="50">
        <f>IF($A79&gt;TODAY(),"",SUMIFS('Daily Log'!$C$4:$C$734,'Daily Log'!$A$4:$A$734,"&gt;="&amp;$A79,'Daily Log'!$A$4:$A$734,"&lt;="&amp;$A79+6))</f>
        <v/>
      </c>
      <c r="K79" s="50">
        <f>IF($A79&gt;TODAY(),"",SUMIFS('Daily Log'!$D$4:$D$734,'Daily Log'!$A$4:$A$734,"&gt;="&amp;$A79,'Daily Log'!$A$4:$A$734,"&lt;="&amp;$A79+6))</f>
        <v/>
      </c>
      <c r="L79" s="79">
        <f>IFERROR(E79/J79,"")</f>
        <v/>
      </c>
      <c r="M79" s="79">
        <f>IFERROR(H79/E79*1000,"")</f>
        <v/>
      </c>
      <c r="N79" s="87" t="n"/>
    </row>
    <row r="80">
      <c r="A80" s="85">
        <f>A79+7</f>
        <v/>
      </c>
      <c r="B80" s="38" t="n"/>
      <c r="C80" s="86">
        <f>IF(OR(B80="",B79=""),"",B80-B79)</f>
        <v/>
      </c>
      <c r="D80" s="59">
        <f>IF(OR(B80="",B79=""),"",IFERROR((B80-B79)/B79,""))</f>
        <v/>
      </c>
      <c r="E80" s="38" t="n"/>
      <c r="F80" s="38" t="n"/>
      <c r="G80" s="38" t="n"/>
      <c r="H80" s="38" t="n"/>
      <c r="I80" s="38" t="n"/>
      <c r="J80" s="50">
        <f>IF($A80&gt;TODAY(),"",SUMIFS('Daily Log'!$C$4:$C$734,'Daily Log'!$A$4:$A$734,"&gt;="&amp;$A80,'Daily Log'!$A$4:$A$734,"&lt;="&amp;$A80+6))</f>
        <v/>
      </c>
      <c r="K80" s="50">
        <f>IF($A80&gt;TODAY(),"",SUMIFS('Daily Log'!$D$4:$D$734,'Daily Log'!$A$4:$A$734,"&gt;="&amp;$A80,'Daily Log'!$A$4:$A$734,"&lt;="&amp;$A80+6))</f>
        <v/>
      </c>
      <c r="L80" s="79">
        <f>IFERROR(E80/J80,"")</f>
        <v/>
      </c>
      <c r="M80" s="79">
        <f>IFERROR(H80/E80*1000,"")</f>
        <v/>
      </c>
      <c r="N80" s="87" t="n"/>
    </row>
    <row r="81">
      <c r="A81" s="85">
        <f>A80+7</f>
        <v/>
      </c>
      <c r="B81" s="38" t="n"/>
      <c r="C81" s="86">
        <f>IF(OR(B81="",B80=""),"",B81-B80)</f>
        <v/>
      </c>
      <c r="D81" s="59">
        <f>IF(OR(B81="",B80=""),"",IFERROR((B81-B80)/B80,""))</f>
        <v/>
      </c>
      <c r="E81" s="38" t="n"/>
      <c r="F81" s="38" t="n"/>
      <c r="G81" s="38" t="n"/>
      <c r="H81" s="38" t="n"/>
      <c r="I81" s="38" t="n"/>
      <c r="J81" s="50">
        <f>IF($A81&gt;TODAY(),"",SUMIFS('Daily Log'!$C$4:$C$734,'Daily Log'!$A$4:$A$734,"&gt;="&amp;$A81,'Daily Log'!$A$4:$A$734,"&lt;="&amp;$A81+6))</f>
        <v/>
      </c>
      <c r="K81" s="50">
        <f>IF($A81&gt;TODAY(),"",SUMIFS('Daily Log'!$D$4:$D$734,'Daily Log'!$A$4:$A$734,"&gt;="&amp;$A81,'Daily Log'!$A$4:$A$734,"&lt;="&amp;$A81+6))</f>
        <v/>
      </c>
      <c r="L81" s="79">
        <f>IFERROR(E81/J81,"")</f>
        <v/>
      </c>
      <c r="M81" s="79">
        <f>IFERROR(H81/E81*1000,"")</f>
        <v/>
      </c>
      <c r="N81" s="87" t="n"/>
    </row>
    <row r="82">
      <c r="A82" s="85">
        <f>A81+7</f>
        <v/>
      </c>
      <c r="B82" s="38" t="n"/>
      <c r="C82" s="86">
        <f>IF(OR(B82="",B81=""),"",B82-B81)</f>
        <v/>
      </c>
      <c r="D82" s="59">
        <f>IF(OR(B82="",B81=""),"",IFERROR((B82-B81)/B81,""))</f>
        <v/>
      </c>
      <c r="E82" s="38" t="n"/>
      <c r="F82" s="38" t="n"/>
      <c r="G82" s="38" t="n"/>
      <c r="H82" s="38" t="n"/>
      <c r="I82" s="38" t="n"/>
      <c r="J82" s="50">
        <f>IF($A82&gt;TODAY(),"",SUMIFS('Daily Log'!$C$4:$C$734,'Daily Log'!$A$4:$A$734,"&gt;="&amp;$A82,'Daily Log'!$A$4:$A$734,"&lt;="&amp;$A82+6))</f>
        <v/>
      </c>
      <c r="K82" s="50">
        <f>IF($A82&gt;TODAY(),"",SUMIFS('Daily Log'!$D$4:$D$734,'Daily Log'!$A$4:$A$734,"&gt;="&amp;$A82,'Daily Log'!$A$4:$A$734,"&lt;="&amp;$A82+6))</f>
        <v/>
      </c>
      <c r="L82" s="79">
        <f>IFERROR(E82/J82,"")</f>
        <v/>
      </c>
      <c r="M82" s="79">
        <f>IFERROR(H82/E82*1000,"")</f>
        <v/>
      </c>
      <c r="N82" s="87" t="n"/>
    </row>
    <row r="83">
      <c r="A83" s="85">
        <f>A82+7</f>
        <v/>
      </c>
      <c r="B83" s="38" t="n"/>
      <c r="C83" s="86">
        <f>IF(OR(B83="",B82=""),"",B83-B82)</f>
        <v/>
      </c>
      <c r="D83" s="59">
        <f>IF(OR(B83="",B82=""),"",IFERROR((B83-B82)/B82,""))</f>
        <v/>
      </c>
      <c r="E83" s="38" t="n"/>
      <c r="F83" s="38" t="n"/>
      <c r="G83" s="38" t="n"/>
      <c r="H83" s="38" t="n"/>
      <c r="I83" s="38" t="n"/>
      <c r="J83" s="50">
        <f>IF($A83&gt;TODAY(),"",SUMIFS('Daily Log'!$C$4:$C$734,'Daily Log'!$A$4:$A$734,"&gt;="&amp;$A83,'Daily Log'!$A$4:$A$734,"&lt;="&amp;$A83+6))</f>
        <v/>
      </c>
      <c r="K83" s="50">
        <f>IF($A83&gt;TODAY(),"",SUMIFS('Daily Log'!$D$4:$D$734,'Daily Log'!$A$4:$A$734,"&gt;="&amp;$A83,'Daily Log'!$A$4:$A$734,"&lt;="&amp;$A83+6))</f>
        <v/>
      </c>
      <c r="L83" s="79">
        <f>IFERROR(E83/J83,"")</f>
        <v/>
      </c>
      <c r="M83" s="79">
        <f>IFERROR(H83/E83*1000,"")</f>
        <v/>
      </c>
      <c r="N83" s="87" t="n"/>
    </row>
    <row r="84">
      <c r="A84" s="85">
        <f>A83+7</f>
        <v/>
      </c>
      <c r="B84" s="38" t="n"/>
      <c r="C84" s="86">
        <f>IF(OR(B84="",B83=""),"",B84-B83)</f>
        <v/>
      </c>
      <c r="D84" s="59">
        <f>IF(OR(B84="",B83=""),"",IFERROR((B84-B83)/B83,""))</f>
        <v/>
      </c>
      <c r="E84" s="38" t="n"/>
      <c r="F84" s="38" t="n"/>
      <c r="G84" s="38" t="n"/>
      <c r="H84" s="38" t="n"/>
      <c r="I84" s="38" t="n"/>
      <c r="J84" s="50">
        <f>IF($A84&gt;TODAY(),"",SUMIFS('Daily Log'!$C$4:$C$734,'Daily Log'!$A$4:$A$734,"&gt;="&amp;$A84,'Daily Log'!$A$4:$A$734,"&lt;="&amp;$A84+6))</f>
        <v/>
      </c>
      <c r="K84" s="50">
        <f>IF($A84&gt;TODAY(),"",SUMIFS('Daily Log'!$D$4:$D$734,'Daily Log'!$A$4:$A$734,"&gt;="&amp;$A84,'Daily Log'!$A$4:$A$734,"&lt;="&amp;$A84+6))</f>
        <v/>
      </c>
      <c r="L84" s="79">
        <f>IFERROR(E84/J84,"")</f>
        <v/>
      </c>
      <c r="M84" s="79">
        <f>IFERROR(H84/E84*1000,"")</f>
        <v/>
      </c>
      <c r="N84" s="87" t="n"/>
    </row>
    <row r="85">
      <c r="A85" s="85">
        <f>A84+7</f>
        <v/>
      </c>
      <c r="B85" s="38" t="n"/>
      <c r="C85" s="86">
        <f>IF(OR(B85="",B84=""),"",B85-B84)</f>
        <v/>
      </c>
      <c r="D85" s="59">
        <f>IF(OR(B85="",B84=""),"",IFERROR((B85-B84)/B84,""))</f>
        <v/>
      </c>
      <c r="E85" s="38" t="n"/>
      <c r="F85" s="38" t="n"/>
      <c r="G85" s="38" t="n"/>
      <c r="H85" s="38" t="n"/>
      <c r="I85" s="38" t="n"/>
      <c r="J85" s="50">
        <f>IF($A85&gt;TODAY(),"",SUMIFS('Daily Log'!$C$4:$C$734,'Daily Log'!$A$4:$A$734,"&gt;="&amp;$A85,'Daily Log'!$A$4:$A$734,"&lt;="&amp;$A85+6))</f>
        <v/>
      </c>
      <c r="K85" s="50">
        <f>IF($A85&gt;TODAY(),"",SUMIFS('Daily Log'!$D$4:$D$734,'Daily Log'!$A$4:$A$734,"&gt;="&amp;$A85,'Daily Log'!$A$4:$A$734,"&lt;="&amp;$A85+6))</f>
        <v/>
      </c>
      <c r="L85" s="79">
        <f>IFERROR(E85/J85,"")</f>
        <v/>
      </c>
      <c r="M85" s="79">
        <f>IFERROR(H85/E85*1000,"")</f>
        <v/>
      </c>
      <c r="N85" s="87" t="n"/>
    </row>
    <row r="86">
      <c r="A86" s="85">
        <f>A85+7</f>
        <v/>
      </c>
      <c r="B86" s="38" t="n"/>
      <c r="C86" s="86">
        <f>IF(OR(B86="",B85=""),"",B86-B85)</f>
        <v/>
      </c>
      <c r="D86" s="59">
        <f>IF(OR(B86="",B85=""),"",IFERROR((B86-B85)/B85,""))</f>
        <v/>
      </c>
      <c r="E86" s="38" t="n"/>
      <c r="F86" s="38" t="n"/>
      <c r="G86" s="38" t="n"/>
      <c r="H86" s="38" t="n"/>
      <c r="I86" s="38" t="n"/>
      <c r="J86" s="50">
        <f>IF($A86&gt;TODAY(),"",SUMIFS('Daily Log'!$C$4:$C$734,'Daily Log'!$A$4:$A$734,"&gt;="&amp;$A86,'Daily Log'!$A$4:$A$734,"&lt;="&amp;$A86+6))</f>
        <v/>
      </c>
      <c r="K86" s="50">
        <f>IF($A86&gt;TODAY(),"",SUMIFS('Daily Log'!$D$4:$D$734,'Daily Log'!$A$4:$A$734,"&gt;="&amp;$A86,'Daily Log'!$A$4:$A$734,"&lt;="&amp;$A86+6))</f>
        <v/>
      </c>
      <c r="L86" s="79">
        <f>IFERROR(E86/J86,"")</f>
        <v/>
      </c>
      <c r="M86" s="79">
        <f>IFERROR(H86/E86*1000,"")</f>
        <v/>
      </c>
      <c r="N86" s="87" t="n"/>
    </row>
    <row r="87">
      <c r="A87" s="85">
        <f>A86+7</f>
        <v/>
      </c>
      <c r="B87" s="38" t="n"/>
      <c r="C87" s="86">
        <f>IF(OR(B87="",B86=""),"",B87-B86)</f>
        <v/>
      </c>
      <c r="D87" s="59">
        <f>IF(OR(B87="",B86=""),"",IFERROR((B87-B86)/B86,""))</f>
        <v/>
      </c>
      <c r="E87" s="38" t="n"/>
      <c r="F87" s="38" t="n"/>
      <c r="G87" s="38" t="n"/>
      <c r="H87" s="38" t="n"/>
      <c r="I87" s="38" t="n"/>
      <c r="J87" s="50">
        <f>IF($A87&gt;TODAY(),"",SUMIFS('Daily Log'!$C$4:$C$734,'Daily Log'!$A$4:$A$734,"&gt;="&amp;$A87,'Daily Log'!$A$4:$A$734,"&lt;="&amp;$A87+6))</f>
        <v/>
      </c>
      <c r="K87" s="50">
        <f>IF($A87&gt;TODAY(),"",SUMIFS('Daily Log'!$D$4:$D$734,'Daily Log'!$A$4:$A$734,"&gt;="&amp;$A87,'Daily Log'!$A$4:$A$734,"&lt;="&amp;$A87+6))</f>
        <v/>
      </c>
      <c r="L87" s="79">
        <f>IFERROR(E87/J87,"")</f>
        <v/>
      </c>
      <c r="M87" s="79">
        <f>IFERROR(H87/E87*1000,"")</f>
        <v/>
      </c>
      <c r="N87" s="87" t="n"/>
    </row>
    <row r="88">
      <c r="A88" s="85">
        <f>A87+7</f>
        <v/>
      </c>
      <c r="B88" s="38" t="n"/>
      <c r="C88" s="86">
        <f>IF(OR(B88="",B87=""),"",B88-B87)</f>
        <v/>
      </c>
      <c r="D88" s="59">
        <f>IF(OR(B88="",B87=""),"",IFERROR((B88-B87)/B87,""))</f>
        <v/>
      </c>
      <c r="E88" s="38" t="n"/>
      <c r="F88" s="38" t="n"/>
      <c r="G88" s="38" t="n"/>
      <c r="H88" s="38" t="n"/>
      <c r="I88" s="38" t="n"/>
      <c r="J88" s="50">
        <f>IF($A88&gt;TODAY(),"",SUMIFS('Daily Log'!$C$4:$C$734,'Daily Log'!$A$4:$A$734,"&gt;="&amp;$A88,'Daily Log'!$A$4:$A$734,"&lt;="&amp;$A88+6))</f>
        <v/>
      </c>
      <c r="K88" s="50">
        <f>IF($A88&gt;TODAY(),"",SUMIFS('Daily Log'!$D$4:$D$734,'Daily Log'!$A$4:$A$734,"&gt;="&amp;$A88,'Daily Log'!$A$4:$A$734,"&lt;="&amp;$A88+6))</f>
        <v/>
      </c>
      <c r="L88" s="79">
        <f>IFERROR(E88/J88,"")</f>
        <v/>
      </c>
      <c r="M88" s="79">
        <f>IFERROR(H88/E88*1000,"")</f>
        <v/>
      </c>
      <c r="N88" s="87" t="n"/>
    </row>
    <row r="89">
      <c r="A89" s="85">
        <f>A88+7</f>
        <v/>
      </c>
      <c r="B89" s="38" t="n"/>
      <c r="C89" s="86">
        <f>IF(OR(B89="",B88=""),"",B89-B88)</f>
        <v/>
      </c>
      <c r="D89" s="59">
        <f>IF(OR(B89="",B88=""),"",IFERROR((B89-B88)/B88,""))</f>
        <v/>
      </c>
      <c r="E89" s="38" t="n"/>
      <c r="F89" s="38" t="n"/>
      <c r="G89" s="38" t="n"/>
      <c r="H89" s="38" t="n"/>
      <c r="I89" s="38" t="n"/>
      <c r="J89" s="50">
        <f>IF($A89&gt;TODAY(),"",SUMIFS('Daily Log'!$C$4:$C$734,'Daily Log'!$A$4:$A$734,"&gt;="&amp;$A89,'Daily Log'!$A$4:$A$734,"&lt;="&amp;$A89+6))</f>
        <v/>
      </c>
      <c r="K89" s="50">
        <f>IF($A89&gt;TODAY(),"",SUMIFS('Daily Log'!$D$4:$D$734,'Daily Log'!$A$4:$A$734,"&gt;="&amp;$A89,'Daily Log'!$A$4:$A$734,"&lt;="&amp;$A89+6))</f>
        <v/>
      </c>
      <c r="L89" s="79">
        <f>IFERROR(E89/J89,"")</f>
        <v/>
      </c>
      <c r="M89" s="79">
        <f>IFERROR(H89/E89*1000,"")</f>
        <v/>
      </c>
      <c r="N89" s="87" t="n"/>
    </row>
    <row r="90">
      <c r="A90" s="85">
        <f>A89+7</f>
        <v/>
      </c>
      <c r="B90" s="38" t="n"/>
      <c r="C90" s="86">
        <f>IF(OR(B90="",B89=""),"",B90-B89)</f>
        <v/>
      </c>
      <c r="D90" s="59">
        <f>IF(OR(B90="",B89=""),"",IFERROR((B90-B89)/B89,""))</f>
        <v/>
      </c>
      <c r="E90" s="38" t="n"/>
      <c r="F90" s="38" t="n"/>
      <c r="G90" s="38" t="n"/>
      <c r="H90" s="38" t="n"/>
      <c r="I90" s="38" t="n"/>
      <c r="J90" s="50">
        <f>IF($A90&gt;TODAY(),"",SUMIFS('Daily Log'!$C$4:$C$734,'Daily Log'!$A$4:$A$734,"&gt;="&amp;$A90,'Daily Log'!$A$4:$A$734,"&lt;="&amp;$A90+6))</f>
        <v/>
      </c>
      <c r="K90" s="50">
        <f>IF($A90&gt;TODAY(),"",SUMIFS('Daily Log'!$D$4:$D$734,'Daily Log'!$A$4:$A$734,"&gt;="&amp;$A90,'Daily Log'!$A$4:$A$734,"&lt;="&amp;$A90+6))</f>
        <v/>
      </c>
      <c r="L90" s="79">
        <f>IFERROR(E90/J90,"")</f>
        <v/>
      </c>
      <c r="M90" s="79">
        <f>IFERROR(H90/E90*1000,"")</f>
        <v/>
      </c>
      <c r="N90" s="87" t="n"/>
    </row>
    <row r="91">
      <c r="A91" s="85">
        <f>A90+7</f>
        <v/>
      </c>
      <c r="B91" s="38" t="n"/>
      <c r="C91" s="86">
        <f>IF(OR(B91="",B90=""),"",B91-B90)</f>
        <v/>
      </c>
      <c r="D91" s="59">
        <f>IF(OR(B91="",B90=""),"",IFERROR((B91-B90)/B90,""))</f>
        <v/>
      </c>
      <c r="E91" s="38" t="n"/>
      <c r="F91" s="38" t="n"/>
      <c r="G91" s="38" t="n"/>
      <c r="H91" s="38" t="n"/>
      <c r="I91" s="38" t="n"/>
      <c r="J91" s="50">
        <f>IF($A91&gt;TODAY(),"",SUMIFS('Daily Log'!$C$4:$C$734,'Daily Log'!$A$4:$A$734,"&gt;="&amp;$A91,'Daily Log'!$A$4:$A$734,"&lt;="&amp;$A91+6))</f>
        <v/>
      </c>
      <c r="K91" s="50">
        <f>IF($A91&gt;TODAY(),"",SUMIFS('Daily Log'!$D$4:$D$734,'Daily Log'!$A$4:$A$734,"&gt;="&amp;$A91,'Daily Log'!$A$4:$A$734,"&lt;="&amp;$A91+6))</f>
        <v/>
      </c>
      <c r="L91" s="79">
        <f>IFERROR(E91/J91,"")</f>
        <v/>
      </c>
      <c r="M91" s="79">
        <f>IFERROR(H91/E91*1000,"")</f>
        <v/>
      </c>
      <c r="N91" s="87" t="n"/>
    </row>
    <row r="92">
      <c r="A92" s="85">
        <f>A91+7</f>
        <v/>
      </c>
      <c r="B92" s="38" t="n"/>
      <c r="C92" s="86">
        <f>IF(OR(B92="",B91=""),"",B92-B91)</f>
        <v/>
      </c>
      <c r="D92" s="59">
        <f>IF(OR(B92="",B91=""),"",IFERROR((B92-B91)/B91,""))</f>
        <v/>
      </c>
      <c r="E92" s="38" t="n"/>
      <c r="F92" s="38" t="n"/>
      <c r="G92" s="38" t="n"/>
      <c r="H92" s="38" t="n"/>
      <c r="I92" s="38" t="n"/>
      <c r="J92" s="50">
        <f>IF($A92&gt;TODAY(),"",SUMIFS('Daily Log'!$C$4:$C$734,'Daily Log'!$A$4:$A$734,"&gt;="&amp;$A92,'Daily Log'!$A$4:$A$734,"&lt;="&amp;$A92+6))</f>
        <v/>
      </c>
      <c r="K92" s="50">
        <f>IF($A92&gt;TODAY(),"",SUMIFS('Daily Log'!$D$4:$D$734,'Daily Log'!$A$4:$A$734,"&gt;="&amp;$A92,'Daily Log'!$A$4:$A$734,"&lt;="&amp;$A92+6))</f>
        <v/>
      </c>
      <c r="L92" s="79">
        <f>IFERROR(E92/J92,"")</f>
        <v/>
      </c>
      <c r="M92" s="79">
        <f>IFERROR(H92/E92*1000,"")</f>
        <v/>
      </c>
      <c r="N92" s="87" t="n"/>
    </row>
    <row r="93">
      <c r="A93" s="85">
        <f>A92+7</f>
        <v/>
      </c>
      <c r="B93" s="38" t="n"/>
      <c r="C93" s="86">
        <f>IF(OR(B93="",B92=""),"",B93-B92)</f>
        <v/>
      </c>
      <c r="D93" s="59">
        <f>IF(OR(B93="",B92=""),"",IFERROR((B93-B92)/B92,""))</f>
        <v/>
      </c>
      <c r="E93" s="38" t="n"/>
      <c r="F93" s="38" t="n"/>
      <c r="G93" s="38" t="n"/>
      <c r="H93" s="38" t="n"/>
      <c r="I93" s="38" t="n"/>
      <c r="J93" s="50">
        <f>IF($A93&gt;TODAY(),"",SUMIFS('Daily Log'!$C$4:$C$734,'Daily Log'!$A$4:$A$734,"&gt;="&amp;$A93,'Daily Log'!$A$4:$A$734,"&lt;="&amp;$A93+6))</f>
        <v/>
      </c>
      <c r="K93" s="50">
        <f>IF($A93&gt;TODAY(),"",SUMIFS('Daily Log'!$D$4:$D$734,'Daily Log'!$A$4:$A$734,"&gt;="&amp;$A93,'Daily Log'!$A$4:$A$734,"&lt;="&amp;$A93+6))</f>
        <v/>
      </c>
      <c r="L93" s="79">
        <f>IFERROR(E93/J93,"")</f>
        <v/>
      </c>
      <c r="M93" s="79">
        <f>IFERROR(H93/E93*1000,"")</f>
        <v/>
      </c>
      <c r="N93" s="87" t="n"/>
    </row>
    <row r="94">
      <c r="A94" s="85">
        <f>A93+7</f>
        <v/>
      </c>
      <c r="B94" s="38" t="n"/>
      <c r="C94" s="86">
        <f>IF(OR(B94="",B93=""),"",B94-B93)</f>
        <v/>
      </c>
      <c r="D94" s="59">
        <f>IF(OR(B94="",B93=""),"",IFERROR((B94-B93)/B93,""))</f>
        <v/>
      </c>
      <c r="E94" s="38" t="n"/>
      <c r="F94" s="38" t="n"/>
      <c r="G94" s="38" t="n"/>
      <c r="H94" s="38" t="n"/>
      <c r="I94" s="38" t="n"/>
      <c r="J94" s="50">
        <f>IF($A94&gt;TODAY(),"",SUMIFS('Daily Log'!$C$4:$C$734,'Daily Log'!$A$4:$A$734,"&gt;="&amp;$A94,'Daily Log'!$A$4:$A$734,"&lt;="&amp;$A94+6))</f>
        <v/>
      </c>
      <c r="K94" s="50">
        <f>IF($A94&gt;TODAY(),"",SUMIFS('Daily Log'!$D$4:$D$734,'Daily Log'!$A$4:$A$734,"&gt;="&amp;$A94,'Daily Log'!$A$4:$A$734,"&lt;="&amp;$A94+6))</f>
        <v/>
      </c>
      <c r="L94" s="79">
        <f>IFERROR(E94/J94,"")</f>
        <v/>
      </c>
      <c r="M94" s="79">
        <f>IFERROR(H94/E94*1000,"")</f>
        <v/>
      </c>
      <c r="N94" s="87" t="n"/>
    </row>
    <row r="95">
      <c r="A95" s="85">
        <f>A94+7</f>
        <v/>
      </c>
      <c r="B95" s="38" t="n"/>
      <c r="C95" s="86">
        <f>IF(OR(B95="",B94=""),"",B95-B94)</f>
        <v/>
      </c>
      <c r="D95" s="59">
        <f>IF(OR(B95="",B94=""),"",IFERROR((B95-B94)/B94,""))</f>
        <v/>
      </c>
      <c r="E95" s="38" t="n"/>
      <c r="F95" s="38" t="n"/>
      <c r="G95" s="38" t="n"/>
      <c r="H95" s="38" t="n"/>
      <c r="I95" s="38" t="n"/>
      <c r="J95" s="50">
        <f>IF($A95&gt;TODAY(),"",SUMIFS('Daily Log'!$C$4:$C$734,'Daily Log'!$A$4:$A$734,"&gt;="&amp;$A95,'Daily Log'!$A$4:$A$734,"&lt;="&amp;$A95+6))</f>
        <v/>
      </c>
      <c r="K95" s="50">
        <f>IF($A95&gt;TODAY(),"",SUMIFS('Daily Log'!$D$4:$D$734,'Daily Log'!$A$4:$A$734,"&gt;="&amp;$A95,'Daily Log'!$A$4:$A$734,"&lt;="&amp;$A95+6))</f>
        <v/>
      </c>
      <c r="L95" s="79">
        <f>IFERROR(E95/J95,"")</f>
        <v/>
      </c>
      <c r="M95" s="79">
        <f>IFERROR(H95/E95*1000,"")</f>
        <v/>
      </c>
      <c r="N95" s="87" t="n"/>
    </row>
    <row r="96">
      <c r="A96" s="85">
        <f>A95+7</f>
        <v/>
      </c>
      <c r="B96" s="38" t="n"/>
      <c r="C96" s="86">
        <f>IF(OR(B96="",B95=""),"",B96-B95)</f>
        <v/>
      </c>
      <c r="D96" s="59">
        <f>IF(OR(B96="",B95=""),"",IFERROR((B96-B95)/B95,""))</f>
        <v/>
      </c>
      <c r="E96" s="38" t="n"/>
      <c r="F96" s="38" t="n"/>
      <c r="G96" s="38" t="n"/>
      <c r="H96" s="38" t="n"/>
      <c r="I96" s="38" t="n"/>
      <c r="J96" s="50">
        <f>IF($A96&gt;TODAY(),"",SUMIFS('Daily Log'!$C$4:$C$734,'Daily Log'!$A$4:$A$734,"&gt;="&amp;$A96,'Daily Log'!$A$4:$A$734,"&lt;="&amp;$A96+6))</f>
        <v/>
      </c>
      <c r="K96" s="50">
        <f>IF($A96&gt;TODAY(),"",SUMIFS('Daily Log'!$D$4:$D$734,'Daily Log'!$A$4:$A$734,"&gt;="&amp;$A96,'Daily Log'!$A$4:$A$734,"&lt;="&amp;$A96+6))</f>
        <v/>
      </c>
      <c r="L96" s="79">
        <f>IFERROR(E96/J96,"")</f>
        <v/>
      </c>
      <c r="M96" s="79">
        <f>IFERROR(H96/E96*1000,"")</f>
        <v/>
      </c>
      <c r="N96" s="87" t="n"/>
    </row>
    <row r="97">
      <c r="A97" s="85">
        <f>A96+7</f>
        <v/>
      </c>
      <c r="B97" s="38" t="n"/>
      <c r="C97" s="86">
        <f>IF(OR(B97="",B96=""),"",B97-B96)</f>
        <v/>
      </c>
      <c r="D97" s="59">
        <f>IF(OR(B97="",B96=""),"",IFERROR((B97-B96)/B96,""))</f>
        <v/>
      </c>
      <c r="E97" s="38" t="n"/>
      <c r="F97" s="38" t="n"/>
      <c r="G97" s="38" t="n"/>
      <c r="H97" s="38" t="n"/>
      <c r="I97" s="38" t="n"/>
      <c r="J97" s="50">
        <f>IF($A97&gt;TODAY(),"",SUMIFS('Daily Log'!$C$4:$C$734,'Daily Log'!$A$4:$A$734,"&gt;="&amp;$A97,'Daily Log'!$A$4:$A$734,"&lt;="&amp;$A97+6))</f>
        <v/>
      </c>
      <c r="K97" s="50">
        <f>IF($A97&gt;TODAY(),"",SUMIFS('Daily Log'!$D$4:$D$734,'Daily Log'!$A$4:$A$734,"&gt;="&amp;$A97,'Daily Log'!$A$4:$A$734,"&lt;="&amp;$A97+6))</f>
        <v/>
      </c>
      <c r="L97" s="79">
        <f>IFERROR(E97/J97,"")</f>
        <v/>
      </c>
      <c r="M97" s="79">
        <f>IFERROR(H97/E97*1000,"")</f>
        <v/>
      </c>
      <c r="N97" s="87" t="n"/>
    </row>
    <row r="98">
      <c r="A98" s="85">
        <f>A97+7</f>
        <v/>
      </c>
      <c r="B98" s="38" t="n"/>
      <c r="C98" s="86">
        <f>IF(OR(B98="",B97=""),"",B98-B97)</f>
        <v/>
      </c>
      <c r="D98" s="59">
        <f>IF(OR(B98="",B97=""),"",IFERROR((B98-B97)/B97,""))</f>
        <v/>
      </c>
      <c r="E98" s="38" t="n"/>
      <c r="F98" s="38" t="n"/>
      <c r="G98" s="38" t="n"/>
      <c r="H98" s="38" t="n"/>
      <c r="I98" s="38" t="n"/>
      <c r="J98" s="50">
        <f>IF($A98&gt;TODAY(),"",SUMIFS('Daily Log'!$C$4:$C$734,'Daily Log'!$A$4:$A$734,"&gt;="&amp;$A98,'Daily Log'!$A$4:$A$734,"&lt;="&amp;$A98+6))</f>
        <v/>
      </c>
      <c r="K98" s="50">
        <f>IF($A98&gt;TODAY(),"",SUMIFS('Daily Log'!$D$4:$D$734,'Daily Log'!$A$4:$A$734,"&gt;="&amp;$A98,'Daily Log'!$A$4:$A$734,"&lt;="&amp;$A98+6))</f>
        <v/>
      </c>
      <c r="L98" s="79">
        <f>IFERROR(E98/J98,"")</f>
        <v/>
      </c>
      <c r="M98" s="79">
        <f>IFERROR(H98/E98*1000,"")</f>
        <v/>
      </c>
      <c r="N98" s="87" t="n"/>
    </row>
    <row r="99">
      <c r="A99" s="85">
        <f>A98+7</f>
        <v/>
      </c>
      <c r="B99" s="38" t="n"/>
      <c r="C99" s="86">
        <f>IF(OR(B99="",B98=""),"",B99-B98)</f>
        <v/>
      </c>
      <c r="D99" s="59">
        <f>IF(OR(B99="",B98=""),"",IFERROR((B99-B98)/B98,""))</f>
        <v/>
      </c>
      <c r="E99" s="38" t="n"/>
      <c r="F99" s="38" t="n"/>
      <c r="G99" s="38" t="n"/>
      <c r="H99" s="38" t="n"/>
      <c r="I99" s="38" t="n"/>
      <c r="J99" s="50">
        <f>IF($A99&gt;TODAY(),"",SUMIFS('Daily Log'!$C$4:$C$734,'Daily Log'!$A$4:$A$734,"&gt;="&amp;$A99,'Daily Log'!$A$4:$A$734,"&lt;="&amp;$A99+6))</f>
        <v/>
      </c>
      <c r="K99" s="50">
        <f>IF($A99&gt;TODAY(),"",SUMIFS('Daily Log'!$D$4:$D$734,'Daily Log'!$A$4:$A$734,"&gt;="&amp;$A99,'Daily Log'!$A$4:$A$734,"&lt;="&amp;$A99+6))</f>
        <v/>
      </c>
      <c r="L99" s="79">
        <f>IFERROR(E99/J99,"")</f>
        <v/>
      </c>
      <c r="M99" s="79">
        <f>IFERROR(H99/E99*1000,"")</f>
        <v/>
      </c>
      <c r="N99" s="87" t="n"/>
    </row>
    <row r="100">
      <c r="A100" s="85">
        <f>A99+7</f>
        <v/>
      </c>
      <c r="B100" s="38" t="n"/>
      <c r="C100" s="86">
        <f>IF(OR(B100="",B99=""),"",B100-B99)</f>
        <v/>
      </c>
      <c r="D100" s="59">
        <f>IF(OR(B100="",B99=""),"",IFERROR((B100-B99)/B99,""))</f>
        <v/>
      </c>
      <c r="E100" s="38" t="n"/>
      <c r="F100" s="38" t="n"/>
      <c r="G100" s="38" t="n"/>
      <c r="H100" s="38" t="n"/>
      <c r="I100" s="38" t="n"/>
      <c r="J100" s="50">
        <f>IF($A100&gt;TODAY(),"",SUMIFS('Daily Log'!$C$4:$C$734,'Daily Log'!$A$4:$A$734,"&gt;="&amp;$A100,'Daily Log'!$A$4:$A$734,"&lt;="&amp;$A100+6))</f>
        <v/>
      </c>
      <c r="K100" s="50">
        <f>IF($A100&gt;TODAY(),"",SUMIFS('Daily Log'!$D$4:$D$734,'Daily Log'!$A$4:$A$734,"&gt;="&amp;$A100,'Daily Log'!$A$4:$A$734,"&lt;="&amp;$A100+6))</f>
        <v/>
      </c>
      <c r="L100" s="79">
        <f>IFERROR(E100/J100,"")</f>
        <v/>
      </c>
      <c r="M100" s="79">
        <f>IFERROR(H100/E100*1000,"")</f>
        <v/>
      </c>
      <c r="N100" s="87" t="n"/>
    </row>
    <row r="101">
      <c r="A101" s="85">
        <f>A100+7</f>
        <v/>
      </c>
      <c r="B101" s="38" t="n"/>
      <c r="C101" s="86">
        <f>IF(OR(B101="",B100=""),"",B101-B100)</f>
        <v/>
      </c>
      <c r="D101" s="59">
        <f>IF(OR(B101="",B100=""),"",IFERROR((B101-B100)/B100,""))</f>
        <v/>
      </c>
      <c r="E101" s="38" t="n"/>
      <c r="F101" s="38" t="n"/>
      <c r="G101" s="38" t="n"/>
      <c r="H101" s="38" t="n"/>
      <c r="I101" s="38" t="n"/>
      <c r="J101" s="50">
        <f>IF($A101&gt;TODAY(),"",SUMIFS('Daily Log'!$C$4:$C$734,'Daily Log'!$A$4:$A$734,"&gt;="&amp;$A101,'Daily Log'!$A$4:$A$734,"&lt;="&amp;$A101+6))</f>
        <v/>
      </c>
      <c r="K101" s="50">
        <f>IF($A101&gt;TODAY(),"",SUMIFS('Daily Log'!$D$4:$D$734,'Daily Log'!$A$4:$A$734,"&gt;="&amp;$A101,'Daily Log'!$A$4:$A$734,"&lt;="&amp;$A101+6))</f>
        <v/>
      </c>
      <c r="L101" s="79">
        <f>IFERROR(E101/J101,"")</f>
        <v/>
      </c>
      <c r="M101" s="79">
        <f>IFERROR(H101/E101*1000,"")</f>
        <v/>
      </c>
      <c r="N101" s="87" t="n"/>
    </row>
    <row r="102">
      <c r="A102" s="85">
        <f>A101+7</f>
        <v/>
      </c>
      <c r="B102" s="38" t="n"/>
      <c r="C102" s="86">
        <f>IF(OR(B102="",B101=""),"",B102-B101)</f>
        <v/>
      </c>
      <c r="D102" s="59">
        <f>IF(OR(B102="",B101=""),"",IFERROR((B102-B101)/B101,""))</f>
        <v/>
      </c>
      <c r="E102" s="38" t="n"/>
      <c r="F102" s="38" t="n"/>
      <c r="G102" s="38" t="n"/>
      <c r="H102" s="38" t="n"/>
      <c r="I102" s="38" t="n"/>
      <c r="J102" s="50">
        <f>IF($A102&gt;TODAY(),"",SUMIFS('Daily Log'!$C$4:$C$734,'Daily Log'!$A$4:$A$734,"&gt;="&amp;$A102,'Daily Log'!$A$4:$A$734,"&lt;="&amp;$A102+6))</f>
        <v/>
      </c>
      <c r="K102" s="50">
        <f>IF($A102&gt;TODAY(),"",SUMIFS('Daily Log'!$D$4:$D$734,'Daily Log'!$A$4:$A$734,"&gt;="&amp;$A102,'Daily Log'!$A$4:$A$734,"&lt;="&amp;$A102+6))</f>
        <v/>
      </c>
      <c r="L102" s="79">
        <f>IFERROR(E102/J102,"")</f>
        <v/>
      </c>
      <c r="M102" s="79">
        <f>IFERROR(H102/E102*1000,"")</f>
        <v/>
      </c>
      <c r="N102" s="87" t="n"/>
    </row>
    <row r="103">
      <c r="A103" s="85">
        <f>A102+7</f>
        <v/>
      </c>
      <c r="B103" s="38" t="n"/>
      <c r="C103" s="86">
        <f>IF(OR(B103="",B102=""),"",B103-B102)</f>
        <v/>
      </c>
      <c r="D103" s="59">
        <f>IF(OR(B103="",B102=""),"",IFERROR((B103-B102)/B102,""))</f>
        <v/>
      </c>
      <c r="E103" s="38" t="n"/>
      <c r="F103" s="38" t="n"/>
      <c r="G103" s="38" t="n"/>
      <c r="H103" s="38" t="n"/>
      <c r="I103" s="38" t="n"/>
      <c r="J103" s="50">
        <f>IF($A103&gt;TODAY(),"",SUMIFS('Daily Log'!$C$4:$C$734,'Daily Log'!$A$4:$A$734,"&gt;="&amp;$A103,'Daily Log'!$A$4:$A$734,"&lt;="&amp;$A103+6))</f>
        <v/>
      </c>
      <c r="K103" s="50">
        <f>IF($A103&gt;TODAY(),"",SUMIFS('Daily Log'!$D$4:$D$734,'Daily Log'!$A$4:$A$734,"&gt;="&amp;$A103,'Daily Log'!$A$4:$A$734,"&lt;="&amp;$A103+6))</f>
        <v/>
      </c>
      <c r="L103" s="79">
        <f>IFERROR(E103/J103,"")</f>
        <v/>
      </c>
      <c r="M103" s="79">
        <f>IFERROR(H103/E103*1000,"")</f>
        <v/>
      </c>
      <c r="N103" s="87" t="n"/>
    </row>
    <row r="104">
      <c r="A104" s="85">
        <f>A103+7</f>
        <v/>
      </c>
      <c r="B104" s="38" t="n"/>
      <c r="C104" s="86">
        <f>IF(OR(B104="",B103=""),"",B104-B103)</f>
        <v/>
      </c>
      <c r="D104" s="59">
        <f>IF(OR(B104="",B103=""),"",IFERROR((B104-B103)/B103,""))</f>
        <v/>
      </c>
      <c r="E104" s="38" t="n"/>
      <c r="F104" s="38" t="n"/>
      <c r="G104" s="38" t="n"/>
      <c r="H104" s="38" t="n"/>
      <c r="I104" s="38" t="n"/>
      <c r="J104" s="50">
        <f>IF($A104&gt;TODAY(),"",SUMIFS('Daily Log'!$C$4:$C$734,'Daily Log'!$A$4:$A$734,"&gt;="&amp;$A104,'Daily Log'!$A$4:$A$734,"&lt;="&amp;$A104+6))</f>
        <v/>
      </c>
      <c r="K104" s="50">
        <f>IF($A104&gt;TODAY(),"",SUMIFS('Daily Log'!$D$4:$D$734,'Daily Log'!$A$4:$A$734,"&gt;="&amp;$A104,'Daily Log'!$A$4:$A$734,"&lt;="&amp;$A104+6))</f>
        <v/>
      </c>
      <c r="L104" s="79">
        <f>IFERROR(E104/J104,"")</f>
        <v/>
      </c>
      <c r="M104" s="79">
        <f>IFERROR(H104/E104*1000,"")</f>
        <v/>
      </c>
      <c r="N104" s="87" t="n"/>
    </row>
    <row r="105">
      <c r="A105" s="85">
        <f>A104+7</f>
        <v/>
      </c>
      <c r="B105" s="38" t="n"/>
      <c r="C105" s="86">
        <f>IF(OR(B105="",B104=""),"",B105-B104)</f>
        <v/>
      </c>
      <c r="D105" s="59">
        <f>IF(OR(B105="",B104=""),"",IFERROR((B105-B104)/B104,""))</f>
        <v/>
      </c>
      <c r="E105" s="38" t="n"/>
      <c r="F105" s="38" t="n"/>
      <c r="G105" s="38" t="n"/>
      <c r="H105" s="38" t="n"/>
      <c r="I105" s="38" t="n"/>
      <c r="J105" s="50">
        <f>IF($A105&gt;TODAY(),"",SUMIFS('Daily Log'!$C$4:$C$734,'Daily Log'!$A$4:$A$734,"&gt;="&amp;$A105,'Daily Log'!$A$4:$A$734,"&lt;="&amp;$A105+6))</f>
        <v/>
      </c>
      <c r="K105" s="50">
        <f>IF($A105&gt;TODAY(),"",SUMIFS('Daily Log'!$D$4:$D$734,'Daily Log'!$A$4:$A$734,"&gt;="&amp;$A105,'Daily Log'!$A$4:$A$734,"&lt;="&amp;$A105+6))</f>
        <v/>
      </c>
      <c r="L105" s="79">
        <f>IFERROR(E105/J105,"")</f>
        <v/>
      </c>
      <c r="M105" s="79">
        <f>IFERROR(H105/E105*1000,"")</f>
        <v/>
      </c>
      <c r="N105" s="87" t="n"/>
    </row>
    <row r="106">
      <c r="A106" s="85">
        <f>A105+7</f>
        <v/>
      </c>
      <c r="B106" s="38" t="n"/>
      <c r="C106" s="86">
        <f>IF(OR(B106="",B105=""),"",B106-B105)</f>
        <v/>
      </c>
      <c r="D106" s="59">
        <f>IF(OR(B106="",B105=""),"",IFERROR((B106-B105)/B105,""))</f>
        <v/>
      </c>
      <c r="E106" s="38" t="n"/>
      <c r="F106" s="38" t="n"/>
      <c r="G106" s="38" t="n"/>
      <c r="H106" s="38" t="n"/>
      <c r="I106" s="38" t="n"/>
      <c r="J106" s="50">
        <f>IF($A106&gt;TODAY(),"",SUMIFS('Daily Log'!$C$4:$C$734,'Daily Log'!$A$4:$A$734,"&gt;="&amp;$A106,'Daily Log'!$A$4:$A$734,"&lt;="&amp;$A106+6))</f>
        <v/>
      </c>
      <c r="K106" s="50">
        <f>IF($A106&gt;TODAY(),"",SUMIFS('Daily Log'!$D$4:$D$734,'Daily Log'!$A$4:$A$734,"&gt;="&amp;$A106,'Daily Log'!$A$4:$A$734,"&lt;="&amp;$A106+6))</f>
        <v/>
      </c>
      <c r="L106" s="79">
        <f>IFERROR(E106/J106,"")</f>
        <v/>
      </c>
      <c r="M106" s="79">
        <f>IFERROR(H106/E106*1000,"")</f>
        <v/>
      </c>
      <c r="N106" s="87" t="n"/>
    </row>
    <row r="107">
      <c r="A107" s="85">
        <f>A106+7</f>
        <v/>
      </c>
      <c r="B107" s="38" t="n"/>
      <c r="C107" s="86">
        <f>IF(OR(B107="",B106=""),"",B107-B106)</f>
        <v/>
      </c>
      <c r="D107" s="59">
        <f>IF(OR(B107="",B106=""),"",IFERROR((B107-B106)/B106,""))</f>
        <v/>
      </c>
      <c r="E107" s="38" t="n"/>
      <c r="F107" s="38" t="n"/>
      <c r="G107" s="38" t="n"/>
      <c r="H107" s="38" t="n"/>
      <c r="I107" s="38" t="n"/>
      <c r="J107" s="50">
        <f>IF($A107&gt;TODAY(),"",SUMIFS('Daily Log'!$C$4:$C$734,'Daily Log'!$A$4:$A$734,"&gt;="&amp;$A107,'Daily Log'!$A$4:$A$734,"&lt;="&amp;$A107+6))</f>
        <v/>
      </c>
      <c r="K107" s="50">
        <f>IF($A107&gt;TODAY(),"",SUMIFS('Daily Log'!$D$4:$D$734,'Daily Log'!$A$4:$A$734,"&gt;="&amp;$A107,'Daily Log'!$A$4:$A$734,"&lt;="&amp;$A107+6))</f>
        <v/>
      </c>
      <c r="L107" s="79">
        <f>IFERROR(E107/J107,"")</f>
        <v/>
      </c>
      <c r="M107" s="79">
        <f>IFERROR(H107/E107*1000,"")</f>
        <v/>
      </c>
      <c r="N107" s="87" t="n"/>
    </row>
    <row r="108">
      <c r="A108" s="85">
        <f>A107+7</f>
        <v/>
      </c>
      <c r="B108" s="38" t="n"/>
      <c r="C108" s="86">
        <f>IF(OR(B108="",B107=""),"",B108-B107)</f>
        <v/>
      </c>
      <c r="D108" s="59">
        <f>IF(OR(B108="",B107=""),"",IFERROR((B108-B107)/B107,""))</f>
        <v/>
      </c>
      <c r="E108" s="38" t="n"/>
      <c r="F108" s="38" t="n"/>
      <c r="G108" s="38" t="n"/>
      <c r="H108" s="38" t="n"/>
      <c r="I108" s="38" t="n"/>
      <c r="J108" s="50">
        <f>IF($A108&gt;TODAY(),"",SUMIFS('Daily Log'!$C$4:$C$734,'Daily Log'!$A$4:$A$734,"&gt;="&amp;$A108,'Daily Log'!$A$4:$A$734,"&lt;="&amp;$A108+6))</f>
        <v/>
      </c>
      <c r="K108" s="50">
        <f>IF($A108&gt;TODAY(),"",SUMIFS('Daily Log'!$D$4:$D$734,'Daily Log'!$A$4:$A$734,"&gt;="&amp;$A108,'Daily Log'!$A$4:$A$734,"&lt;="&amp;$A108+6))</f>
        <v/>
      </c>
      <c r="L108" s="79">
        <f>IFERROR(E108/J108,"")</f>
        <v/>
      </c>
      <c r="M108" s="79">
        <f>IFERROR(H108/E108*1000,"")</f>
        <v/>
      </c>
      <c r="N108" s="87" t="n"/>
    </row>
    <row r="109">
      <c r="A109" s="85">
        <f>A108+7</f>
        <v/>
      </c>
      <c r="B109" s="38" t="n"/>
      <c r="C109" s="86">
        <f>IF(OR(B109="",B108=""),"",B109-B108)</f>
        <v/>
      </c>
      <c r="D109" s="59">
        <f>IF(OR(B109="",B108=""),"",IFERROR((B109-B108)/B108,""))</f>
        <v/>
      </c>
      <c r="E109" s="38" t="n"/>
      <c r="F109" s="38" t="n"/>
      <c r="G109" s="38" t="n"/>
      <c r="H109" s="38" t="n"/>
      <c r="I109" s="38" t="n"/>
      <c r="J109" s="50">
        <f>IF($A109&gt;TODAY(),"",SUMIFS('Daily Log'!$C$4:$C$734,'Daily Log'!$A$4:$A$734,"&gt;="&amp;$A109,'Daily Log'!$A$4:$A$734,"&lt;="&amp;$A109+6))</f>
        <v/>
      </c>
      <c r="K109" s="50">
        <f>IF($A109&gt;TODAY(),"",SUMIFS('Daily Log'!$D$4:$D$734,'Daily Log'!$A$4:$A$734,"&gt;="&amp;$A109,'Daily Log'!$A$4:$A$734,"&lt;="&amp;$A109+6))</f>
        <v/>
      </c>
      <c r="L109" s="79">
        <f>IFERROR(E109/J109,"")</f>
        <v/>
      </c>
      <c r="M109" s="79">
        <f>IFERROR(H109/E109*1000,"")</f>
        <v/>
      </c>
      <c r="N109" s="87" t="n"/>
    </row>
    <row r="110">
      <c r="A110" s="85">
        <f>A109+7</f>
        <v/>
      </c>
      <c r="B110" s="38" t="n"/>
      <c r="C110" s="86">
        <f>IF(OR(B110="",B109=""),"",B110-B109)</f>
        <v/>
      </c>
      <c r="D110" s="59">
        <f>IF(OR(B110="",B109=""),"",IFERROR((B110-B109)/B109,""))</f>
        <v/>
      </c>
      <c r="E110" s="38" t="n"/>
      <c r="F110" s="38" t="n"/>
      <c r="G110" s="38" t="n"/>
      <c r="H110" s="38" t="n"/>
      <c r="I110" s="38" t="n"/>
      <c r="J110" s="50">
        <f>IF($A110&gt;TODAY(),"",SUMIFS('Daily Log'!$C$4:$C$734,'Daily Log'!$A$4:$A$734,"&gt;="&amp;$A110,'Daily Log'!$A$4:$A$734,"&lt;="&amp;$A110+6))</f>
        <v/>
      </c>
      <c r="K110" s="50">
        <f>IF($A110&gt;TODAY(),"",SUMIFS('Daily Log'!$D$4:$D$734,'Daily Log'!$A$4:$A$734,"&gt;="&amp;$A110,'Daily Log'!$A$4:$A$734,"&lt;="&amp;$A110+6))</f>
        <v/>
      </c>
      <c r="L110" s="79">
        <f>IFERROR(E110/J110,"")</f>
        <v/>
      </c>
      <c r="M110" s="79">
        <f>IFERROR(H110/E110*1000,"")</f>
        <v/>
      </c>
      <c r="N110" s="87" t="n"/>
    </row>
    <row r="111">
      <c r="A111" s="85">
        <f>A110+7</f>
        <v/>
      </c>
      <c r="B111" s="38" t="n"/>
      <c r="C111" s="86">
        <f>IF(OR(B111="",B110=""),"",B111-B110)</f>
        <v/>
      </c>
      <c r="D111" s="59">
        <f>IF(OR(B111="",B110=""),"",IFERROR((B111-B110)/B110,""))</f>
        <v/>
      </c>
      <c r="E111" s="38" t="n"/>
      <c r="F111" s="38" t="n"/>
      <c r="G111" s="38" t="n"/>
      <c r="H111" s="38" t="n"/>
      <c r="I111" s="38" t="n"/>
      <c r="J111" s="50">
        <f>IF($A111&gt;TODAY(),"",SUMIFS('Daily Log'!$C$4:$C$734,'Daily Log'!$A$4:$A$734,"&gt;="&amp;$A111,'Daily Log'!$A$4:$A$734,"&lt;="&amp;$A111+6))</f>
        <v/>
      </c>
      <c r="K111" s="50">
        <f>IF($A111&gt;TODAY(),"",SUMIFS('Daily Log'!$D$4:$D$734,'Daily Log'!$A$4:$A$734,"&gt;="&amp;$A111,'Daily Log'!$A$4:$A$734,"&lt;="&amp;$A111+6))</f>
        <v/>
      </c>
      <c r="L111" s="79">
        <f>IFERROR(E111/J111,"")</f>
        <v/>
      </c>
      <c r="M111" s="79">
        <f>IFERROR(H111/E111*1000,"")</f>
        <v/>
      </c>
      <c r="N111" s="87" t="n"/>
    </row>
    <row r="112">
      <c r="A112" s="85">
        <f>A111+7</f>
        <v/>
      </c>
      <c r="B112" s="38" t="n"/>
      <c r="C112" s="86">
        <f>IF(OR(B112="",B111=""),"",B112-B111)</f>
        <v/>
      </c>
      <c r="D112" s="59">
        <f>IF(OR(B112="",B111=""),"",IFERROR((B112-B111)/B111,""))</f>
        <v/>
      </c>
      <c r="E112" s="38" t="n"/>
      <c r="F112" s="38" t="n"/>
      <c r="G112" s="38" t="n"/>
      <c r="H112" s="38" t="n"/>
      <c r="I112" s="38" t="n"/>
      <c r="J112" s="50">
        <f>IF($A112&gt;TODAY(),"",SUMIFS('Daily Log'!$C$4:$C$734,'Daily Log'!$A$4:$A$734,"&gt;="&amp;$A112,'Daily Log'!$A$4:$A$734,"&lt;="&amp;$A112+6))</f>
        <v/>
      </c>
      <c r="K112" s="50">
        <f>IF($A112&gt;TODAY(),"",SUMIFS('Daily Log'!$D$4:$D$734,'Daily Log'!$A$4:$A$734,"&gt;="&amp;$A112,'Daily Log'!$A$4:$A$734,"&lt;="&amp;$A112+6))</f>
        <v/>
      </c>
      <c r="L112" s="79">
        <f>IFERROR(E112/J112,"")</f>
        <v/>
      </c>
      <c r="M112" s="79">
        <f>IFERROR(H112/E112*1000,"")</f>
        <v/>
      </c>
      <c r="N112" s="87" t="n"/>
    </row>
    <row r="113">
      <c r="A113" s="85">
        <f>A112+7</f>
        <v/>
      </c>
      <c r="B113" s="38" t="n"/>
      <c r="C113" s="86">
        <f>IF(OR(B113="",B112=""),"",B113-B112)</f>
        <v/>
      </c>
      <c r="D113" s="59">
        <f>IF(OR(B113="",B112=""),"",IFERROR((B113-B112)/B112,""))</f>
        <v/>
      </c>
      <c r="E113" s="38" t="n"/>
      <c r="F113" s="38" t="n"/>
      <c r="G113" s="38" t="n"/>
      <c r="H113" s="38" t="n"/>
      <c r="I113" s="38" t="n"/>
      <c r="J113" s="50">
        <f>IF($A113&gt;TODAY(),"",SUMIFS('Daily Log'!$C$4:$C$734,'Daily Log'!$A$4:$A$734,"&gt;="&amp;$A113,'Daily Log'!$A$4:$A$734,"&lt;="&amp;$A113+6))</f>
        <v/>
      </c>
      <c r="K113" s="50">
        <f>IF($A113&gt;TODAY(),"",SUMIFS('Daily Log'!$D$4:$D$734,'Daily Log'!$A$4:$A$734,"&gt;="&amp;$A113,'Daily Log'!$A$4:$A$734,"&lt;="&amp;$A113+6))</f>
        <v/>
      </c>
      <c r="L113" s="79">
        <f>IFERROR(E113/J113,"")</f>
        <v/>
      </c>
      <c r="M113" s="79">
        <f>IFERROR(H113/E113*1000,"")</f>
        <v/>
      </c>
      <c r="N113" s="87" t="n"/>
    </row>
    <row r="114">
      <c r="A114" s="85">
        <f>A113+7</f>
        <v/>
      </c>
      <c r="B114" s="38" t="n"/>
      <c r="C114" s="86">
        <f>IF(OR(B114="",B113=""),"",B114-B113)</f>
        <v/>
      </c>
      <c r="D114" s="59">
        <f>IF(OR(B114="",B113=""),"",IFERROR((B114-B113)/B113,""))</f>
        <v/>
      </c>
      <c r="E114" s="38" t="n"/>
      <c r="F114" s="38" t="n"/>
      <c r="G114" s="38" t="n"/>
      <c r="H114" s="38" t="n"/>
      <c r="I114" s="38" t="n"/>
      <c r="J114" s="50">
        <f>IF($A114&gt;TODAY(),"",SUMIFS('Daily Log'!$C$4:$C$734,'Daily Log'!$A$4:$A$734,"&gt;="&amp;$A114,'Daily Log'!$A$4:$A$734,"&lt;="&amp;$A114+6))</f>
        <v/>
      </c>
      <c r="K114" s="50">
        <f>IF($A114&gt;TODAY(),"",SUMIFS('Daily Log'!$D$4:$D$734,'Daily Log'!$A$4:$A$734,"&gt;="&amp;$A114,'Daily Log'!$A$4:$A$734,"&lt;="&amp;$A114+6))</f>
        <v/>
      </c>
      <c r="L114" s="79">
        <f>IFERROR(E114/J114,"")</f>
        <v/>
      </c>
      <c r="M114" s="79">
        <f>IFERROR(H114/E114*1000,"")</f>
        <v/>
      </c>
      <c r="N114" s="87" t="n"/>
    </row>
    <row r="115">
      <c r="A115" s="85">
        <f>A114+7</f>
        <v/>
      </c>
      <c r="B115" s="38" t="n"/>
      <c r="C115" s="86">
        <f>IF(OR(B115="",B114=""),"",B115-B114)</f>
        <v/>
      </c>
      <c r="D115" s="59">
        <f>IF(OR(B115="",B114=""),"",IFERROR((B115-B114)/B114,""))</f>
        <v/>
      </c>
      <c r="E115" s="38" t="n"/>
      <c r="F115" s="38" t="n"/>
      <c r="G115" s="38" t="n"/>
      <c r="H115" s="38" t="n"/>
      <c r="I115" s="38" t="n"/>
      <c r="J115" s="50">
        <f>IF($A115&gt;TODAY(),"",SUMIFS('Daily Log'!$C$4:$C$734,'Daily Log'!$A$4:$A$734,"&gt;="&amp;$A115,'Daily Log'!$A$4:$A$734,"&lt;="&amp;$A115+6))</f>
        <v/>
      </c>
      <c r="K115" s="50">
        <f>IF($A115&gt;TODAY(),"",SUMIFS('Daily Log'!$D$4:$D$734,'Daily Log'!$A$4:$A$734,"&gt;="&amp;$A115,'Daily Log'!$A$4:$A$734,"&lt;="&amp;$A115+6))</f>
        <v/>
      </c>
      <c r="L115" s="79">
        <f>IFERROR(E115/J115,"")</f>
        <v/>
      </c>
      <c r="M115" s="79">
        <f>IFERROR(H115/E115*1000,"")</f>
        <v/>
      </c>
      <c r="N115" s="87" t="n"/>
    </row>
    <row r="116">
      <c r="A116" s="85">
        <f>A115+7</f>
        <v/>
      </c>
      <c r="B116" s="38" t="n"/>
      <c r="C116" s="86">
        <f>IF(OR(B116="",B115=""),"",B116-B115)</f>
        <v/>
      </c>
      <c r="D116" s="59">
        <f>IF(OR(B116="",B115=""),"",IFERROR((B116-B115)/B115,""))</f>
        <v/>
      </c>
      <c r="E116" s="38" t="n"/>
      <c r="F116" s="38" t="n"/>
      <c r="G116" s="38" t="n"/>
      <c r="H116" s="38" t="n"/>
      <c r="I116" s="38" t="n"/>
      <c r="J116" s="50">
        <f>IF($A116&gt;TODAY(),"",SUMIFS('Daily Log'!$C$4:$C$734,'Daily Log'!$A$4:$A$734,"&gt;="&amp;$A116,'Daily Log'!$A$4:$A$734,"&lt;="&amp;$A116+6))</f>
        <v/>
      </c>
      <c r="K116" s="50">
        <f>IF($A116&gt;TODAY(),"",SUMIFS('Daily Log'!$D$4:$D$734,'Daily Log'!$A$4:$A$734,"&gt;="&amp;$A116,'Daily Log'!$A$4:$A$734,"&lt;="&amp;$A116+6))</f>
        <v/>
      </c>
      <c r="L116" s="79">
        <f>IFERROR(E116/J116,"")</f>
        <v/>
      </c>
      <c r="M116" s="79">
        <f>IFERROR(H116/E116*1000,"")</f>
        <v/>
      </c>
      <c r="N116" s="87" t="n"/>
    </row>
    <row r="117">
      <c r="A117" s="85">
        <f>A116+7</f>
        <v/>
      </c>
      <c r="B117" s="38" t="n"/>
      <c r="C117" s="86">
        <f>IF(OR(B117="",B116=""),"",B117-B116)</f>
        <v/>
      </c>
      <c r="D117" s="59">
        <f>IF(OR(B117="",B116=""),"",IFERROR((B117-B116)/B116,""))</f>
        <v/>
      </c>
      <c r="E117" s="38" t="n"/>
      <c r="F117" s="38" t="n"/>
      <c r="G117" s="38" t="n"/>
      <c r="H117" s="38" t="n"/>
      <c r="I117" s="38" t="n"/>
      <c r="J117" s="50">
        <f>IF($A117&gt;TODAY(),"",SUMIFS('Daily Log'!$C$4:$C$734,'Daily Log'!$A$4:$A$734,"&gt;="&amp;$A117,'Daily Log'!$A$4:$A$734,"&lt;="&amp;$A117+6))</f>
        <v/>
      </c>
      <c r="K117" s="50">
        <f>IF($A117&gt;TODAY(),"",SUMIFS('Daily Log'!$D$4:$D$734,'Daily Log'!$A$4:$A$734,"&gt;="&amp;$A117,'Daily Log'!$A$4:$A$734,"&lt;="&amp;$A117+6))</f>
        <v/>
      </c>
      <c r="L117" s="79">
        <f>IFERROR(E117/J117,"")</f>
        <v/>
      </c>
      <c r="M117" s="79">
        <f>IFERROR(H117/E117*1000,"")</f>
        <v/>
      </c>
      <c r="N117" s="87" t="n"/>
    </row>
    <row r="118">
      <c r="A118" s="85">
        <f>A117+7</f>
        <v/>
      </c>
      <c r="B118" s="38" t="n"/>
      <c r="C118" s="86">
        <f>IF(OR(B118="",B117=""),"",B118-B117)</f>
        <v/>
      </c>
      <c r="D118" s="59">
        <f>IF(OR(B118="",B117=""),"",IFERROR((B118-B117)/B117,""))</f>
        <v/>
      </c>
      <c r="E118" s="38" t="n"/>
      <c r="F118" s="38" t="n"/>
      <c r="G118" s="38" t="n"/>
      <c r="H118" s="38" t="n"/>
      <c r="I118" s="38" t="n"/>
      <c r="J118" s="50">
        <f>IF($A118&gt;TODAY(),"",SUMIFS('Daily Log'!$C$4:$C$734,'Daily Log'!$A$4:$A$734,"&gt;="&amp;$A118,'Daily Log'!$A$4:$A$734,"&lt;="&amp;$A118+6))</f>
        <v/>
      </c>
      <c r="K118" s="50">
        <f>IF($A118&gt;TODAY(),"",SUMIFS('Daily Log'!$D$4:$D$734,'Daily Log'!$A$4:$A$734,"&gt;="&amp;$A118,'Daily Log'!$A$4:$A$734,"&lt;="&amp;$A118+6))</f>
        <v/>
      </c>
      <c r="L118" s="79">
        <f>IFERROR(E118/J118,"")</f>
        <v/>
      </c>
      <c r="M118" s="79">
        <f>IFERROR(H118/E118*1000,"")</f>
        <v/>
      </c>
      <c r="N118" s="87" t="n"/>
    </row>
    <row r="119">
      <c r="A119" s="85">
        <f>A118+7</f>
        <v/>
      </c>
      <c r="B119" s="38" t="n"/>
      <c r="C119" s="86">
        <f>IF(OR(B119="",B118=""),"",B119-B118)</f>
        <v/>
      </c>
      <c r="D119" s="59">
        <f>IF(OR(B119="",B118=""),"",IFERROR((B119-B118)/B118,""))</f>
        <v/>
      </c>
      <c r="E119" s="38" t="n"/>
      <c r="F119" s="38" t="n"/>
      <c r="G119" s="38" t="n"/>
      <c r="H119" s="38" t="n"/>
      <c r="I119" s="38" t="n"/>
      <c r="J119" s="50">
        <f>IF($A119&gt;TODAY(),"",SUMIFS('Daily Log'!$C$4:$C$734,'Daily Log'!$A$4:$A$734,"&gt;="&amp;$A119,'Daily Log'!$A$4:$A$734,"&lt;="&amp;$A119+6))</f>
        <v/>
      </c>
      <c r="K119" s="50">
        <f>IF($A119&gt;TODAY(),"",SUMIFS('Daily Log'!$D$4:$D$734,'Daily Log'!$A$4:$A$734,"&gt;="&amp;$A119,'Daily Log'!$A$4:$A$734,"&lt;="&amp;$A119+6))</f>
        <v/>
      </c>
      <c r="L119" s="79">
        <f>IFERROR(E119/J119,"")</f>
        <v/>
      </c>
      <c r="M119" s="79">
        <f>IFERROR(H119/E119*1000,"")</f>
        <v/>
      </c>
      <c r="N119" s="87" t="n"/>
    </row>
    <row r="120">
      <c r="A120" s="85">
        <f>A119+7</f>
        <v/>
      </c>
      <c r="B120" s="38" t="n"/>
      <c r="C120" s="86">
        <f>IF(OR(B120="",B119=""),"",B120-B119)</f>
        <v/>
      </c>
      <c r="D120" s="59">
        <f>IF(OR(B120="",B119=""),"",IFERROR((B120-B119)/B119,""))</f>
        <v/>
      </c>
      <c r="E120" s="38" t="n"/>
      <c r="F120" s="38" t="n"/>
      <c r="G120" s="38" t="n"/>
      <c r="H120" s="38" t="n"/>
      <c r="I120" s="38" t="n"/>
      <c r="J120" s="50">
        <f>IF($A120&gt;TODAY(),"",SUMIFS('Daily Log'!$C$4:$C$734,'Daily Log'!$A$4:$A$734,"&gt;="&amp;$A120,'Daily Log'!$A$4:$A$734,"&lt;="&amp;$A120+6))</f>
        <v/>
      </c>
      <c r="K120" s="50">
        <f>IF($A120&gt;TODAY(),"",SUMIFS('Daily Log'!$D$4:$D$734,'Daily Log'!$A$4:$A$734,"&gt;="&amp;$A120,'Daily Log'!$A$4:$A$734,"&lt;="&amp;$A120+6))</f>
        <v/>
      </c>
      <c r="L120" s="79">
        <f>IFERROR(E120/J120,"")</f>
        <v/>
      </c>
      <c r="M120" s="79">
        <f>IFERROR(H120/E120*1000,"")</f>
        <v/>
      </c>
      <c r="N120" s="87" t="n"/>
    </row>
    <row r="121">
      <c r="A121" s="85">
        <f>A120+7</f>
        <v/>
      </c>
      <c r="B121" s="38" t="n"/>
      <c r="C121" s="86">
        <f>IF(OR(B121="",B120=""),"",B121-B120)</f>
        <v/>
      </c>
      <c r="D121" s="59">
        <f>IF(OR(B121="",B120=""),"",IFERROR((B121-B120)/B120,""))</f>
        <v/>
      </c>
      <c r="E121" s="38" t="n"/>
      <c r="F121" s="38" t="n"/>
      <c r="G121" s="38" t="n"/>
      <c r="H121" s="38" t="n"/>
      <c r="I121" s="38" t="n"/>
      <c r="J121" s="50">
        <f>IF($A121&gt;TODAY(),"",SUMIFS('Daily Log'!$C$4:$C$734,'Daily Log'!$A$4:$A$734,"&gt;="&amp;$A121,'Daily Log'!$A$4:$A$734,"&lt;="&amp;$A121+6))</f>
        <v/>
      </c>
      <c r="K121" s="50">
        <f>IF($A121&gt;TODAY(),"",SUMIFS('Daily Log'!$D$4:$D$734,'Daily Log'!$A$4:$A$734,"&gt;="&amp;$A121,'Daily Log'!$A$4:$A$734,"&lt;="&amp;$A121+6))</f>
        <v/>
      </c>
      <c r="L121" s="79">
        <f>IFERROR(E121/J121,"")</f>
        <v/>
      </c>
      <c r="M121" s="79">
        <f>IFERROR(H121/E121*1000,"")</f>
        <v/>
      </c>
      <c r="N121" s="87" t="n"/>
    </row>
    <row r="122">
      <c r="A122" s="85">
        <f>A121+7</f>
        <v/>
      </c>
      <c r="B122" s="38" t="n"/>
      <c r="C122" s="86">
        <f>IF(OR(B122="",B121=""),"",B122-B121)</f>
        <v/>
      </c>
      <c r="D122" s="59">
        <f>IF(OR(B122="",B121=""),"",IFERROR((B122-B121)/B121,""))</f>
        <v/>
      </c>
      <c r="E122" s="38" t="n"/>
      <c r="F122" s="38" t="n"/>
      <c r="G122" s="38" t="n"/>
      <c r="H122" s="38" t="n"/>
      <c r="I122" s="38" t="n"/>
      <c r="J122" s="50">
        <f>IF($A122&gt;TODAY(),"",SUMIFS('Daily Log'!$C$4:$C$734,'Daily Log'!$A$4:$A$734,"&gt;="&amp;$A122,'Daily Log'!$A$4:$A$734,"&lt;="&amp;$A122+6))</f>
        <v/>
      </c>
      <c r="K122" s="50">
        <f>IF($A122&gt;TODAY(),"",SUMIFS('Daily Log'!$D$4:$D$734,'Daily Log'!$A$4:$A$734,"&gt;="&amp;$A122,'Daily Log'!$A$4:$A$734,"&lt;="&amp;$A122+6))</f>
        <v/>
      </c>
      <c r="L122" s="79">
        <f>IFERROR(E122/J122,"")</f>
        <v/>
      </c>
      <c r="M122" s="79">
        <f>IFERROR(H122/E122*1000,"")</f>
        <v/>
      </c>
      <c r="N122" s="87" t="n"/>
    </row>
    <row r="123">
      <c r="A123" s="85">
        <f>A122+7</f>
        <v/>
      </c>
      <c r="B123" s="38" t="n"/>
      <c r="C123" s="86">
        <f>IF(OR(B123="",B122=""),"",B123-B122)</f>
        <v/>
      </c>
      <c r="D123" s="59">
        <f>IF(OR(B123="",B122=""),"",IFERROR((B123-B122)/B122,""))</f>
        <v/>
      </c>
      <c r="E123" s="38" t="n"/>
      <c r="F123" s="38" t="n"/>
      <c r="G123" s="38" t="n"/>
      <c r="H123" s="38" t="n"/>
      <c r="I123" s="38" t="n"/>
      <c r="J123" s="50">
        <f>IF($A123&gt;TODAY(),"",SUMIFS('Daily Log'!$C$4:$C$734,'Daily Log'!$A$4:$A$734,"&gt;="&amp;$A123,'Daily Log'!$A$4:$A$734,"&lt;="&amp;$A123+6))</f>
        <v/>
      </c>
      <c r="K123" s="50">
        <f>IF($A123&gt;TODAY(),"",SUMIFS('Daily Log'!$D$4:$D$734,'Daily Log'!$A$4:$A$734,"&gt;="&amp;$A123,'Daily Log'!$A$4:$A$734,"&lt;="&amp;$A123+6))</f>
        <v/>
      </c>
      <c r="L123" s="79">
        <f>IFERROR(E123/J123,"")</f>
        <v/>
      </c>
      <c r="M123" s="79">
        <f>IFERROR(H123/E123*1000,"")</f>
        <v/>
      </c>
      <c r="N123" s="87" t="n"/>
    </row>
    <row r="124">
      <c r="A124" s="85">
        <f>A123+7</f>
        <v/>
      </c>
      <c r="B124" s="38" t="n"/>
      <c r="C124" s="86">
        <f>IF(OR(B124="",B123=""),"",B124-B123)</f>
        <v/>
      </c>
      <c r="D124" s="59">
        <f>IF(OR(B124="",B123=""),"",IFERROR((B124-B123)/B123,""))</f>
        <v/>
      </c>
      <c r="E124" s="38" t="n"/>
      <c r="F124" s="38" t="n"/>
      <c r="G124" s="38" t="n"/>
      <c r="H124" s="38" t="n"/>
      <c r="I124" s="38" t="n"/>
      <c r="J124" s="50">
        <f>IF($A124&gt;TODAY(),"",SUMIFS('Daily Log'!$C$4:$C$734,'Daily Log'!$A$4:$A$734,"&gt;="&amp;$A124,'Daily Log'!$A$4:$A$734,"&lt;="&amp;$A124+6))</f>
        <v/>
      </c>
      <c r="K124" s="50">
        <f>IF($A124&gt;TODAY(),"",SUMIFS('Daily Log'!$D$4:$D$734,'Daily Log'!$A$4:$A$734,"&gt;="&amp;$A124,'Daily Log'!$A$4:$A$734,"&lt;="&amp;$A124+6))</f>
        <v/>
      </c>
      <c r="L124" s="79">
        <f>IFERROR(E124/J124,"")</f>
        <v/>
      </c>
      <c r="M124" s="79">
        <f>IFERROR(H124/E124*1000,"")</f>
        <v/>
      </c>
      <c r="N124" s="87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124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124 E20:E124 F20:F124 G20:G124 H20:H124 I20:I124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A3833"/>
    <outlinePr summaryBelow="1" summaryRight="1"/>
    <pageSetUpPr/>
  </sheetPr>
  <dimension ref="A1:D10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4" customWidth="1" min="2" max="2"/>
    <col width="14" customWidth="1" min="3" max="3"/>
    <col width="16" customWidth="1" min="4" max="4"/>
  </cols>
  <sheetData>
    <row r="1" ht="46" customHeight="1">
      <c r="A1" s="1" t="inlineStr">
        <is>
          <t>CHEAT SHEET — what your numbers are telling you</t>
        </is>
      </c>
    </row>
    <row r="2" ht="18" customHeight="1">
      <c r="A2" s="2" t="inlineStr">
        <is>
          <t>Every number in this sheet has one job: to tell you which single thing to fix next.</t>
        </is>
      </c>
    </row>
    <row r="4" ht="21" customHeight="1">
      <c r="A4" s="5" t="inlineStr">
        <is>
          <t>HOW TO READ YOUR NUMBERS</t>
        </is>
      </c>
    </row>
    <row r="5" ht="28" customHeight="1">
      <c r="B5" s="4" t="inlineStr">
        <is>
          <t>Your business is a chain. Content gets you seen. Stories build trust. Opener DMs start conversations. Follow-ups rescue the ones that stalled. Replies become pitches, pitches become booked calls, booked calls become clients.</t>
        </is>
      </c>
    </row>
    <row r="6" ht="28" customHeight="1">
      <c r="B6" s="4" t="inlineStr">
        <is>
          <t>Every link has a rate. When the money is down, one link broke — and the rates tell you exactly which one. That is the entire point of this sheet: stop guessing, fix one thing.</t>
        </is>
      </c>
    </row>
    <row r="7" ht="28" customHeight="1">
      <c r="B7" s="4" t="inlineStr">
        <is>
          <t>Rule of thumb: fix the earliest broken link first. Working on your close rate while your reply rate is broken just means closing a smaller number of people.</t>
        </is>
      </c>
    </row>
    <row r="9" ht="21" customHeight="1">
      <c r="A9" s="5" t="inlineStr">
        <is>
          <t>HEALTHY RANGES — edit these as you learn what's true for your clients</t>
        </is>
      </c>
    </row>
    <row r="10" ht="32" customHeight="1">
      <c r="A10" s="6" t="inlineStr">
        <is>
          <t>Rate</t>
        </is>
      </c>
      <c r="B10" s="6" t="inlineStr">
        <is>
          <t>What it's measuring</t>
        </is>
      </c>
      <c r="C10" s="6" t="inlineStr">
        <is>
          <t>Healthy
floor</t>
        </is>
      </c>
      <c r="D10" s="6" t="inlineStr">
        <is>
          <t>Healthy
ceiling</t>
        </is>
      </c>
    </row>
    <row r="11" ht="20" customHeight="1">
      <c r="A11" s="48" t="inlineStr">
        <is>
          <t>Reply rate</t>
        </is>
      </c>
      <c r="B11" s="88" t="inlineStr">
        <is>
          <t>Replies ÷ DMs sent — Whether your opener is worth answering. Nothing downstream can beat this number.</t>
        </is>
      </c>
      <c r="C11" s="89" t="n">
        <v>0.1</v>
      </c>
      <c r="D11" s="89" t="n">
        <v>0.25</v>
      </c>
    </row>
    <row r="12" ht="20" customHeight="1">
      <c r="A12" s="48" t="inlineStr">
        <is>
          <t>Pitch rate</t>
        </is>
      </c>
      <c r="B12" s="88" t="inlineStr">
        <is>
          <t>Calls pitched ÷ replies — Whether you actually ask. This is the most common place the whole thing quietly dies.</t>
        </is>
      </c>
      <c r="C12" s="89" t="n">
        <v>0.3</v>
      </c>
      <c r="D12" s="89" t="n">
        <v>0.6</v>
      </c>
    </row>
    <row r="13" ht="20" customHeight="1">
      <c r="A13" s="48" t="inlineStr">
        <is>
          <t>Book rate</t>
        </is>
      </c>
      <c r="B13" s="88" t="inlineStr">
        <is>
          <t>Calls booked ÷ pitched — Whether the ask lands when you make it.</t>
        </is>
      </c>
      <c r="C13" s="89" t="n">
        <v>0.2</v>
      </c>
      <c r="D13" s="89" t="n">
        <v>0.4</v>
      </c>
    </row>
    <row r="14" ht="20" customHeight="1">
      <c r="A14" s="48" t="inlineStr">
        <is>
          <t>Show rate</t>
        </is>
      </c>
      <c r="B14" s="88" t="inlineStr">
        <is>
          <t>Calls showed ÷ booked — Whether the booking was real. This is a confirmation problem, almost never a booking problem.</t>
        </is>
      </c>
      <c r="C14" s="89" t="n">
        <v>0.6</v>
      </c>
      <c r="D14" s="89" t="n">
        <v>0.85</v>
      </c>
    </row>
    <row r="15" ht="20" customHeight="1">
      <c r="A15" s="48" t="inlineStr">
        <is>
          <t>Close rate</t>
        </is>
      </c>
      <c r="B15" s="88" t="inlineStr">
        <is>
          <t>Closes ÷ showed — The offer and the call itself — but only for the people who actually turned up.</t>
        </is>
      </c>
      <c r="C15" s="89" t="n">
        <v>0.2</v>
      </c>
      <c r="D15" s="89" t="n">
        <v>0.4</v>
      </c>
    </row>
    <row r="16" ht="32" customHeight="1">
      <c r="B16" s="90" t="inlineStr">
        <is>
          <t>These are The Called's working numbers, not gospel — they are cream cells because they are yours to change. The KPI Dashboard colours your rates against the FLOOR column: edit a floor here and the dashboard re-grades itself. Once you have enough client history, replace these with what you actually see.</t>
        </is>
      </c>
    </row>
    <row r="18" ht="21" customHeight="1">
      <c r="A18" s="5" t="inlineStr">
        <is>
          <t>THE FIVE RATES — where the money actually leaks</t>
        </is>
      </c>
    </row>
    <row r="19" ht="20" customHeight="1">
      <c r="A19" s="91" t="inlineStr">
        <is>
          <t>REPLY RATE — replies ÷ dms sent</t>
        </is>
      </c>
    </row>
    <row r="20" ht="17" customHeight="1">
      <c r="A20" s="92" t="inlineStr">
        <is>
          <t>Measures</t>
        </is>
      </c>
      <c r="B20" s="4" t="inlineStr">
        <is>
          <t>Whether your opener is worth answering. Nothing downstream can beat this number.</t>
        </is>
      </c>
    </row>
    <row r="21" ht="30" customHeight="1">
      <c r="A21" s="93" t="inlineStr">
        <is>
          <t>If it's low</t>
        </is>
      </c>
      <c r="B21" s="4" t="inlineStr">
        <is>
          <t>Your opener reads like a pitch, or you're messaging people who have never seen you. Cold list, or a first line about you instead of them.</t>
        </is>
      </c>
    </row>
    <row r="22" ht="43" customHeight="1">
      <c r="A22" s="92" t="inlineStr">
        <is>
          <t>Do this</t>
        </is>
      </c>
      <c r="B22" s="4" t="inlineStr">
        <is>
          <t>Rewrite the first line so it's about them — something specific from their profile or content. Warm the list first: watch stories and reply to posts for 2–3 days before the DM. Change ONE thing and give it 50 DMs before you judge it.</t>
        </is>
      </c>
    </row>
    <row r="23" ht="30" customHeight="1">
      <c r="A23" s="94" t="inlineStr">
        <is>
          <t>If it's high</t>
        </is>
      </c>
      <c r="B23" s="4" t="inlineStr">
        <is>
          <t>Good — but check your pitch rate. A high reply rate with a low pitch rate means you're being liked, not hired. Pleasant conversations are not pipeline.</t>
        </is>
      </c>
    </row>
    <row r="25" ht="20" customHeight="1">
      <c r="A25" s="91" t="inlineStr">
        <is>
          <t>PITCH RATE — calls pitched ÷ replies</t>
        </is>
      </c>
    </row>
    <row r="26" ht="17" customHeight="1">
      <c r="A26" s="92" t="inlineStr">
        <is>
          <t>Measures</t>
        </is>
      </c>
      <c r="B26" s="4" t="inlineStr">
        <is>
          <t>Whether you actually ask. This is the most common place the whole thing quietly dies.</t>
        </is>
      </c>
    </row>
    <row r="27" ht="30" customHeight="1">
      <c r="A27" s="93" t="inlineStr">
        <is>
          <t>If it's low</t>
        </is>
      </c>
      <c r="B27" s="4" t="inlineStr">
        <is>
          <t>You're chatting. Either you're scared of the ask, or you don't have a clean line to get from conversation to call.</t>
        </is>
      </c>
    </row>
    <row r="28" ht="30" customHeight="1">
      <c r="A28" s="92" t="inlineStr">
        <is>
          <t>Do this</t>
        </is>
      </c>
      <c r="B28" s="4" t="inlineStr">
        <is>
          <t>Decide the ask before you open the conversation. Two exchanges, then transition. Write one transition line, save it, and use it every time until it feels boring.</t>
        </is>
      </c>
    </row>
    <row r="29" ht="30" customHeight="1">
      <c r="A29" s="94" t="inlineStr">
        <is>
          <t>If it's high</t>
        </is>
      </c>
      <c r="B29" s="4" t="inlineStr">
        <is>
          <t>Check your book rate. If you're pitching almost everyone and few are booking, you're asking before you've earned it.</t>
        </is>
      </c>
    </row>
    <row r="31" ht="20" customHeight="1">
      <c r="A31" s="91" t="inlineStr">
        <is>
          <t>BOOK RATE — calls booked ÷ pitched</t>
        </is>
      </c>
    </row>
    <row r="32" ht="17" customHeight="1">
      <c r="A32" s="92" t="inlineStr">
        <is>
          <t>Measures</t>
        </is>
      </c>
      <c r="B32" s="4" t="inlineStr">
        <is>
          <t>Whether the ask lands when you make it.</t>
        </is>
      </c>
    </row>
    <row r="33" ht="30" customHeight="1">
      <c r="A33" s="93" t="inlineStr">
        <is>
          <t>If it's low</t>
        </is>
      </c>
      <c r="B33" s="4" t="inlineStr">
        <is>
          <t>Three usual causes: asking too early, an unclear offer, or pitching people who were never going to buy.</t>
        </is>
      </c>
    </row>
    <row r="34" ht="30" customHeight="1">
      <c r="A34" s="92" t="inlineStr">
        <is>
          <t>Do this</t>
        </is>
      </c>
      <c r="B34" s="4" t="inlineStr">
        <is>
          <t>Qualify before you ask — do they actually have the problem you solve, and can they pay? Make the call sound like a specific outcome, not “a quick chat”. Offer two times, not an open calendar.</t>
        </is>
      </c>
    </row>
    <row r="35" ht="17" customHeight="1">
      <c r="A35" s="94" t="inlineStr">
        <is>
          <t>If it's high</t>
        </is>
      </c>
      <c r="B35" s="4" t="inlineStr">
        <is>
          <t>Your ask works. The bottleneck is upstream — send more DMs.</t>
        </is>
      </c>
    </row>
    <row r="37" ht="20" customHeight="1">
      <c r="A37" s="91" t="inlineStr">
        <is>
          <t>SHOW RATE — calls showed ÷ booked</t>
        </is>
      </c>
    </row>
    <row r="38" ht="17" customHeight="1">
      <c r="A38" s="92" t="inlineStr">
        <is>
          <t>Measures</t>
        </is>
      </c>
      <c r="B38" s="4" t="inlineStr">
        <is>
          <t>Whether the booking was real. This is a confirmation problem, almost never a booking problem.</t>
        </is>
      </c>
    </row>
    <row r="39" ht="30" customHeight="1">
      <c r="A39" s="93" t="inlineStr">
        <is>
          <t>If it's low</t>
        </is>
      </c>
      <c r="B39" s="4" t="inlineStr">
        <is>
          <t>Most no-shows booked in a moment of interest and then forgot. The gap between booking and call is where it died.</t>
        </is>
      </c>
    </row>
    <row r="40" ht="43" customHeight="1">
      <c r="A40" s="92" t="inlineStr">
        <is>
          <t>Do this</t>
        </is>
      </c>
      <c r="B40" s="4" t="inlineStr">
        <is>
          <t>Book inside 48 hours — the further out, the colder. Confirm within an hour of booking and ask them to reply. Remind 24 hours before and again the morning of. A confirmation they don't reply to isn't a confirmation.</t>
        </is>
      </c>
    </row>
    <row r="41" ht="17" customHeight="1">
      <c r="A41" s="94" t="inlineStr">
        <is>
          <t>If it's high</t>
        </is>
      </c>
      <c r="B41" s="4" t="inlineStr">
        <is>
          <t>Your bookings are real. Push volume upstream.</t>
        </is>
      </c>
    </row>
    <row r="43" ht="20" customHeight="1">
      <c r="A43" s="91" t="inlineStr">
        <is>
          <t>CLOSE RATE — closes ÷ showed</t>
        </is>
      </c>
    </row>
    <row r="44" ht="17" customHeight="1">
      <c r="A44" s="92" t="inlineStr">
        <is>
          <t>Measures</t>
        </is>
      </c>
      <c r="B44" s="4" t="inlineStr">
        <is>
          <t>The offer and the call itself — but only for the people who actually turned up.</t>
        </is>
      </c>
    </row>
    <row r="45" ht="43" customHeight="1">
      <c r="A45" s="93" t="inlineStr">
        <is>
          <t>If it's low</t>
        </is>
      </c>
      <c r="B45" s="4" t="inlineStr">
        <is>
          <t>Check book rate first. High book rate plus low close rate is a qualification problem, not a closing problem — you're booking the wrong people, and no call script fixes that. If qualification is fine, it's the call structure or the price framing.</t>
        </is>
      </c>
    </row>
    <row r="46" ht="30" customHeight="1">
      <c r="A46" s="92" t="inlineStr">
        <is>
          <t>Do this</t>
        </is>
      </c>
      <c r="B46" s="4" t="inlineStr">
        <is>
          <t>Fix who's showing up before you fix the call. Then: diagnose longer before you present, and get the money objection on the table early rather than at the end.</t>
        </is>
      </c>
    </row>
    <row r="47" ht="30" customHeight="1">
      <c r="A47" s="94" t="inlineStr">
        <is>
          <t>If it's high</t>
        </is>
      </c>
      <c r="B47" s="4" t="inlineStr">
        <is>
          <t>Your offer works and the right people are showing. Every extra DM is now worth real money — look at Cash per 100 DMs and act on it.</t>
        </is>
      </c>
    </row>
    <row r="49" ht="21" customHeight="1">
      <c r="A49" s="5" t="inlineStr">
        <is>
          <t>THE VOLUME NUMBERS — the inputs you control</t>
        </is>
      </c>
    </row>
    <row r="50" ht="20" customHeight="1">
      <c r="A50" s="91" t="inlineStr">
        <is>
          <t>REELS / POSTS</t>
        </is>
      </c>
    </row>
    <row r="51" ht="17" customHeight="1">
      <c r="A51" s="92" t="inlineStr">
        <is>
          <t>What it does</t>
        </is>
      </c>
      <c r="B51" s="4" t="inlineStr">
        <is>
          <t>Gets you in front of people who've never heard of you, and gives your DMs a reason to be answered.</t>
        </is>
      </c>
    </row>
    <row r="52" ht="17" customHeight="1">
      <c r="A52" s="93" t="inlineStr">
        <is>
          <t>If it's low</t>
        </is>
      </c>
      <c r="B52" s="4" t="inlineStr">
        <is>
          <t>Your DM volume has to do all the work, and your reply rate usually drops a week or two later.</t>
        </is>
      </c>
    </row>
    <row r="53" ht="17" customHeight="1">
      <c r="A53" s="92" t="inlineStr">
        <is>
          <t>Do this</t>
        </is>
      </c>
      <c r="B53" s="4" t="inlineStr">
        <is>
          <t>Batch film. Content volume is a scheduling problem, not a creativity problem.</t>
        </is>
      </c>
    </row>
    <row r="55" ht="20" customHeight="1">
      <c r="A55" s="91" t="inlineStr">
        <is>
          <t>STORIES</t>
        </is>
      </c>
    </row>
    <row r="56" ht="17" customHeight="1">
      <c r="A56" s="92" t="inlineStr">
        <is>
          <t>What it does</t>
        </is>
      </c>
      <c r="B56" s="4" t="inlineStr">
        <is>
          <t>The trust layer. Stories are why someone recognises your name when your DM lands.</t>
        </is>
      </c>
    </row>
    <row r="57" ht="17" customHeight="1">
      <c r="A57" s="93" t="inlineStr">
        <is>
          <t>If it's low</t>
        </is>
      </c>
      <c r="B57" s="4" t="inlineStr">
        <is>
          <t>Watch your reply rate about a week later — this is usually where a reply-rate drop starts.</t>
        </is>
      </c>
    </row>
    <row r="58" ht="30" customHeight="1">
      <c r="A58" s="92" t="inlineStr">
        <is>
          <t>Do this</t>
        </is>
      </c>
      <c r="B58" s="4" t="inlineStr">
        <is>
          <t>Post through the day, not in one block. Behind the scenes, client wins, opinions. Low effort, high frequency.</t>
        </is>
      </c>
    </row>
    <row r="60" ht="20" customHeight="1">
      <c r="A60" s="91" t="inlineStr">
        <is>
          <t>OPENER DMS</t>
        </is>
      </c>
    </row>
    <row r="61" ht="30" customHeight="1">
      <c r="A61" s="92" t="inlineStr">
        <is>
          <t>What it does</t>
        </is>
      </c>
      <c r="B61" s="4" t="inlineStr">
        <is>
          <t>The single biggest lever on how many calls you book. Everything downstream is a percentage of this number.</t>
        </is>
      </c>
    </row>
    <row r="62" ht="17" customHeight="1">
      <c r="A62" s="93" t="inlineStr">
        <is>
          <t>If it's low</t>
        </is>
      </c>
      <c r="B62" s="4" t="inlineStr">
        <is>
          <t>Nothing else matters much. A great reply rate on 5 DMs a day is still no pipeline.</t>
        </is>
      </c>
    </row>
    <row r="63" ht="17" customHeight="1">
      <c r="A63" s="92" t="inlineStr">
        <is>
          <t>Do this</t>
        </is>
      </c>
      <c r="B63" s="4" t="inlineStr">
        <is>
          <t>Same time, every day, before anything else. Volume first, then optimise the opener.</t>
        </is>
      </c>
    </row>
    <row r="65" ht="20" customHeight="1">
      <c r="A65" s="91" t="inlineStr">
        <is>
          <t>FOLLOW-UP DMS</t>
        </is>
      </c>
    </row>
    <row r="66" ht="17" customHeight="1">
      <c r="A66" s="92" t="inlineStr">
        <is>
          <t>What it does</t>
        </is>
      </c>
      <c r="B66" s="4" t="inlineStr">
        <is>
          <t>Where most of the money is. Most replies come on the second or third touch, not the first.</t>
        </is>
      </c>
    </row>
    <row r="67" ht="30" customHeight="1">
      <c r="A67" s="93" t="inlineStr">
        <is>
          <t>If it's low</t>
        </is>
      </c>
      <c r="B67" s="4" t="inlineStr">
        <is>
          <t>You're paying full price for leads and then abandoning them. This is the cheapest fix in the whole sheet.</t>
        </is>
      </c>
    </row>
    <row r="68" ht="30" customHeight="1">
      <c r="A68" s="92" t="inlineStr">
        <is>
          <t>Do this</t>
        </is>
      </c>
      <c r="B68" s="4" t="inlineStr">
        <is>
          <t>Every unanswered opener gets a follow-up 48 hours later, and another 4 days after that. Add value, don't just bump.</t>
        </is>
      </c>
    </row>
    <row r="70" ht="20" customHeight="1">
      <c r="A70" s="91" t="inlineStr">
        <is>
          <t>REPLIES</t>
        </is>
      </c>
    </row>
    <row r="71" ht="30" customHeight="1">
      <c r="A71" s="92" t="inlineStr">
        <is>
          <t>What it does</t>
        </is>
      </c>
      <c r="B71" s="4" t="inlineStr">
        <is>
          <t>An outcome, not an input. You don't control replies — you control DMs sent and how good the opener is.</t>
        </is>
      </c>
    </row>
    <row r="72" ht="17" customHeight="1">
      <c r="A72" s="93" t="inlineStr">
        <is>
          <t>If it's low</t>
        </is>
      </c>
      <c r="B72" s="4" t="inlineStr">
        <is>
          <t>Don't try to fix replies. Fix the opener (reply rate) or the volume (opener DMs).</t>
        </is>
      </c>
    </row>
    <row r="74" ht="21" customHeight="1">
      <c r="A74" s="5" t="inlineStr">
        <is>
          <t>THE MONEY NUMBERS</t>
        </is>
      </c>
    </row>
    <row r="75" ht="20" customHeight="1">
      <c r="A75" s="91" t="inlineStr">
        <is>
          <t>CASH PER CALL BOOKED</t>
        </is>
      </c>
    </row>
    <row r="76" ht="17" customHeight="1">
      <c r="A76" s="92" t="inlineStr">
        <is>
          <t>What it is</t>
        </is>
      </c>
      <c r="B76" s="4" t="inlineStr">
        <is>
          <t>What one booked call is worth to you on average, including the ones that don't close.</t>
        </is>
      </c>
    </row>
    <row r="77" ht="30" customHeight="1">
      <c r="A77" s="92" t="inlineStr">
        <is>
          <t>Use it</t>
        </is>
      </c>
      <c r="B77" s="4" t="inlineStr">
        <is>
          <t>Multiply it by the calls you didn't book this week. That's what the missed follow-ups cost you — in dollars, not vibes.</t>
        </is>
      </c>
    </row>
    <row r="79" ht="20" customHeight="1">
      <c r="A79" s="91" t="inlineStr">
        <is>
          <t>CASH PER 100 DMS SENT</t>
        </is>
      </c>
    </row>
    <row r="80" ht="17" customHeight="1">
      <c r="A80" s="92" t="inlineStr">
        <is>
          <t>What it is</t>
        </is>
      </c>
      <c r="B80" s="4" t="inlineStr">
        <is>
          <t>The number that turns your daily standard into a decision instead of a chore.</t>
        </is>
      </c>
    </row>
    <row r="81" ht="30" customHeight="1">
      <c r="A81" s="92" t="inlineStr">
        <is>
          <t>Use it</t>
        </is>
      </c>
      <c r="B81" s="4" t="inlineStr">
        <is>
          <t>If 100 DMs is worth $1,200 to you, then 20 more DMs today is worth $240. That's the whole argument for hitting the standard.</t>
        </is>
      </c>
    </row>
    <row r="83" ht="20" customHeight="1">
      <c r="A83" s="91" t="inlineStr">
        <is>
          <t>CASH COLLECTED VS REVENUE GENERATED</t>
        </is>
      </c>
    </row>
    <row r="84" ht="17" customHeight="1">
      <c r="A84" s="92" t="inlineStr">
        <is>
          <t>What it is</t>
        </is>
      </c>
      <c r="B84" s="4" t="inlineStr">
        <is>
          <t>Revenue is what they agreed to pay. Cash is what actually landed in your account.</t>
        </is>
      </c>
    </row>
    <row r="85" ht="30" customHeight="1">
      <c r="A85" s="92" t="inlineStr">
        <is>
          <t>Use it</t>
        </is>
      </c>
      <c r="B85" s="4" t="inlineStr">
        <is>
          <t>A gap means payment plans or unpaid invoices. Neither is wrong — but manage your cash off the cash number, never the revenue number.</t>
        </is>
      </c>
    </row>
    <row r="87" ht="21" customHeight="1">
      <c r="A87" s="5" t="inlineStr">
        <is>
          <t>THE INSTAGRAM NUMBERS</t>
        </is>
      </c>
    </row>
    <row r="88" ht="20" customHeight="1">
      <c r="A88" s="91" t="inlineStr">
        <is>
          <t>FOLLOWERS</t>
        </is>
      </c>
    </row>
    <row r="89" ht="17" customHeight="1">
      <c r="A89" s="92" t="inlineStr">
        <is>
          <t>What it is</t>
        </is>
      </c>
      <c r="B89" s="4" t="inlineStr">
        <is>
          <t>The least useful number on the page. Followers only matter if reach and DMs move with them.</t>
        </is>
      </c>
    </row>
    <row r="90" ht="17" customHeight="1">
      <c r="A90" s="92" t="inlineStr">
        <is>
          <t>Watch</t>
        </is>
      </c>
      <c r="B90" s="4" t="inlineStr">
        <is>
          <t>Accounts reached, and new followers per 1,000 reached.</t>
        </is>
      </c>
    </row>
    <row r="92" ht="20" customHeight="1">
      <c r="A92" s="91" t="inlineStr">
        <is>
          <t>ACCOUNTS REACHED</t>
        </is>
      </c>
    </row>
    <row r="93" ht="17" customHeight="1">
      <c r="A93" s="92" t="inlineStr">
        <is>
          <t>What it is</t>
        </is>
      </c>
      <c r="B93" s="4" t="inlineStr">
        <is>
          <t>How many people actually saw you this week. This is the real top of your funnel.</t>
        </is>
      </c>
    </row>
    <row r="94" ht="30" customHeight="1">
      <c r="A94" s="92" t="inlineStr">
        <is>
          <t>Watch</t>
        </is>
      </c>
      <c r="B94" s="4" t="inlineStr">
        <is>
          <t>If it's falling, post more or post differently — reach follows volume and hooks far more than it follows follower count.</t>
        </is>
      </c>
    </row>
    <row r="96" ht="20" customHeight="1">
      <c r="A96" s="91" t="inlineStr">
        <is>
          <t>NEW FOLLOWERS PER 1,000 REACHED</t>
        </is>
      </c>
    </row>
    <row r="97" ht="17" customHeight="1">
      <c r="A97" s="92" t="inlineStr">
        <is>
          <t>What it is</t>
        </is>
      </c>
      <c r="B97" s="4" t="inlineStr">
        <is>
          <t>The quality number. How many people who saw you thought you were worth following.</t>
        </is>
      </c>
    </row>
    <row r="98" ht="30" customHeight="1">
      <c r="A98" s="92" t="inlineStr">
        <is>
          <t>Watch</t>
        </is>
      </c>
      <c r="B98" s="4" t="inlineStr">
        <is>
          <t>Falling while reach rises means you're being shown to the wrong people. A viral reel that brings the wrong audience makes your DMs worse, not better.</t>
        </is>
      </c>
    </row>
    <row r="100" ht="20" customHeight="1">
      <c r="A100" s="91" t="inlineStr">
        <is>
          <t>REACH PER POST</t>
        </is>
      </c>
    </row>
    <row r="101" ht="17" customHeight="1">
      <c r="A101" s="92" t="inlineStr">
        <is>
          <t>What it is</t>
        </is>
      </c>
      <c r="B101" s="4" t="inlineStr">
        <is>
          <t>How far the average post travels. Rising reach on flat post count is the good kind of growth.</t>
        </is>
      </c>
    </row>
    <row r="102" ht="30" customHeight="1">
      <c r="A102" s="92" t="inlineStr">
        <is>
          <t>Watch</t>
        </is>
      </c>
      <c r="B102" s="4" t="inlineStr">
        <is>
          <t>Compare it to reach — if reach is only up because you posted more, reach per post tells you the content itself didn't improve.</t>
        </is>
      </c>
    </row>
    <row r="104" ht="21" customHeight="1">
      <c r="A104" s="5" t="inlineStr">
        <is>
          <t>FIVE TRAPS</t>
        </is>
      </c>
    </row>
    <row r="105" ht="18" customHeight="1">
      <c r="A105" s="95" t="inlineStr">
        <is>
          <t>1.</t>
        </is>
      </c>
      <c r="B105" s="4" t="inlineStr">
        <is>
          <t>One week is not a trend. Three weeks minimum before you change strategy off a number.</t>
        </is>
      </c>
    </row>
    <row r="106" ht="18" customHeight="1">
      <c r="A106" s="95" t="inlineStr">
        <is>
          <t>2.</t>
        </is>
      </c>
      <c r="B106" s="4" t="inlineStr">
        <is>
          <t>A low close rate with a high book rate is a qualification problem, not a closing problem.</t>
        </is>
      </c>
    </row>
    <row r="107" ht="31" customHeight="1">
      <c r="A107" s="95" t="inlineStr">
        <is>
          <t>3.</t>
        </is>
      </c>
      <c r="B107" s="4" t="inlineStr">
        <is>
          <t>Cash lags the work by two to four weeks. Don't panic in the middle of the lag — look at the activity numbers instead, they move first.</t>
        </is>
      </c>
    </row>
    <row r="108" ht="31" customHeight="1">
      <c r="A108" s="95" t="inlineStr">
        <is>
          <t>4.</t>
        </is>
      </c>
      <c r="B108" s="4" t="inlineStr">
        <is>
          <t>Blank is not zero. A blank day tells the sheet you didn't track; a zero tells it you didn't work. Only one of those is honest.</t>
        </is>
      </c>
    </row>
    <row r="109" ht="31" customHeight="1">
      <c r="A109" s="95" t="inlineStr">
        <is>
          <t>5.</t>
        </is>
      </c>
      <c r="B109" s="4" t="inlineStr">
        <is>
          <t>Don't fix two things at once. You'll never know which one worked, and you'll keep doing both forever.</t>
        </is>
      </c>
    </row>
  </sheetData>
  <mergeCells count="26">
    <mergeCell ref="A92:B92"/>
    <mergeCell ref="A60:B60"/>
    <mergeCell ref="A4:D4"/>
    <mergeCell ref="A88:B88"/>
    <mergeCell ref="A70:B70"/>
    <mergeCell ref="A79:B79"/>
    <mergeCell ref="A9:D9"/>
    <mergeCell ref="A25:B25"/>
    <mergeCell ref="A65:B65"/>
    <mergeCell ref="A37:B37"/>
    <mergeCell ref="A75:B75"/>
    <mergeCell ref="A49:D49"/>
    <mergeCell ref="A55:B55"/>
    <mergeCell ref="A50:B50"/>
    <mergeCell ref="A1:D1"/>
    <mergeCell ref="A87:D87"/>
    <mergeCell ref="A100:B100"/>
    <mergeCell ref="A18:D18"/>
    <mergeCell ref="A96:B96"/>
    <mergeCell ref="A74:D74"/>
    <mergeCell ref="A43:B43"/>
    <mergeCell ref="A19:B19"/>
    <mergeCell ref="A104:D104"/>
    <mergeCell ref="A2:D2"/>
    <mergeCell ref="A31:B31"/>
    <mergeCell ref="A83:B8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96">
        <f>TODAY()-WEEKDAY(TODAY(),2)+1-84</f>
        <v/>
      </c>
      <c r="B4" s="97">
        <f>IF(A4="","",TEXT(A4,"d mmm"))</f>
        <v/>
      </c>
      <c r="C4" s="50">
        <f>IF($A4&lt;Setup!$C$9,"",SUMIFS('Daily Log'!$Q$4:$Q$734,'Daily Log'!$A$4:$A$734,"&gt;="&amp;$A4,'Daily Log'!$A$4:$A$734,"&lt;="&amp;$A4+6))</f>
        <v/>
      </c>
      <c r="D4" s="50">
        <f>IF($A4&lt;Setup!$C$9,"",SUMIFS('Daily Log'!$C$4:$C$734,'Daily Log'!$A$4:$A$734,"&gt;="&amp;$A4,'Daily Log'!$A$4:$A$734,"&lt;="&amp;$A4+6))</f>
        <v/>
      </c>
      <c r="E4" s="50">
        <f>IF($A4&lt;Setup!$C$9,"",SUMIFS('Daily Log'!$D$4:$D$734,'Daily Log'!$A$4:$A$734,"&gt;="&amp;$A4,'Daily Log'!$A$4:$A$734,"&lt;="&amp;$A4+6))</f>
        <v/>
      </c>
      <c r="F4" s="50">
        <f>IF($A4&lt;Setup!$C$9,"",SUMIFS('Daily Log'!$E$4:$E$734,'Daily Log'!$A$4:$A$734,"&gt;="&amp;$A4,'Daily Log'!$A$4:$A$734,"&lt;="&amp;$A4+6))</f>
        <v/>
      </c>
      <c r="G4" s="50">
        <f>IF($A4&lt;Setup!$C$9,"",SUMIFS('Daily Log'!$F$4:$F$734,'Daily Log'!$A$4:$A$734,"&gt;="&amp;$A4,'Daily Log'!$A$4:$A$734,"&lt;="&amp;$A4+6))</f>
        <v/>
      </c>
      <c r="H4" s="50">
        <f>IF($A4&lt;Setup!$C$9,"",IFERROR(F4+G4,""))</f>
        <v/>
      </c>
      <c r="I4" s="50">
        <f>IF($A4&lt;Setup!$C$9,"",SUMIFS('Daily Log'!$G$4:$G$734,'Daily Log'!$A$4:$A$734,"&gt;="&amp;$A4,'Daily Log'!$A$4:$A$734,"&lt;="&amp;$A4+6))</f>
        <v/>
      </c>
      <c r="J4" s="50">
        <f>IF($A4&lt;Setup!$C$9,"",SUMIFS('Daily Log'!$H$4:$H$734,'Daily Log'!$A$4:$A$734,"&gt;="&amp;$A4,'Daily Log'!$A$4:$A$734,"&lt;="&amp;$A4+6))</f>
        <v/>
      </c>
      <c r="K4" s="50">
        <f>IF($A4&lt;Setup!$C$9,"",SUMIFS('Daily Log'!$I$4:$I$734,'Daily Log'!$A$4:$A$734,"&gt;="&amp;$A4,'Daily Log'!$A$4:$A$734,"&lt;="&amp;$A4+6))</f>
        <v/>
      </c>
      <c r="L4" s="50">
        <f>IF($A4&lt;Setup!$C$9,"",SUMIFS('Daily Log'!$J$4:$J$734,'Daily Log'!$A$4:$A$734,"&gt;="&amp;$A4,'Daily Log'!$A$4:$A$734,"&lt;="&amp;$A4+6))</f>
        <v/>
      </c>
      <c r="M4" s="50">
        <f>IF($A4&lt;Setup!$C$9,"",SUMIFS('Daily Log'!$K$4:$K$734,'Daily Log'!$A$4:$A$734,"&gt;="&amp;$A4,'Daily Log'!$A$4:$A$734,"&lt;="&amp;$A4+6))</f>
        <v/>
      </c>
      <c r="N4" s="56">
        <f>IF($A4&lt;Setup!$C$9,"",SUMIFS('Daily Log'!$L$4:$L$734,'Daily Log'!$A$4:$A$734,"&gt;="&amp;$A4,'Daily Log'!$A$4:$A$734,"&lt;="&amp;$A4+6))</f>
        <v/>
      </c>
      <c r="O4" s="56">
        <f>IF($A4&lt;Setup!$C$9,"",SUMIFS('Daily Log'!$M$4:$M$734,'Daily Log'!$A$4:$A$734,"&gt;="&amp;$A4,'Daily Log'!$A$4:$A$734,"&lt;="&amp;$A4+6))</f>
        <v/>
      </c>
      <c r="P4" s="59">
        <f>IFERROR(I4/H4,"")</f>
        <v/>
      </c>
      <c r="Q4" s="59">
        <f>IFERROR(J4/I4,"")</f>
        <v/>
      </c>
      <c r="R4" s="59">
        <f>IFERROR(K4/J4,"")</f>
        <v/>
      </c>
      <c r="S4" s="59">
        <f>IFERROR(L4/K4,"")</f>
        <v/>
      </c>
      <c r="T4" s="59">
        <f>IFERROR(M4/L4,"")</f>
        <v/>
      </c>
    </row>
    <row r="5">
      <c r="A5" s="96">
        <f>A4+7</f>
        <v/>
      </c>
      <c r="B5" s="97">
        <f>IF(A5="","",TEXT(A5,"d mmm"))</f>
        <v/>
      </c>
      <c r="C5" s="50">
        <f>IF($A5&lt;Setup!$C$9,"",SUMIFS('Daily Log'!$Q$4:$Q$734,'Daily Log'!$A$4:$A$734,"&gt;="&amp;$A5,'Daily Log'!$A$4:$A$734,"&lt;="&amp;$A5+6))</f>
        <v/>
      </c>
      <c r="D5" s="50">
        <f>IF($A5&lt;Setup!$C$9,"",SUMIFS('Daily Log'!$C$4:$C$734,'Daily Log'!$A$4:$A$734,"&gt;="&amp;$A5,'Daily Log'!$A$4:$A$734,"&lt;="&amp;$A5+6))</f>
        <v/>
      </c>
      <c r="E5" s="50">
        <f>IF($A5&lt;Setup!$C$9,"",SUMIFS('Daily Log'!$D$4:$D$734,'Daily Log'!$A$4:$A$734,"&gt;="&amp;$A5,'Daily Log'!$A$4:$A$734,"&lt;="&amp;$A5+6))</f>
        <v/>
      </c>
      <c r="F5" s="50">
        <f>IF($A5&lt;Setup!$C$9,"",SUMIFS('Daily Log'!$E$4:$E$734,'Daily Log'!$A$4:$A$734,"&gt;="&amp;$A5,'Daily Log'!$A$4:$A$734,"&lt;="&amp;$A5+6))</f>
        <v/>
      </c>
      <c r="G5" s="50">
        <f>IF($A5&lt;Setup!$C$9,"",SUMIFS('Daily Log'!$F$4:$F$734,'Daily Log'!$A$4:$A$734,"&gt;="&amp;$A5,'Daily Log'!$A$4:$A$734,"&lt;="&amp;$A5+6))</f>
        <v/>
      </c>
      <c r="H5" s="50">
        <f>IF($A5&lt;Setup!$C$9,"",IFERROR(F5+G5,""))</f>
        <v/>
      </c>
      <c r="I5" s="50">
        <f>IF($A5&lt;Setup!$C$9,"",SUMIFS('Daily Log'!$G$4:$G$734,'Daily Log'!$A$4:$A$734,"&gt;="&amp;$A5,'Daily Log'!$A$4:$A$734,"&lt;="&amp;$A5+6))</f>
        <v/>
      </c>
      <c r="J5" s="50">
        <f>IF($A5&lt;Setup!$C$9,"",SUMIFS('Daily Log'!$H$4:$H$734,'Daily Log'!$A$4:$A$734,"&gt;="&amp;$A5,'Daily Log'!$A$4:$A$734,"&lt;="&amp;$A5+6))</f>
        <v/>
      </c>
      <c r="K5" s="50">
        <f>IF($A5&lt;Setup!$C$9,"",SUMIFS('Daily Log'!$I$4:$I$734,'Daily Log'!$A$4:$A$734,"&gt;="&amp;$A5,'Daily Log'!$A$4:$A$734,"&lt;="&amp;$A5+6))</f>
        <v/>
      </c>
      <c r="L5" s="50">
        <f>IF($A5&lt;Setup!$C$9,"",SUMIFS('Daily Log'!$J$4:$J$734,'Daily Log'!$A$4:$A$734,"&gt;="&amp;$A5,'Daily Log'!$A$4:$A$734,"&lt;="&amp;$A5+6))</f>
        <v/>
      </c>
      <c r="M5" s="50">
        <f>IF($A5&lt;Setup!$C$9,"",SUMIFS('Daily Log'!$K$4:$K$734,'Daily Log'!$A$4:$A$734,"&gt;="&amp;$A5,'Daily Log'!$A$4:$A$734,"&lt;="&amp;$A5+6))</f>
        <v/>
      </c>
      <c r="N5" s="56">
        <f>IF($A5&lt;Setup!$C$9,"",SUMIFS('Daily Log'!$L$4:$L$734,'Daily Log'!$A$4:$A$734,"&gt;="&amp;$A5,'Daily Log'!$A$4:$A$734,"&lt;="&amp;$A5+6))</f>
        <v/>
      </c>
      <c r="O5" s="56">
        <f>IF($A5&lt;Setup!$C$9,"",SUMIFS('Daily Log'!$M$4:$M$734,'Daily Log'!$A$4:$A$734,"&gt;="&amp;$A5,'Daily Log'!$A$4:$A$734,"&lt;="&amp;$A5+6))</f>
        <v/>
      </c>
      <c r="P5" s="59">
        <f>IFERROR(I5/H5,"")</f>
        <v/>
      </c>
      <c r="Q5" s="59">
        <f>IFERROR(J5/I5,"")</f>
        <v/>
      </c>
      <c r="R5" s="59">
        <f>IFERROR(K5/J5,"")</f>
        <v/>
      </c>
      <c r="S5" s="59">
        <f>IFERROR(L5/K5,"")</f>
        <v/>
      </c>
      <c r="T5" s="59">
        <f>IFERROR(M5/L5,"")</f>
        <v/>
      </c>
    </row>
    <row r="6">
      <c r="A6" s="96">
        <f>A5+7</f>
        <v/>
      </c>
      <c r="B6" s="97">
        <f>IF(A6="","",TEXT(A6,"d mmm"))</f>
        <v/>
      </c>
      <c r="C6" s="50">
        <f>IF($A6&lt;Setup!$C$9,"",SUMIFS('Daily Log'!$Q$4:$Q$734,'Daily Log'!$A$4:$A$734,"&gt;="&amp;$A6,'Daily Log'!$A$4:$A$734,"&lt;="&amp;$A6+6))</f>
        <v/>
      </c>
      <c r="D6" s="50">
        <f>IF($A6&lt;Setup!$C$9,"",SUMIFS('Daily Log'!$C$4:$C$734,'Daily Log'!$A$4:$A$734,"&gt;="&amp;$A6,'Daily Log'!$A$4:$A$734,"&lt;="&amp;$A6+6))</f>
        <v/>
      </c>
      <c r="E6" s="50">
        <f>IF($A6&lt;Setup!$C$9,"",SUMIFS('Daily Log'!$D$4:$D$734,'Daily Log'!$A$4:$A$734,"&gt;="&amp;$A6,'Daily Log'!$A$4:$A$734,"&lt;="&amp;$A6+6))</f>
        <v/>
      </c>
      <c r="F6" s="50">
        <f>IF($A6&lt;Setup!$C$9,"",SUMIFS('Daily Log'!$E$4:$E$734,'Daily Log'!$A$4:$A$734,"&gt;="&amp;$A6,'Daily Log'!$A$4:$A$734,"&lt;="&amp;$A6+6))</f>
        <v/>
      </c>
      <c r="G6" s="50">
        <f>IF($A6&lt;Setup!$C$9,"",SUMIFS('Daily Log'!$F$4:$F$734,'Daily Log'!$A$4:$A$734,"&gt;="&amp;$A6,'Daily Log'!$A$4:$A$734,"&lt;="&amp;$A6+6))</f>
        <v/>
      </c>
      <c r="H6" s="50">
        <f>IF($A6&lt;Setup!$C$9,"",IFERROR(F6+G6,""))</f>
        <v/>
      </c>
      <c r="I6" s="50">
        <f>IF($A6&lt;Setup!$C$9,"",SUMIFS('Daily Log'!$G$4:$G$734,'Daily Log'!$A$4:$A$734,"&gt;="&amp;$A6,'Daily Log'!$A$4:$A$734,"&lt;="&amp;$A6+6))</f>
        <v/>
      </c>
      <c r="J6" s="50">
        <f>IF($A6&lt;Setup!$C$9,"",SUMIFS('Daily Log'!$H$4:$H$734,'Daily Log'!$A$4:$A$734,"&gt;="&amp;$A6,'Daily Log'!$A$4:$A$734,"&lt;="&amp;$A6+6))</f>
        <v/>
      </c>
      <c r="K6" s="50">
        <f>IF($A6&lt;Setup!$C$9,"",SUMIFS('Daily Log'!$I$4:$I$734,'Daily Log'!$A$4:$A$734,"&gt;="&amp;$A6,'Daily Log'!$A$4:$A$734,"&lt;="&amp;$A6+6))</f>
        <v/>
      </c>
      <c r="L6" s="50">
        <f>IF($A6&lt;Setup!$C$9,"",SUMIFS('Daily Log'!$J$4:$J$734,'Daily Log'!$A$4:$A$734,"&gt;="&amp;$A6,'Daily Log'!$A$4:$A$734,"&lt;="&amp;$A6+6))</f>
        <v/>
      </c>
      <c r="M6" s="50">
        <f>IF($A6&lt;Setup!$C$9,"",SUMIFS('Daily Log'!$K$4:$K$734,'Daily Log'!$A$4:$A$734,"&gt;="&amp;$A6,'Daily Log'!$A$4:$A$734,"&lt;="&amp;$A6+6))</f>
        <v/>
      </c>
      <c r="N6" s="56">
        <f>IF($A6&lt;Setup!$C$9,"",SUMIFS('Daily Log'!$L$4:$L$734,'Daily Log'!$A$4:$A$734,"&gt;="&amp;$A6,'Daily Log'!$A$4:$A$734,"&lt;="&amp;$A6+6))</f>
        <v/>
      </c>
      <c r="O6" s="56">
        <f>IF($A6&lt;Setup!$C$9,"",SUMIFS('Daily Log'!$M$4:$M$734,'Daily Log'!$A$4:$A$734,"&gt;="&amp;$A6,'Daily Log'!$A$4:$A$734,"&lt;="&amp;$A6+6))</f>
        <v/>
      </c>
      <c r="P6" s="59">
        <f>IFERROR(I6/H6,"")</f>
        <v/>
      </c>
      <c r="Q6" s="59">
        <f>IFERROR(J6/I6,"")</f>
        <v/>
      </c>
      <c r="R6" s="59">
        <f>IFERROR(K6/J6,"")</f>
        <v/>
      </c>
      <c r="S6" s="59">
        <f>IFERROR(L6/K6,"")</f>
        <v/>
      </c>
      <c r="T6" s="59">
        <f>IFERROR(M6/L6,"")</f>
        <v/>
      </c>
    </row>
    <row r="7">
      <c r="A7" s="96">
        <f>A6+7</f>
        <v/>
      </c>
      <c r="B7" s="97">
        <f>IF(A7="","",TEXT(A7,"d mmm"))</f>
        <v/>
      </c>
      <c r="C7" s="50">
        <f>IF($A7&lt;Setup!$C$9,"",SUMIFS('Daily Log'!$Q$4:$Q$734,'Daily Log'!$A$4:$A$734,"&gt;="&amp;$A7,'Daily Log'!$A$4:$A$734,"&lt;="&amp;$A7+6))</f>
        <v/>
      </c>
      <c r="D7" s="50">
        <f>IF($A7&lt;Setup!$C$9,"",SUMIFS('Daily Log'!$C$4:$C$734,'Daily Log'!$A$4:$A$734,"&gt;="&amp;$A7,'Daily Log'!$A$4:$A$734,"&lt;="&amp;$A7+6))</f>
        <v/>
      </c>
      <c r="E7" s="50">
        <f>IF($A7&lt;Setup!$C$9,"",SUMIFS('Daily Log'!$D$4:$D$734,'Daily Log'!$A$4:$A$734,"&gt;="&amp;$A7,'Daily Log'!$A$4:$A$734,"&lt;="&amp;$A7+6))</f>
        <v/>
      </c>
      <c r="F7" s="50">
        <f>IF($A7&lt;Setup!$C$9,"",SUMIFS('Daily Log'!$E$4:$E$734,'Daily Log'!$A$4:$A$734,"&gt;="&amp;$A7,'Daily Log'!$A$4:$A$734,"&lt;="&amp;$A7+6))</f>
        <v/>
      </c>
      <c r="G7" s="50">
        <f>IF($A7&lt;Setup!$C$9,"",SUMIFS('Daily Log'!$F$4:$F$734,'Daily Log'!$A$4:$A$734,"&gt;="&amp;$A7,'Daily Log'!$A$4:$A$734,"&lt;="&amp;$A7+6))</f>
        <v/>
      </c>
      <c r="H7" s="50">
        <f>IF($A7&lt;Setup!$C$9,"",IFERROR(F7+G7,""))</f>
        <v/>
      </c>
      <c r="I7" s="50">
        <f>IF($A7&lt;Setup!$C$9,"",SUMIFS('Daily Log'!$G$4:$G$734,'Daily Log'!$A$4:$A$734,"&gt;="&amp;$A7,'Daily Log'!$A$4:$A$734,"&lt;="&amp;$A7+6))</f>
        <v/>
      </c>
      <c r="J7" s="50">
        <f>IF($A7&lt;Setup!$C$9,"",SUMIFS('Daily Log'!$H$4:$H$734,'Daily Log'!$A$4:$A$734,"&gt;="&amp;$A7,'Daily Log'!$A$4:$A$734,"&lt;="&amp;$A7+6))</f>
        <v/>
      </c>
      <c r="K7" s="50">
        <f>IF($A7&lt;Setup!$C$9,"",SUMIFS('Daily Log'!$I$4:$I$734,'Daily Log'!$A$4:$A$734,"&gt;="&amp;$A7,'Daily Log'!$A$4:$A$734,"&lt;="&amp;$A7+6))</f>
        <v/>
      </c>
      <c r="L7" s="50">
        <f>IF($A7&lt;Setup!$C$9,"",SUMIFS('Daily Log'!$J$4:$J$734,'Daily Log'!$A$4:$A$734,"&gt;="&amp;$A7,'Daily Log'!$A$4:$A$734,"&lt;="&amp;$A7+6))</f>
        <v/>
      </c>
      <c r="M7" s="50">
        <f>IF($A7&lt;Setup!$C$9,"",SUMIFS('Daily Log'!$K$4:$K$734,'Daily Log'!$A$4:$A$734,"&gt;="&amp;$A7,'Daily Log'!$A$4:$A$734,"&lt;="&amp;$A7+6))</f>
        <v/>
      </c>
      <c r="N7" s="56">
        <f>IF($A7&lt;Setup!$C$9,"",SUMIFS('Daily Log'!$L$4:$L$734,'Daily Log'!$A$4:$A$734,"&gt;="&amp;$A7,'Daily Log'!$A$4:$A$734,"&lt;="&amp;$A7+6))</f>
        <v/>
      </c>
      <c r="O7" s="56">
        <f>IF($A7&lt;Setup!$C$9,"",SUMIFS('Daily Log'!$M$4:$M$734,'Daily Log'!$A$4:$A$734,"&gt;="&amp;$A7,'Daily Log'!$A$4:$A$734,"&lt;="&amp;$A7+6))</f>
        <v/>
      </c>
      <c r="P7" s="59">
        <f>IFERROR(I7/H7,"")</f>
        <v/>
      </c>
      <c r="Q7" s="59">
        <f>IFERROR(J7/I7,"")</f>
        <v/>
      </c>
      <c r="R7" s="59">
        <f>IFERROR(K7/J7,"")</f>
        <v/>
      </c>
      <c r="S7" s="59">
        <f>IFERROR(L7/K7,"")</f>
        <v/>
      </c>
      <c r="T7" s="59">
        <f>IFERROR(M7/L7,"")</f>
        <v/>
      </c>
    </row>
    <row r="8">
      <c r="A8" s="96">
        <f>A7+7</f>
        <v/>
      </c>
      <c r="B8" s="97">
        <f>IF(A8="","",TEXT(A8,"d mmm"))</f>
        <v/>
      </c>
      <c r="C8" s="50">
        <f>IF($A8&lt;Setup!$C$9,"",SUMIFS('Daily Log'!$Q$4:$Q$734,'Daily Log'!$A$4:$A$734,"&gt;="&amp;$A8,'Daily Log'!$A$4:$A$734,"&lt;="&amp;$A8+6))</f>
        <v/>
      </c>
      <c r="D8" s="50">
        <f>IF($A8&lt;Setup!$C$9,"",SUMIFS('Daily Log'!$C$4:$C$734,'Daily Log'!$A$4:$A$734,"&gt;="&amp;$A8,'Daily Log'!$A$4:$A$734,"&lt;="&amp;$A8+6))</f>
        <v/>
      </c>
      <c r="E8" s="50">
        <f>IF($A8&lt;Setup!$C$9,"",SUMIFS('Daily Log'!$D$4:$D$734,'Daily Log'!$A$4:$A$734,"&gt;="&amp;$A8,'Daily Log'!$A$4:$A$734,"&lt;="&amp;$A8+6))</f>
        <v/>
      </c>
      <c r="F8" s="50">
        <f>IF($A8&lt;Setup!$C$9,"",SUMIFS('Daily Log'!$E$4:$E$734,'Daily Log'!$A$4:$A$734,"&gt;="&amp;$A8,'Daily Log'!$A$4:$A$734,"&lt;="&amp;$A8+6))</f>
        <v/>
      </c>
      <c r="G8" s="50">
        <f>IF($A8&lt;Setup!$C$9,"",SUMIFS('Daily Log'!$F$4:$F$734,'Daily Log'!$A$4:$A$734,"&gt;="&amp;$A8,'Daily Log'!$A$4:$A$734,"&lt;="&amp;$A8+6))</f>
        <v/>
      </c>
      <c r="H8" s="50">
        <f>IF($A8&lt;Setup!$C$9,"",IFERROR(F8+G8,""))</f>
        <v/>
      </c>
      <c r="I8" s="50">
        <f>IF($A8&lt;Setup!$C$9,"",SUMIFS('Daily Log'!$G$4:$G$734,'Daily Log'!$A$4:$A$734,"&gt;="&amp;$A8,'Daily Log'!$A$4:$A$734,"&lt;="&amp;$A8+6))</f>
        <v/>
      </c>
      <c r="J8" s="50">
        <f>IF($A8&lt;Setup!$C$9,"",SUMIFS('Daily Log'!$H$4:$H$734,'Daily Log'!$A$4:$A$734,"&gt;="&amp;$A8,'Daily Log'!$A$4:$A$734,"&lt;="&amp;$A8+6))</f>
        <v/>
      </c>
      <c r="K8" s="50">
        <f>IF($A8&lt;Setup!$C$9,"",SUMIFS('Daily Log'!$I$4:$I$734,'Daily Log'!$A$4:$A$734,"&gt;="&amp;$A8,'Daily Log'!$A$4:$A$734,"&lt;="&amp;$A8+6))</f>
        <v/>
      </c>
      <c r="L8" s="50">
        <f>IF($A8&lt;Setup!$C$9,"",SUMIFS('Daily Log'!$J$4:$J$734,'Daily Log'!$A$4:$A$734,"&gt;="&amp;$A8,'Daily Log'!$A$4:$A$734,"&lt;="&amp;$A8+6))</f>
        <v/>
      </c>
      <c r="M8" s="50">
        <f>IF($A8&lt;Setup!$C$9,"",SUMIFS('Daily Log'!$K$4:$K$734,'Daily Log'!$A$4:$A$734,"&gt;="&amp;$A8,'Daily Log'!$A$4:$A$734,"&lt;="&amp;$A8+6))</f>
        <v/>
      </c>
      <c r="N8" s="56">
        <f>IF($A8&lt;Setup!$C$9,"",SUMIFS('Daily Log'!$L$4:$L$734,'Daily Log'!$A$4:$A$734,"&gt;="&amp;$A8,'Daily Log'!$A$4:$A$734,"&lt;="&amp;$A8+6))</f>
        <v/>
      </c>
      <c r="O8" s="56">
        <f>IF($A8&lt;Setup!$C$9,"",SUMIFS('Daily Log'!$M$4:$M$734,'Daily Log'!$A$4:$A$734,"&gt;="&amp;$A8,'Daily Log'!$A$4:$A$734,"&lt;="&amp;$A8+6))</f>
        <v/>
      </c>
      <c r="P8" s="59">
        <f>IFERROR(I8/H8,"")</f>
        <v/>
      </c>
      <c r="Q8" s="59">
        <f>IFERROR(J8/I8,"")</f>
        <v/>
      </c>
      <c r="R8" s="59">
        <f>IFERROR(K8/J8,"")</f>
        <v/>
      </c>
      <c r="S8" s="59">
        <f>IFERROR(L8/K8,"")</f>
        <v/>
      </c>
      <c r="T8" s="59">
        <f>IFERROR(M8/L8,"")</f>
        <v/>
      </c>
    </row>
    <row r="9">
      <c r="A9" s="96">
        <f>A8+7</f>
        <v/>
      </c>
      <c r="B9" s="97">
        <f>IF(A9="","",TEXT(A9,"d mmm"))</f>
        <v/>
      </c>
      <c r="C9" s="50">
        <f>IF($A9&lt;Setup!$C$9,"",SUMIFS('Daily Log'!$Q$4:$Q$734,'Daily Log'!$A$4:$A$734,"&gt;="&amp;$A9,'Daily Log'!$A$4:$A$734,"&lt;="&amp;$A9+6))</f>
        <v/>
      </c>
      <c r="D9" s="50">
        <f>IF($A9&lt;Setup!$C$9,"",SUMIFS('Daily Log'!$C$4:$C$734,'Daily Log'!$A$4:$A$734,"&gt;="&amp;$A9,'Daily Log'!$A$4:$A$734,"&lt;="&amp;$A9+6))</f>
        <v/>
      </c>
      <c r="E9" s="50">
        <f>IF($A9&lt;Setup!$C$9,"",SUMIFS('Daily Log'!$D$4:$D$734,'Daily Log'!$A$4:$A$734,"&gt;="&amp;$A9,'Daily Log'!$A$4:$A$734,"&lt;="&amp;$A9+6))</f>
        <v/>
      </c>
      <c r="F9" s="50">
        <f>IF($A9&lt;Setup!$C$9,"",SUMIFS('Daily Log'!$E$4:$E$734,'Daily Log'!$A$4:$A$734,"&gt;="&amp;$A9,'Daily Log'!$A$4:$A$734,"&lt;="&amp;$A9+6))</f>
        <v/>
      </c>
      <c r="G9" s="50">
        <f>IF($A9&lt;Setup!$C$9,"",SUMIFS('Daily Log'!$F$4:$F$734,'Daily Log'!$A$4:$A$734,"&gt;="&amp;$A9,'Daily Log'!$A$4:$A$734,"&lt;="&amp;$A9+6))</f>
        <v/>
      </c>
      <c r="H9" s="50">
        <f>IF($A9&lt;Setup!$C$9,"",IFERROR(F9+G9,""))</f>
        <v/>
      </c>
      <c r="I9" s="50">
        <f>IF($A9&lt;Setup!$C$9,"",SUMIFS('Daily Log'!$G$4:$G$734,'Daily Log'!$A$4:$A$734,"&gt;="&amp;$A9,'Daily Log'!$A$4:$A$734,"&lt;="&amp;$A9+6))</f>
        <v/>
      </c>
      <c r="J9" s="50">
        <f>IF($A9&lt;Setup!$C$9,"",SUMIFS('Daily Log'!$H$4:$H$734,'Daily Log'!$A$4:$A$734,"&gt;="&amp;$A9,'Daily Log'!$A$4:$A$734,"&lt;="&amp;$A9+6))</f>
        <v/>
      </c>
      <c r="K9" s="50">
        <f>IF($A9&lt;Setup!$C$9,"",SUMIFS('Daily Log'!$I$4:$I$734,'Daily Log'!$A$4:$A$734,"&gt;="&amp;$A9,'Daily Log'!$A$4:$A$734,"&lt;="&amp;$A9+6))</f>
        <v/>
      </c>
      <c r="L9" s="50">
        <f>IF($A9&lt;Setup!$C$9,"",SUMIFS('Daily Log'!$J$4:$J$734,'Daily Log'!$A$4:$A$734,"&gt;="&amp;$A9,'Daily Log'!$A$4:$A$734,"&lt;="&amp;$A9+6))</f>
        <v/>
      </c>
      <c r="M9" s="50">
        <f>IF($A9&lt;Setup!$C$9,"",SUMIFS('Daily Log'!$K$4:$K$734,'Daily Log'!$A$4:$A$734,"&gt;="&amp;$A9,'Daily Log'!$A$4:$A$734,"&lt;="&amp;$A9+6))</f>
        <v/>
      </c>
      <c r="N9" s="56">
        <f>IF($A9&lt;Setup!$C$9,"",SUMIFS('Daily Log'!$L$4:$L$734,'Daily Log'!$A$4:$A$734,"&gt;="&amp;$A9,'Daily Log'!$A$4:$A$734,"&lt;="&amp;$A9+6))</f>
        <v/>
      </c>
      <c r="O9" s="56">
        <f>IF($A9&lt;Setup!$C$9,"",SUMIFS('Daily Log'!$M$4:$M$734,'Daily Log'!$A$4:$A$734,"&gt;="&amp;$A9,'Daily Log'!$A$4:$A$734,"&lt;="&amp;$A9+6))</f>
        <v/>
      </c>
      <c r="P9" s="59">
        <f>IFERROR(I9/H9,"")</f>
        <v/>
      </c>
      <c r="Q9" s="59">
        <f>IFERROR(J9/I9,"")</f>
        <v/>
      </c>
      <c r="R9" s="59">
        <f>IFERROR(K9/J9,"")</f>
        <v/>
      </c>
      <c r="S9" s="59">
        <f>IFERROR(L9/K9,"")</f>
        <v/>
      </c>
      <c r="T9" s="59">
        <f>IFERROR(M9/L9,"")</f>
        <v/>
      </c>
    </row>
    <row r="10">
      <c r="A10" s="96">
        <f>A9+7</f>
        <v/>
      </c>
      <c r="B10" s="97">
        <f>IF(A10="","",TEXT(A10,"d mmm"))</f>
        <v/>
      </c>
      <c r="C10" s="50">
        <f>IF($A10&lt;Setup!$C$9,"",SUMIFS('Daily Log'!$Q$4:$Q$734,'Daily Log'!$A$4:$A$734,"&gt;="&amp;$A10,'Daily Log'!$A$4:$A$734,"&lt;="&amp;$A10+6))</f>
        <v/>
      </c>
      <c r="D10" s="50">
        <f>IF($A10&lt;Setup!$C$9,"",SUMIFS('Daily Log'!$C$4:$C$734,'Daily Log'!$A$4:$A$734,"&gt;="&amp;$A10,'Daily Log'!$A$4:$A$734,"&lt;="&amp;$A10+6))</f>
        <v/>
      </c>
      <c r="E10" s="50">
        <f>IF($A10&lt;Setup!$C$9,"",SUMIFS('Daily Log'!$D$4:$D$734,'Daily Log'!$A$4:$A$734,"&gt;="&amp;$A10,'Daily Log'!$A$4:$A$734,"&lt;="&amp;$A10+6))</f>
        <v/>
      </c>
      <c r="F10" s="50">
        <f>IF($A10&lt;Setup!$C$9,"",SUMIFS('Daily Log'!$E$4:$E$734,'Daily Log'!$A$4:$A$734,"&gt;="&amp;$A10,'Daily Log'!$A$4:$A$734,"&lt;="&amp;$A10+6))</f>
        <v/>
      </c>
      <c r="G10" s="50">
        <f>IF($A10&lt;Setup!$C$9,"",SUMIFS('Daily Log'!$F$4:$F$734,'Daily Log'!$A$4:$A$734,"&gt;="&amp;$A10,'Daily Log'!$A$4:$A$734,"&lt;="&amp;$A10+6))</f>
        <v/>
      </c>
      <c r="H10" s="50">
        <f>IF($A10&lt;Setup!$C$9,"",IFERROR(F10+G10,""))</f>
        <v/>
      </c>
      <c r="I10" s="50">
        <f>IF($A10&lt;Setup!$C$9,"",SUMIFS('Daily Log'!$G$4:$G$734,'Daily Log'!$A$4:$A$734,"&gt;="&amp;$A10,'Daily Log'!$A$4:$A$734,"&lt;="&amp;$A10+6))</f>
        <v/>
      </c>
      <c r="J10" s="50">
        <f>IF($A10&lt;Setup!$C$9,"",SUMIFS('Daily Log'!$H$4:$H$734,'Daily Log'!$A$4:$A$734,"&gt;="&amp;$A10,'Daily Log'!$A$4:$A$734,"&lt;="&amp;$A10+6))</f>
        <v/>
      </c>
      <c r="K10" s="50">
        <f>IF($A10&lt;Setup!$C$9,"",SUMIFS('Daily Log'!$I$4:$I$734,'Daily Log'!$A$4:$A$734,"&gt;="&amp;$A10,'Daily Log'!$A$4:$A$734,"&lt;="&amp;$A10+6))</f>
        <v/>
      </c>
      <c r="L10" s="50">
        <f>IF($A10&lt;Setup!$C$9,"",SUMIFS('Daily Log'!$J$4:$J$734,'Daily Log'!$A$4:$A$734,"&gt;="&amp;$A10,'Daily Log'!$A$4:$A$734,"&lt;="&amp;$A10+6))</f>
        <v/>
      </c>
      <c r="M10" s="50">
        <f>IF($A10&lt;Setup!$C$9,"",SUMIFS('Daily Log'!$K$4:$K$734,'Daily Log'!$A$4:$A$734,"&gt;="&amp;$A10,'Daily Log'!$A$4:$A$734,"&lt;="&amp;$A10+6))</f>
        <v/>
      </c>
      <c r="N10" s="56">
        <f>IF($A10&lt;Setup!$C$9,"",SUMIFS('Daily Log'!$L$4:$L$734,'Daily Log'!$A$4:$A$734,"&gt;="&amp;$A10,'Daily Log'!$A$4:$A$734,"&lt;="&amp;$A10+6))</f>
        <v/>
      </c>
      <c r="O10" s="56">
        <f>IF($A10&lt;Setup!$C$9,"",SUMIFS('Daily Log'!$M$4:$M$734,'Daily Log'!$A$4:$A$734,"&gt;="&amp;$A10,'Daily Log'!$A$4:$A$734,"&lt;="&amp;$A10+6))</f>
        <v/>
      </c>
      <c r="P10" s="59">
        <f>IFERROR(I10/H10,"")</f>
        <v/>
      </c>
      <c r="Q10" s="59">
        <f>IFERROR(J10/I10,"")</f>
        <v/>
      </c>
      <c r="R10" s="59">
        <f>IFERROR(K10/J10,"")</f>
        <v/>
      </c>
      <c r="S10" s="59">
        <f>IFERROR(L10/K10,"")</f>
        <v/>
      </c>
      <c r="T10" s="59">
        <f>IFERROR(M10/L10,"")</f>
        <v/>
      </c>
    </row>
    <row r="11">
      <c r="A11" s="96">
        <f>A10+7</f>
        <v/>
      </c>
      <c r="B11" s="97">
        <f>IF(A11="","",TEXT(A11,"d mmm"))</f>
        <v/>
      </c>
      <c r="C11" s="50">
        <f>IF($A11&lt;Setup!$C$9,"",SUMIFS('Daily Log'!$Q$4:$Q$734,'Daily Log'!$A$4:$A$734,"&gt;="&amp;$A11,'Daily Log'!$A$4:$A$734,"&lt;="&amp;$A11+6))</f>
        <v/>
      </c>
      <c r="D11" s="50">
        <f>IF($A11&lt;Setup!$C$9,"",SUMIFS('Daily Log'!$C$4:$C$734,'Daily Log'!$A$4:$A$734,"&gt;="&amp;$A11,'Daily Log'!$A$4:$A$734,"&lt;="&amp;$A11+6))</f>
        <v/>
      </c>
      <c r="E11" s="50">
        <f>IF($A11&lt;Setup!$C$9,"",SUMIFS('Daily Log'!$D$4:$D$734,'Daily Log'!$A$4:$A$734,"&gt;="&amp;$A11,'Daily Log'!$A$4:$A$734,"&lt;="&amp;$A11+6))</f>
        <v/>
      </c>
      <c r="F11" s="50">
        <f>IF($A11&lt;Setup!$C$9,"",SUMIFS('Daily Log'!$E$4:$E$734,'Daily Log'!$A$4:$A$734,"&gt;="&amp;$A11,'Daily Log'!$A$4:$A$734,"&lt;="&amp;$A11+6))</f>
        <v/>
      </c>
      <c r="G11" s="50">
        <f>IF($A11&lt;Setup!$C$9,"",SUMIFS('Daily Log'!$F$4:$F$734,'Daily Log'!$A$4:$A$734,"&gt;="&amp;$A11,'Daily Log'!$A$4:$A$734,"&lt;="&amp;$A11+6))</f>
        <v/>
      </c>
      <c r="H11" s="50">
        <f>IF($A11&lt;Setup!$C$9,"",IFERROR(F11+G11,""))</f>
        <v/>
      </c>
      <c r="I11" s="50">
        <f>IF($A11&lt;Setup!$C$9,"",SUMIFS('Daily Log'!$G$4:$G$734,'Daily Log'!$A$4:$A$734,"&gt;="&amp;$A11,'Daily Log'!$A$4:$A$734,"&lt;="&amp;$A11+6))</f>
        <v/>
      </c>
      <c r="J11" s="50">
        <f>IF($A11&lt;Setup!$C$9,"",SUMIFS('Daily Log'!$H$4:$H$734,'Daily Log'!$A$4:$A$734,"&gt;="&amp;$A11,'Daily Log'!$A$4:$A$734,"&lt;="&amp;$A11+6))</f>
        <v/>
      </c>
      <c r="K11" s="50">
        <f>IF($A11&lt;Setup!$C$9,"",SUMIFS('Daily Log'!$I$4:$I$734,'Daily Log'!$A$4:$A$734,"&gt;="&amp;$A11,'Daily Log'!$A$4:$A$734,"&lt;="&amp;$A11+6))</f>
        <v/>
      </c>
      <c r="L11" s="50">
        <f>IF($A11&lt;Setup!$C$9,"",SUMIFS('Daily Log'!$J$4:$J$734,'Daily Log'!$A$4:$A$734,"&gt;="&amp;$A11,'Daily Log'!$A$4:$A$734,"&lt;="&amp;$A11+6))</f>
        <v/>
      </c>
      <c r="M11" s="50">
        <f>IF($A11&lt;Setup!$C$9,"",SUMIFS('Daily Log'!$K$4:$K$734,'Daily Log'!$A$4:$A$734,"&gt;="&amp;$A11,'Daily Log'!$A$4:$A$734,"&lt;="&amp;$A11+6))</f>
        <v/>
      </c>
      <c r="N11" s="56">
        <f>IF($A11&lt;Setup!$C$9,"",SUMIFS('Daily Log'!$L$4:$L$734,'Daily Log'!$A$4:$A$734,"&gt;="&amp;$A11,'Daily Log'!$A$4:$A$734,"&lt;="&amp;$A11+6))</f>
        <v/>
      </c>
      <c r="O11" s="56">
        <f>IF($A11&lt;Setup!$C$9,"",SUMIFS('Daily Log'!$M$4:$M$734,'Daily Log'!$A$4:$A$734,"&gt;="&amp;$A11,'Daily Log'!$A$4:$A$734,"&lt;="&amp;$A11+6))</f>
        <v/>
      </c>
      <c r="P11" s="59">
        <f>IFERROR(I11/H11,"")</f>
        <v/>
      </c>
      <c r="Q11" s="59">
        <f>IFERROR(J11/I11,"")</f>
        <v/>
      </c>
      <c r="R11" s="59">
        <f>IFERROR(K11/J11,"")</f>
        <v/>
      </c>
      <c r="S11" s="59">
        <f>IFERROR(L11/K11,"")</f>
        <v/>
      </c>
      <c r="T11" s="59">
        <f>IFERROR(M11/L11,"")</f>
        <v/>
      </c>
    </row>
    <row r="12">
      <c r="A12" s="96">
        <f>A11+7</f>
        <v/>
      </c>
      <c r="B12" s="97">
        <f>IF(A12="","",TEXT(A12,"d mmm"))</f>
        <v/>
      </c>
      <c r="C12" s="50">
        <f>IF($A12&lt;Setup!$C$9,"",SUMIFS('Daily Log'!$Q$4:$Q$734,'Daily Log'!$A$4:$A$734,"&gt;="&amp;$A12,'Daily Log'!$A$4:$A$734,"&lt;="&amp;$A12+6))</f>
        <v/>
      </c>
      <c r="D12" s="50">
        <f>IF($A12&lt;Setup!$C$9,"",SUMIFS('Daily Log'!$C$4:$C$734,'Daily Log'!$A$4:$A$734,"&gt;="&amp;$A12,'Daily Log'!$A$4:$A$734,"&lt;="&amp;$A12+6))</f>
        <v/>
      </c>
      <c r="E12" s="50">
        <f>IF($A12&lt;Setup!$C$9,"",SUMIFS('Daily Log'!$D$4:$D$734,'Daily Log'!$A$4:$A$734,"&gt;="&amp;$A12,'Daily Log'!$A$4:$A$734,"&lt;="&amp;$A12+6))</f>
        <v/>
      </c>
      <c r="F12" s="50">
        <f>IF($A12&lt;Setup!$C$9,"",SUMIFS('Daily Log'!$E$4:$E$734,'Daily Log'!$A$4:$A$734,"&gt;="&amp;$A12,'Daily Log'!$A$4:$A$734,"&lt;="&amp;$A12+6))</f>
        <v/>
      </c>
      <c r="G12" s="50">
        <f>IF($A12&lt;Setup!$C$9,"",SUMIFS('Daily Log'!$F$4:$F$734,'Daily Log'!$A$4:$A$734,"&gt;="&amp;$A12,'Daily Log'!$A$4:$A$734,"&lt;="&amp;$A12+6))</f>
        <v/>
      </c>
      <c r="H12" s="50">
        <f>IF($A12&lt;Setup!$C$9,"",IFERROR(F12+G12,""))</f>
        <v/>
      </c>
      <c r="I12" s="50">
        <f>IF($A12&lt;Setup!$C$9,"",SUMIFS('Daily Log'!$G$4:$G$734,'Daily Log'!$A$4:$A$734,"&gt;="&amp;$A12,'Daily Log'!$A$4:$A$734,"&lt;="&amp;$A12+6))</f>
        <v/>
      </c>
      <c r="J12" s="50">
        <f>IF($A12&lt;Setup!$C$9,"",SUMIFS('Daily Log'!$H$4:$H$734,'Daily Log'!$A$4:$A$734,"&gt;="&amp;$A12,'Daily Log'!$A$4:$A$734,"&lt;="&amp;$A12+6))</f>
        <v/>
      </c>
      <c r="K12" s="50">
        <f>IF($A12&lt;Setup!$C$9,"",SUMIFS('Daily Log'!$I$4:$I$734,'Daily Log'!$A$4:$A$734,"&gt;="&amp;$A12,'Daily Log'!$A$4:$A$734,"&lt;="&amp;$A12+6))</f>
        <v/>
      </c>
      <c r="L12" s="50">
        <f>IF($A12&lt;Setup!$C$9,"",SUMIFS('Daily Log'!$J$4:$J$734,'Daily Log'!$A$4:$A$734,"&gt;="&amp;$A12,'Daily Log'!$A$4:$A$734,"&lt;="&amp;$A12+6))</f>
        <v/>
      </c>
      <c r="M12" s="50">
        <f>IF($A12&lt;Setup!$C$9,"",SUMIFS('Daily Log'!$K$4:$K$734,'Daily Log'!$A$4:$A$734,"&gt;="&amp;$A12,'Daily Log'!$A$4:$A$734,"&lt;="&amp;$A12+6))</f>
        <v/>
      </c>
      <c r="N12" s="56">
        <f>IF($A12&lt;Setup!$C$9,"",SUMIFS('Daily Log'!$L$4:$L$734,'Daily Log'!$A$4:$A$734,"&gt;="&amp;$A12,'Daily Log'!$A$4:$A$734,"&lt;="&amp;$A12+6))</f>
        <v/>
      </c>
      <c r="O12" s="56">
        <f>IF($A12&lt;Setup!$C$9,"",SUMIFS('Daily Log'!$M$4:$M$734,'Daily Log'!$A$4:$A$734,"&gt;="&amp;$A12,'Daily Log'!$A$4:$A$734,"&lt;="&amp;$A12+6))</f>
        <v/>
      </c>
      <c r="P12" s="59">
        <f>IFERROR(I12/H12,"")</f>
        <v/>
      </c>
      <c r="Q12" s="59">
        <f>IFERROR(J12/I12,"")</f>
        <v/>
      </c>
      <c r="R12" s="59">
        <f>IFERROR(K12/J12,"")</f>
        <v/>
      </c>
      <c r="S12" s="59">
        <f>IFERROR(L12/K12,"")</f>
        <v/>
      </c>
      <c r="T12" s="59">
        <f>IFERROR(M12/L12,"")</f>
        <v/>
      </c>
    </row>
    <row r="13">
      <c r="A13" s="96">
        <f>A12+7</f>
        <v/>
      </c>
      <c r="B13" s="97">
        <f>IF(A13="","",TEXT(A13,"d mmm"))</f>
        <v/>
      </c>
      <c r="C13" s="50">
        <f>IF($A13&lt;Setup!$C$9,"",SUMIFS('Daily Log'!$Q$4:$Q$734,'Daily Log'!$A$4:$A$734,"&gt;="&amp;$A13,'Daily Log'!$A$4:$A$734,"&lt;="&amp;$A13+6))</f>
        <v/>
      </c>
      <c r="D13" s="50">
        <f>IF($A13&lt;Setup!$C$9,"",SUMIFS('Daily Log'!$C$4:$C$734,'Daily Log'!$A$4:$A$734,"&gt;="&amp;$A13,'Daily Log'!$A$4:$A$734,"&lt;="&amp;$A13+6))</f>
        <v/>
      </c>
      <c r="E13" s="50">
        <f>IF($A13&lt;Setup!$C$9,"",SUMIFS('Daily Log'!$D$4:$D$734,'Daily Log'!$A$4:$A$734,"&gt;="&amp;$A13,'Daily Log'!$A$4:$A$734,"&lt;="&amp;$A13+6))</f>
        <v/>
      </c>
      <c r="F13" s="50">
        <f>IF($A13&lt;Setup!$C$9,"",SUMIFS('Daily Log'!$E$4:$E$734,'Daily Log'!$A$4:$A$734,"&gt;="&amp;$A13,'Daily Log'!$A$4:$A$734,"&lt;="&amp;$A13+6))</f>
        <v/>
      </c>
      <c r="G13" s="50">
        <f>IF($A13&lt;Setup!$C$9,"",SUMIFS('Daily Log'!$F$4:$F$734,'Daily Log'!$A$4:$A$734,"&gt;="&amp;$A13,'Daily Log'!$A$4:$A$734,"&lt;="&amp;$A13+6))</f>
        <v/>
      </c>
      <c r="H13" s="50">
        <f>IF($A13&lt;Setup!$C$9,"",IFERROR(F13+G13,""))</f>
        <v/>
      </c>
      <c r="I13" s="50">
        <f>IF($A13&lt;Setup!$C$9,"",SUMIFS('Daily Log'!$G$4:$G$734,'Daily Log'!$A$4:$A$734,"&gt;="&amp;$A13,'Daily Log'!$A$4:$A$734,"&lt;="&amp;$A13+6))</f>
        <v/>
      </c>
      <c r="J13" s="50">
        <f>IF($A13&lt;Setup!$C$9,"",SUMIFS('Daily Log'!$H$4:$H$734,'Daily Log'!$A$4:$A$734,"&gt;="&amp;$A13,'Daily Log'!$A$4:$A$734,"&lt;="&amp;$A13+6))</f>
        <v/>
      </c>
      <c r="K13" s="50">
        <f>IF($A13&lt;Setup!$C$9,"",SUMIFS('Daily Log'!$I$4:$I$734,'Daily Log'!$A$4:$A$734,"&gt;="&amp;$A13,'Daily Log'!$A$4:$A$734,"&lt;="&amp;$A13+6))</f>
        <v/>
      </c>
      <c r="L13" s="50">
        <f>IF($A13&lt;Setup!$C$9,"",SUMIFS('Daily Log'!$J$4:$J$734,'Daily Log'!$A$4:$A$734,"&gt;="&amp;$A13,'Daily Log'!$A$4:$A$734,"&lt;="&amp;$A13+6))</f>
        <v/>
      </c>
      <c r="M13" s="50">
        <f>IF($A13&lt;Setup!$C$9,"",SUMIFS('Daily Log'!$K$4:$K$734,'Daily Log'!$A$4:$A$734,"&gt;="&amp;$A13,'Daily Log'!$A$4:$A$734,"&lt;="&amp;$A13+6))</f>
        <v/>
      </c>
      <c r="N13" s="56">
        <f>IF($A13&lt;Setup!$C$9,"",SUMIFS('Daily Log'!$L$4:$L$734,'Daily Log'!$A$4:$A$734,"&gt;="&amp;$A13,'Daily Log'!$A$4:$A$734,"&lt;="&amp;$A13+6))</f>
        <v/>
      </c>
      <c r="O13" s="56">
        <f>IF($A13&lt;Setup!$C$9,"",SUMIFS('Daily Log'!$M$4:$M$734,'Daily Log'!$A$4:$A$734,"&gt;="&amp;$A13,'Daily Log'!$A$4:$A$734,"&lt;="&amp;$A13+6))</f>
        <v/>
      </c>
      <c r="P13" s="59">
        <f>IFERROR(I13/H13,"")</f>
        <v/>
      </c>
      <c r="Q13" s="59">
        <f>IFERROR(J13/I13,"")</f>
        <v/>
      </c>
      <c r="R13" s="59">
        <f>IFERROR(K13/J13,"")</f>
        <v/>
      </c>
      <c r="S13" s="59">
        <f>IFERROR(L13/K13,"")</f>
        <v/>
      </c>
      <c r="T13" s="59">
        <f>IFERROR(M13/L13,"")</f>
        <v/>
      </c>
    </row>
    <row r="14">
      <c r="A14" s="96">
        <f>A13+7</f>
        <v/>
      </c>
      <c r="B14" s="97">
        <f>IF(A14="","",TEXT(A14,"d mmm"))</f>
        <v/>
      </c>
      <c r="C14" s="50">
        <f>IF($A14&lt;Setup!$C$9,"",SUMIFS('Daily Log'!$Q$4:$Q$734,'Daily Log'!$A$4:$A$734,"&gt;="&amp;$A14,'Daily Log'!$A$4:$A$734,"&lt;="&amp;$A14+6))</f>
        <v/>
      </c>
      <c r="D14" s="50">
        <f>IF($A14&lt;Setup!$C$9,"",SUMIFS('Daily Log'!$C$4:$C$734,'Daily Log'!$A$4:$A$734,"&gt;="&amp;$A14,'Daily Log'!$A$4:$A$734,"&lt;="&amp;$A14+6))</f>
        <v/>
      </c>
      <c r="E14" s="50">
        <f>IF($A14&lt;Setup!$C$9,"",SUMIFS('Daily Log'!$D$4:$D$734,'Daily Log'!$A$4:$A$734,"&gt;="&amp;$A14,'Daily Log'!$A$4:$A$734,"&lt;="&amp;$A14+6))</f>
        <v/>
      </c>
      <c r="F14" s="50">
        <f>IF($A14&lt;Setup!$C$9,"",SUMIFS('Daily Log'!$E$4:$E$734,'Daily Log'!$A$4:$A$734,"&gt;="&amp;$A14,'Daily Log'!$A$4:$A$734,"&lt;="&amp;$A14+6))</f>
        <v/>
      </c>
      <c r="G14" s="50">
        <f>IF($A14&lt;Setup!$C$9,"",SUMIFS('Daily Log'!$F$4:$F$734,'Daily Log'!$A$4:$A$734,"&gt;="&amp;$A14,'Daily Log'!$A$4:$A$734,"&lt;="&amp;$A14+6))</f>
        <v/>
      </c>
      <c r="H14" s="50">
        <f>IF($A14&lt;Setup!$C$9,"",IFERROR(F14+G14,""))</f>
        <v/>
      </c>
      <c r="I14" s="50">
        <f>IF($A14&lt;Setup!$C$9,"",SUMIFS('Daily Log'!$G$4:$G$734,'Daily Log'!$A$4:$A$734,"&gt;="&amp;$A14,'Daily Log'!$A$4:$A$734,"&lt;="&amp;$A14+6))</f>
        <v/>
      </c>
      <c r="J14" s="50">
        <f>IF($A14&lt;Setup!$C$9,"",SUMIFS('Daily Log'!$H$4:$H$734,'Daily Log'!$A$4:$A$734,"&gt;="&amp;$A14,'Daily Log'!$A$4:$A$734,"&lt;="&amp;$A14+6))</f>
        <v/>
      </c>
      <c r="K14" s="50">
        <f>IF($A14&lt;Setup!$C$9,"",SUMIFS('Daily Log'!$I$4:$I$734,'Daily Log'!$A$4:$A$734,"&gt;="&amp;$A14,'Daily Log'!$A$4:$A$734,"&lt;="&amp;$A14+6))</f>
        <v/>
      </c>
      <c r="L14" s="50">
        <f>IF($A14&lt;Setup!$C$9,"",SUMIFS('Daily Log'!$J$4:$J$734,'Daily Log'!$A$4:$A$734,"&gt;="&amp;$A14,'Daily Log'!$A$4:$A$734,"&lt;="&amp;$A14+6))</f>
        <v/>
      </c>
      <c r="M14" s="50">
        <f>IF($A14&lt;Setup!$C$9,"",SUMIFS('Daily Log'!$K$4:$K$734,'Daily Log'!$A$4:$A$734,"&gt;="&amp;$A14,'Daily Log'!$A$4:$A$734,"&lt;="&amp;$A14+6))</f>
        <v/>
      </c>
      <c r="N14" s="56">
        <f>IF($A14&lt;Setup!$C$9,"",SUMIFS('Daily Log'!$L$4:$L$734,'Daily Log'!$A$4:$A$734,"&gt;="&amp;$A14,'Daily Log'!$A$4:$A$734,"&lt;="&amp;$A14+6))</f>
        <v/>
      </c>
      <c r="O14" s="56">
        <f>IF($A14&lt;Setup!$C$9,"",SUMIFS('Daily Log'!$M$4:$M$734,'Daily Log'!$A$4:$A$734,"&gt;="&amp;$A14,'Daily Log'!$A$4:$A$734,"&lt;="&amp;$A14+6))</f>
        <v/>
      </c>
      <c r="P14" s="59">
        <f>IFERROR(I14/H14,"")</f>
        <v/>
      </c>
      <c r="Q14" s="59">
        <f>IFERROR(J14/I14,"")</f>
        <v/>
      </c>
      <c r="R14" s="59">
        <f>IFERROR(K14/J14,"")</f>
        <v/>
      </c>
      <c r="S14" s="59">
        <f>IFERROR(L14/K14,"")</f>
        <v/>
      </c>
      <c r="T14" s="59">
        <f>IFERROR(M14/L14,"")</f>
        <v/>
      </c>
    </row>
    <row r="15">
      <c r="A15" s="96">
        <f>A14+7</f>
        <v/>
      </c>
      <c r="B15" s="97">
        <f>IF(A15="","",TEXT(A15,"d mmm"))</f>
        <v/>
      </c>
      <c r="C15" s="50">
        <f>IF($A15&lt;Setup!$C$9,"",SUMIFS('Daily Log'!$Q$4:$Q$734,'Daily Log'!$A$4:$A$734,"&gt;="&amp;$A15,'Daily Log'!$A$4:$A$734,"&lt;="&amp;$A15+6))</f>
        <v/>
      </c>
      <c r="D15" s="50">
        <f>IF($A15&lt;Setup!$C$9,"",SUMIFS('Daily Log'!$C$4:$C$734,'Daily Log'!$A$4:$A$734,"&gt;="&amp;$A15,'Daily Log'!$A$4:$A$734,"&lt;="&amp;$A15+6))</f>
        <v/>
      </c>
      <c r="E15" s="50">
        <f>IF($A15&lt;Setup!$C$9,"",SUMIFS('Daily Log'!$D$4:$D$734,'Daily Log'!$A$4:$A$734,"&gt;="&amp;$A15,'Daily Log'!$A$4:$A$734,"&lt;="&amp;$A15+6))</f>
        <v/>
      </c>
      <c r="F15" s="50">
        <f>IF($A15&lt;Setup!$C$9,"",SUMIFS('Daily Log'!$E$4:$E$734,'Daily Log'!$A$4:$A$734,"&gt;="&amp;$A15,'Daily Log'!$A$4:$A$734,"&lt;="&amp;$A15+6))</f>
        <v/>
      </c>
      <c r="G15" s="50">
        <f>IF($A15&lt;Setup!$C$9,"",SUMIFS('Daily Log'!$F$4:$F$734,'Daily Log'!$A$4:$A$734,"&gt;="&amp;$A15,'Daily Log'!$A$4:$A$734,"&lt;="&amp;$A15+6))</f>
        <v/>
      </c>
      <c r="H15" s="50">
        <f>IF($A15&lt;Setup!$C$9,"",IFERROR(F15+G15,""))</f>
        <v/>
      </c>
      <c r="I15" s="50">
        <f>IF($A15&lt;Setup!$C$9,"",SUMIFS('Daily Log'!$G$4:$G$734,'Daily Log'!$A$4:$A$734,"&gt;="&amp;$A15,'Daily Log'!$A$4:$A$734,"&lt;="&amp;$A15+6))</f>
        <v/>
      </c>
      <c r="J15" s="50">
        <f>IF($A15&lt;Setup!$C$9,"",SUMIFS('Daily Log'!$H$4:$H$734,'Daily Log'!$A$4:$A$734,"&gt;="&amp;$A15,'Daily Log'!$A$4:$A$734,"&lt;="&amp;$A15+6))</f>
        <v/>
      </c>
      <c r="K15" s="50">
        <f>IF($A15&lt;Setup!$C$9,"",SUMIFS('Daily Log'!$I$4:$I$734,'Daily Log'!$A$4:$A$734,"&gt;="&amp;$A15,'Daily Log'!$A$4:$A$734,"&lt;="&amp;$A15+6))</f>
        <v/>
      </c>
      <c r="L15" s="50">
        <f>IF($A15&lt;Setup!$C$9,"",SUMIFS('Daily Log'!$J$4:$J$734,'Daily Log'!$A$4:$A$734,"&gt;="&amp;$A15,'Daily Log'!$A$4:$A$734,"&lt;="&amp;$A15+6))</f>
        <v/>
      </c>
      <c r="M15" s="50">
        <f>IF($A15&lt;Setup!$C$9,"",SUMIFS('Daily Log'!$K$4:$K$734,'Daily Log'!$A$4:$A$734,"&gt;="&amp;$A15,'Daily Log'!$A$4:$A$734,"&lt;="&amp;$A15+6))</f>
        <v/>
      </c>
      <c r="N15" s="56">
        <f>IF($A15&lt;Setup!$C$9,"",SUMIFS('Daily Log'!$L$4:$L$734,'Daily Log'!$A$4:$A$734,"&gt;="&amp;$A15,'Daily Log'!$A$4:$A$734,"&lt;="&amp;$A15+6))</f>
        <v/>
      </c>
      <c r="O15" s="56">
        <f>IF($A15&lt;Setup!$C$9,"",SUMIFS('Daily Log'!$M$4:$M$734,'Daily Log'!$A$4:$A$734,"&gt;="&amp;$A15,'Daily Log'!$A$4:$A$734,"&lt;="&amp;$A15+6))</f>
        <v/>
      </c>
      <c r="P15" s="59">
        <f>IFERROR(I15/H15,"")</f>
        <v/>
      </c>
      <c r="Q15" s="59">
        <f>IFERROR(J15/I15,"")</f>
        <v/>
      </c>
      <c r="R15" s="59">
        <f>IFERROR(K15/J15,"")</f>
        <v/>
      </c>
      <c r="S15" s="59">
        <f>IFERROR(L15/K15,"")</f>
        <v/>
      </c>
      <c r="T15" s="59">
        <f>IFERROR(M15/L15,"")</f>
        <v/>
      </c>
    </row>
    <row r="16">
      <c r="A16" s="96">
        <f>A15+7</f>
        <v/>
      </c>
      <c r="B16" s="97">
        <f>IF(A16="","",TEXT(A16,"d mmm"))</f>
        <v/>
      </c>
      <c r="C16" s="50">
        <f>IF($A16&lt;Setup!$C$9,"",SUMIFS('Daily Log'!$Q$4:$Q$734,'Daily Log'!$A$4:$A$734,"&gt;="&amp;$A16,'Daily Log'!$A$4:$A$734,"&lt;="&amp;$A16+6))</f>
        <v/>
      </c>
      <c r="D16" s="50">
        <f>IF($A16&lt;Setup!$C$9,"",SUMIFS('Daily Log'!$C$4:$C$734,'Daily Log'!$A$4:$A$734,"&gt;="&amp;$A16,'Daily Log'!$A$4:$A$734,"&lt;="&amp;$A16+6))</f>
        <v/>
      </c>
      <c r="E16" s="50">
        <f>IF($A16&lt;Setup!$C$9,"",SUMIFS('Daily Log'!$D$4:$D$734,'Daily Log'!$A$4:$A$734,"&gt;="&amp;$A16,'Daily Log'!$A$4:$A$734,"&lt;="&amp;$A16+6))</f>
        <v/>
      </c>
      <c r="F16" s="50">
        <f>IF($A16&lt;Setup!$C$9,"",SUMIFS('Daily Log'!$E$4:$E$734,'Daily Log'!$A$4:$A$734,"&gt;="&amp;$A16,'Daily Log'!$A$4:$A$734,"&lt;="&amp;$A16+6))</f>
        <v/>
      </c>
      <c r="G16" s="50">
        <f>IF($A16&lt;Setup!$C$9,"",SUMIFS('Daily Log'!$F$4:$F$734,'Daily Log'!$A$4:$A$734,"&gt;="&amp;$A16,'Daily Log'!$A$4:$A$734,"&lt;="&amp;$A16+6))</f>
        <v/>
      </c>
      <c r="H16" s="50">
        <f>IF($A16&lt;Setup!$C$9,"",IFERROR(F16+G16,""))</f>
        <v/>
      </c>
      <c r="I16" s="50">
        <f>IF($A16&lt;Setup!$C$9,"",SUMIFS('Daily Log'!$G$4:$G$734,'Daily Log'!$A$4:$A$734,"&gt;="&amp;$A16,'Daily Log'!$A$4:$A$734,"&lt;="&amp;$A16+6))</f>
        <v/>
      </c>
      <c r="J16" s="50">
        <f>IF($A16&lt;Setup!$C$9,"",SUMIFS('Daily Log'!$H$4:$H$734,'Daily Log'!$A$4:$A$734,"&gt;="&amp;$A16,'Daily Log'!$A$4:$A$734,"&lt;="&amp;$A16+6))</f>
        <v/>
      </c>
      <c r="K16" s="50">
        <f>IF($A16&lt;Setup!$C$9,"",SUMIFS('Daily Log'!$I$4:$I$734,'Daily Log'!$A$4:$A$734,"&gt;="&amp;$A16,'Daily Log'!$A$4:$A$734,"&lt;="&amp;$A16+6))</f>
        <v/>
      </c>
      <c r="L16" s="50">
        <f>IF($A16&lt;Setup!$C$9,"",SUMIFS('Daily Log'!$J$4:$J$734,'Daily Log'!$A$4:$A$734,"&gt;="&amp;$A16,'Daily Log'!$A$4:$A$734,"&lt;="&amp;$A16+6))</f>
        <v/>
      </c>
      <c r="M16" s="50">
        <f>IF($A16&lt;Setup!$C$9,"",SUMIFS('Daily Log'!$K$4:$K$734,'Daily Log'!$A$4:$A$734,"&gt;="&amp;$A16,'Daily Log'!$A$4:$A$734,"&lt;="&amp;$A16+6))</f>
        <v/>
      </c>
      <c r="N16" s="56">
        <f>IF($A16&lt;Setup!$C$9,"",SUMIFS('Daily Log'!$L$4:$L$734,'Daily Log'!$A$4:$A$734,"&gt;="&amp;$A16,'Daily Log'!$A$4:$A$734,"&lt;="&amp;$A16+6))</f>
        <v/>
      </c>
      <c r="O16" s="56">
        <f>IF($A16&lt;Setup!$C$9,"",SUMIFS('Daily Log'!$M$4:$M$734,'Daily Log'!$A$4:$A$734,"&gt;="&amp;$A16,'Daily Log'!$A$4:$A$734,"&lt;="&amp;$A16+6))</f>
        <v/>
      </c>
      <c r="P16" s="59">
        <f>IFERROR(I16/H16,"")</f>
        <v/>
      </c>
      <c r="Q16" s="59">
        <f>IFERROR(J16/I16,"")</f>
        <v/>
      </c>
      <c r="R16" s="59">
        <f>IFERROR(K16/J16,"")</f>
        <v/>
      </c>
      <c r="S16" s="59">
        <f>IFERROR(L16/K16,"")</f>
        <v/>
      </c>
      <c r="T16" s="59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2026-09-16T21:29:48Z</dcterms:created>
  <dcterms:modified xsi:type="dcterms:W3CDTF">2026-09-16T21:29:49Z</dcterms:modified>
</cp:coreProperties>
</file>