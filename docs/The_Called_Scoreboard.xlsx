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</sheetData>
  <mergeCells count="2">
    <mergeCell ref="A1:T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T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Log'!$C$4:$C$369,'Daily Log'!$A$4:$A$369,"&gt;="&amp;$B$3,'Daily Log'!$A$4:$A$369,"&lt;="&amp;TODAY())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Log'!$D$4:$D$369,'Daily Log'!$A$4:$A$369,"&gt;="&amp;$B$3,'Daily Log'!$A$4:$A$369,"&lt;="&amp;TODAY())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Log'!$E$4:$E$369,'Daily Log'!$A$4:$A$369,"&gt;="&amp;$B$3,'Daily Log'!$A$4:$A$369,"&lt;="&amp;TODAY())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Log'!$F$4:$F$369,'Daily Log'!$A$4:$A$369,"&gt;="&amp;$B$3,'Daily Log'!$A$4:$A$369,"&lt;="&amp;TODAY())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50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Log'!$G$4:$G$369,'Daily Log'!$A$4:$A$369,"&gt;="&amp;$B$3,'Daily Log'!$A$4:$A$369,"&lt;="&amp;TODAY())</f>
        <v/>
      </c>
      <c r="C18" s="50">
        <f>SUMIFS('Daily Log'!$G$4:$G$369,'Daily Log'!$A$4:$A$369,"&gt;="&amp;$F$3,'Daily Log'!$A$4:$A$369,"&lt;="&amp;$G$3)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Log'!$H$4:$H$369,'Daily Log'!$A$4:$A$369,"&gt;="&amp;$B$3,'Daily Log'!$A$4:$A$369,"&lt;="&amp;TODAY())</f>
        <v/>
      </c>
      <c r="C19" s="50">
        <f>SUMIFS('Daily Log'!$H$4:$H$369,'Daily Log'!$A$4:$A$369,"&gt;="&amp;$F$3,'Daily Log'!$A$4:$A$369,"&lt;="&amp;$G$3)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Log'!$I$4:$I$369,'Daily Log'!$A$4:$A$369,"&gt;="&amp;$B$3,'Daily Log'!$A$4:$A$369,"&lt;="&amp;TODAY())</f>
        <v/>
      </c>
      <c r="C20" s="50">
        <f>SUMIFS('Daily Log'!$I$4:$I$369,'Daily Log'!$A$4:$A$369,"&gt;="&amp;$F$3,'Daily Log'!$A$4:$A$369,"&lt;="&amp;$G$3)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Log'!$J$4:$J$369,'Daily Log'!$A$4:$A$369,"&gt;="&amp;$B$3,'Daily Log'!$A$4:$A$369,"&lt;="&amp;TODAY())</f>
        <v/>
      </c>
      <c r="C21" s="50">
        <f>SUMIFS('Daily Log'!$J$4:$J$369,'Daily Log'!$A$4:$A$369,"&gt;="&amp;$F$3,'Daily Log'!$A$4:$A$369,"&lt;="&amp;$G$3)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Log'!$K$4:$K$369,'Daily Log'!$A$4:$A$369,"&gt;="&amp;$B$3,'Daily Log'!$A$4:$A$369,"&lt;="&amp;TODAY())</f>
        <v/>
      </c>
      <c r="C22" s="50">
        <f>SUMIFS('Daily Log'!$K$4:$K$369,'Daily Log'!$A$4:$A$369,"&gt;="&amp;$F$3,'Daily Log'!$A$4:$A$369,"&lt;="&amp;$G$3)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Log'!$L$4:$L$369,'Daily Log'!$A$4:$A$369,"&gt;="&amp;$B$3,'Daily Log'!$A$4:$A$369,"&lt;="&amp;TODAY())</f>
        <v/>
      </c>
      <c r="C23" s="56">
        <f>SUMIFS('Daily Log'!$L$4:$L$369,'Daily Log'!$A$4:$A$369,"&gt;="&amp;$F$3,'Daily Log'!$A$4:$A$369,"&lt;="&amp;$G$3)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Log'!$L$4:$L$369,'Daily Log'!$A$4:$A$369,"&gt;="&amp;$D$10,'Daily Log'!$A$4:$A$369,"&lt;="&amp;$D$11)</f>
        <v/>
      </c>
      <c r="D5" s="67">
        <f>IFERROR(B5/Setup!$C$18,0)</f>
        <v/>
      </c>
      <c r="F5" s="68">
        <f>SUMIFS('Daily Log'!$I$4:$I$369,'Daily Log'!$A$4:$A$369,"&gt;="&amp;$B$10,'Daily Log'!$A$4:$A$369,"&lt;="&amp;$B$11)</f>
        <v/>
      </c>
      <c r="H5" s="68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8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Log'!$Q$4:$Q$369,'Daily Log'!$A$4:$A$369,"&gt;="&amp;B$10,'Daily Log'!$A$4:$A$369,"&lt;="&amp;B$11)</f>
        <v/>
      </c>
      <c r="C14" s="50">
        <f>SUMIFS('Daily Log'!$Q$4:$Q$369,'Daily Log'!$A$4:$A$369,"&gt;="&amp;C$10,'Daily Log'!$A$4:$A$369,"&lt;="&amp;C$11)</f>
        <v/>
      </c>
      <c r="D14" s="50">
        <f>SUMIFS('Daily Log'!$Q$4:$Q$369,'Daily Log'!$A$4:$A$369,"&gt;="&amp;D$10,'Daily Log'!$A$4:$A$369,"&lt;="&amp;D$11)</f>
        <v/>
      </c>
      <c r="E14" s="50">
        <f>SUMIFS('Daily Log'!$Q$4:$Q$369,'Daily Log'!$A$4:$A$369,"&gt;="&amp;E$10,'Daily Log'!$A$4:$A$369,"&lt;="&amp;E$11)</f>
        <v/>
      </c>
      <c r="F14" s="50">
        <f>SUMIFS('Daily Log'!$Q$4:$Q$369,'Daily Log'!$A$4:$A$369,"&gt;="&amp;F$10,'Daily Log'!$A$4:$A$369,"&lt;="&amp;F$11)</f>
        <v/>
      </c>
    </row>
    <row r="15">
      <c r="A15" s="75" t="inlineStr">
        <is>
          <t>Reels / Posts</t>
        </is>
      </c>
      <c r="B15" s="50">
        <f>SUMIFS('Daily Log'!$C$4:$C$369,'Daily Log'!$A$4:$A$369,"&gt;="&amp;B$10,'Daily Log'!$A$4:$A$369,"&lt;="&amp;B$11)</f>
        <v/>
      </c>
      <c r="C15" s="50">
        <f>SUMIFS('Daily Log'!$C$4:$C$369,'Daily Log'!$A$4:$A$369,"&gt;="&amp;C$10,'Daily Log'!$A$4:$A$369,"&lt;="&amp;C$11)</f>
        <v/>
      </c>
      <c r="D15" s="50">
        <f>SUMIFS('Daily Log'!$C$4:$C$369,'Daily Log'!$A$4:$A$369,"&gt;="&amp;D$10,'Daily Log'!$A$4:$A$369,"&lt;="&amp;D$11)</f>
        <v/>
      </c>
      <c r="E15" s="50">
        <f>SUMIFS('Daily Log'!$C$4:$C$369,'Daily Log'!$A$4:$A$369,"&gt;="&amp;E$10,'Daily Log'!$A$4:$A$369,"&lt;="&amp;E$11)</f>
        <v/>
      </c>
      <c r="F15" s="50">
        <f>SUMIFS('Daily Log'!$C$4:$C$369,'Daily Log'!$A$4:$A$369,"&gt;="&amp;F$10,'Daily Log'!$A$4:$A$369,"&lt;="&amp;F$11)</f>
        <v/>
      </c>
    </row>
    <row r="16">
      <c r="A16" s="75" t="inlineStr">
        <is>
          <t>Stories</t>
        </is>
      </c>
      <c r="B16" s="50">
        <f>SUMIFS('Daily Log'!$D$4:$D$369,'Daily Log'!$A$4:$A$369,"&gt;="&amp;B$10,'Daily Log'!$A$4:$A$369,"&lt;="&amp;B$11)</f>
        <v/>
      </c>
      <c r="C16" s="50">
        <f>SUMIFS('Daily Log'!$D$4:$D$369,'Daily Log'!$A$4:$A$369,"&gt;="&amp;C$10,'Daily Log'!$A$4:$A$369,"&lt;="&amp;C$11)</f>
        <v/>
      </c>
      <c r="D16" s="50">
        <f>SUMIFS('Daily Log'!$D$4:$D$369,'Daily Log'!$A$4:$A$369,"&gt;="&amp;D$10,'Daily Log'!$A$4:$A$369,"&lt;="&amp;D$11)</f>
        <v/>
      </c>
      <c r="E16" s="50">
        <f>SUMIFS('Daily Log'!$D$4:$D$369,'Daily Log'!$A$4:$A$369,"&gt;="&amp;E$10,'Daily Log'!$A$4:$A$369,"&lt;="&amp;E$11)</f>
        <v/>
      </c>
      <c r="F16" s="50">
        <f>SUMIFS('Daily Log'!$D$4:$D$369,'Daily Log'!$A$4:$A$369,"&gt;="&amp;F$10,'Daily Log'!$A$4:$A$369,"&lt;="&amp;F$11)</f>
        <v/>
      </c>
    </row>
    <row r="17">
      <c r="A17" s="75" t="inlineStr">
        <is>
          <t>Opener DMs Sent</t>
        </is>
      </c>
      <c r="B17" s="50">
        <f>SUMIFS('Daily Log'!$E$4:$E$369,'Daily Log'!$A$4:$A$369,"&gt;="&amp;B$10,'Daily Log'!$A$4:$A$369,"&lt;="&amp;B$11)</f>
        <v/>
      </c>
      <c r="C17" s="50">
        <f>SUMIFS('Daily Log'!$E$4:$E$369,'Daily Log'!$A$4:$A$369,"&gt;="&amp;C$10,'Daily Log'!$A$4:$A$369,"&lt;="&amp;C$11)</f>
        <v/>
      </c>
      <c r="D17" s="50">
        <f>SUMIFS('Daily Log'!$E$4:$E$369,'Daily Log'!$A$4:$A$369,"&gt;="&amp;D$10,'Daily Log'!$A$4:$A$369,"&lt;="&amp;D$11)</f>
        <v/>
      </c>
      <c r="E17" s="50">
        <f>SUMIFS('Daily Log'!$E$4:$E$369,'Daily Log'!$A$4:$A$369,"&gt;="&amp;E$10,'Daily Log'!$A$4:$A$369,"&lt;="&amp;E$11)</f>
        <v/>
      </c>
      <c r="F17" s="50">
        <f>SUMIFS('Daily Log'!$E$4:$E$369,'Daily Log'!$A$4:$A$369,"&gt;="&amp;F$10,'Daily Log'!$A$4:$A$369,"&lt;="&amp;F$11)</f>
        <v/>
      </c>
    </row>
    <row r="18">
      <c r="A18" s="75" t="inlineStr">
        <is>
          <t>Follow-Up DMs Sent</t>
        </is>
      </c>
      <c r="B18" s="50">
        <f>SUMIFS('Daily Log'!$F$4:$F$369,'Daily Log'!$A$4:$A$369,"&gt;="&amp;B$10,'Daily Log'!$A$4:$A$369,"&lt;="&amp;B$11)</f>
        <v/>
      </c>
      <c r="C18" s="50">
        <f>SUMIFS('Daily Log'!$F$4:$F$369,'Daily Log'!$A$4:$A$369,"&gt;="&amp;C$10,'Daily Log'!$A$4:$A$369,"&lt;="&amp;C$11)</f>
        <v/>
      </c>
      <c r="D18" s="50">
        <f>SUMIFS('Daily Log'!$F$4:$F$369,'Daily Log'!$A$4:$A$369,"&gt;="&amp;D$10,'Daily Log'!$A$4:$A$369,"&lt;="&amp;D$11)</f>
        <v/>
      </c>
      <c r="E18" s="50">
        <f>SUMIFS('Daily Log'!$F$4:$F$369,'Daily Log'!$A$4:$A$369,"&gt;="&amp;E$10,'Daily Log'!$A$4:$A$369,"&lt;="&amp;E$11)</f>
        <v/>
      </c>
      <c r="F18" s="50">
        <f>SUMIFS('Daily Log'!$F$4:$F$369,'Daily Log'!$A$4:$A$369,"&gt;="&amp;F$10,'Daily Log'!$A$4:$A$369,"&lt;="&amp;F$11)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Log'!$G$4:$G$369,'Daily Log'!$A$4:$A$369,"&gt;="&amp;B$10,'Daily Log'!$A$4:$A$369,"&lt;="&amp;B$11)</f>
        <v/>
      </c>
      <c r="C20" s="50">
        <f>SUMIFS('Daily Log'!$G$4:$G$369,'Daily Log'!$A$4:$A$369,"&gt;="&amp;C$10,'Daily Log'!$A$4:$A$369,"&lt;="&amp;C$11)</f>
        <v/>
      </c>
      <c r="D20" s="50">
        <f>SUMIFS('Daily Log'!$G$4:$G$369,'Daily Log'!$A$4:$A$369,"&gt;="&amp;D$10,'Daily Log'!$A$4:$A$369,"&lt;="&amp;D$11)</f>
        <v/>
      </c>
      <c r="E20" s="50">
        <f>SUMIFS('Daily Log'!$G$4:$G$369,'Daily Log'!$A$4:$A$369,"&gt;="&amp;E$10,'Daily Log'!$A$4:$A$369,"&lt;="&amp;E$11)</f>
        <v/>
      </c>
      <c r="F20" s="50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Log'!$H$4:$H$369,'Daily Log'!$A$4:$A$369,"&gt;="&amp;B$10,'Daily Log'!$A$4:$A$369,"&lt;="&amp;B$11)</f>
        <v/>
      </c>
      <c r="C23" s="50">
        <f>SUMIFS('Daily Log'!$H$4:$H$369,'Daily Log'!$A$4:$A$369,"&gt;="&amp;C$10,'Daily Log'!$A$4:$A$369,"&lt;="&amp;C$11)</f>
        <v/>
      </c>
      <c r="D23" s="50">
        <f>SUMIFS('Daily Log'!$H$4:$H$369,'Daily Log'!$A$4:$A$369,"&gt;="&amp;D$10,'Daily Log'!$A$4:$A$369,"&lt;="&amp;D$11)</f>
        <v/>
      </c>
      <c r="E23" s="50">
        <f>SUMIFS('Daily Log'!$H$4:$H$369,'Daily Log'!$A$4:$A$369,"&gt;="&amp;E$10,'Daily Log'!$A$4:$A$369,"&lt;="&amp;E$11)</f>
        <v/>
      </c>
      <c r="F23" s="50">
        <f>SUMIFS('Daily Log'!$H$4:$H$369,'Daily Log'!$A$4:$A$369,"&gt;="&amp;F$10,'Daily Log'!$A$4:$A$369,"&lt;="&amp;F$11)</f>
        <v/>
      </c>
    </row>
    <row r="24">
      <c r="A24" s="75" t="inlineStr">
        <is>
          <t>Calls Booked</t>
        </is>
      </c>
      <c r="B24" s="50">
        <f>SUMIFS('Daily Log'!$I$4:$I$369,'Daily Log'!$A$4:$A$369,"&gt;="&amp;B$10,'Daily Log'!$A$4:$A$369,"&lt;="&amp;B$11)</f>
        <v/>
      </c>
      <c r="C24" s="50">
        <f>SUMIFS('Daily Log'!$I$4:$I$369,'Daily Log'!$A$4:$A$369,"&gt;="&amp;C$10,'Daily Log'!$A$4:$A$369,"&lt;="&amp;C$11)</f>
        <v/>
      </c>
      <c r="D24" s="50">
        <f>SUMIFS('Daily Log'!$I$4:$I$369,'Daily Log'!$A$4:$A$369,"&gt;="&amp;D$10,'Daily Log'!$A$4:$A$369,"&lt;="&amp;D$11)</f>
        <v/>
      </c>
      <c r="E24" s="50">
        <f>SUMIFS('Daily Log'!$I$4:$I$369,'Daily Log'!$A$4:$A$369,"&gt;="&amp;E$10,'Daily Log'!$A$4:$A$369,"&lt;="&amp;E$11)</f>
        <v/>
      </c>
      <c r="F24" s="50">
        <f>SUMIFS('Daily Log'!$I$4:$I$369,'Daily Log'!$A$4:$A$369,"&gt;="&amp;F$10,'Daily Log'!$A$4:$A$369,"&lt;="&amp;F$11)</f>
        <v/>
      </c>
    </row>
    <row r="25">
      <c r="A25" s="75" t="inlineStr">
        <is>
          <t>Calls Showed</t>
        </is>
      </c>
      <c r="B25" s="50">
        <f>SUMIFS('Daily Log'!$J$4:$J$369,'Daily Log'!$A$4:$A$369,"&gt;="&amp;B$10,'Daily Log'!$A$4:$A$369,"&lt;="&amp;B$11)</f>
        <v/>
      </c>
      <c r="C25" s="50">
        <f>SUMIFS('Daily Log'!$J$4:$J$369,'Daily Log'!$A$4:$A$369,"&gt;="&amp;C$10,'Daily Log'!$A$4:$A$369,"&lt;="&amp;C$11)</f>
        <v/>
      </c>
      <c r="D25" s="50">
        <f>SUMIFS('Daily Log'!$J$4:$J$369,'Daily Log'!$A$4:$A$369,"&gt;="&amp;D$10,'Daily Log'!$A$4:$A$369,"&lt;="&amp;D$11)</f>
        <v/>
      </c>
      <c r="E25" s="50">
        <f>SUMIFS('Daily Log'!$J$4:$J$369,'Daily Log'!$A$4:$A$369,"&gt;="&amp;E$10,'Daily Log'!$A$4:$A$369,"&lt;="&amp;E$11)</f>
        <v/>
      </c>
      <c r="F25" s="50">
        <f>SUMIFS('Daily Log'!$J$4:$J$369,'Daily Log'!$A$4:$A$369,"&gt;="&amp;F$10,'Daily Log'!$A$4:$A$369,"&lt;="&amp;F$11)</f>
        <v/>
      </c>
    </row>
    <row r="26">
      <c r="A26" s="75" t="inlineStr">
        <is>
          <t>Closes</t>
        </is>
      </c>
      <c r="B26" s="50">
        <f>SUMIFS('Daily Log'!$K$4:$K$369,'Daily Log'!$A$4:$A$369,"&gt;="&amp;B$10,'Daily Log'!$A$4:$A$369,"&lt;="&amp;B$11)</f>
        <v/>
      </c>
      <c r="C26" s="50">
        <f>SUMIFS('Daily Log'!$K$4:$K$369,'Daily Log'!$A$4:$A$369,"&gt;="&amp;C$10,'Daily Log'!$A$4:$A$369,"&lt;="&amp;C$11)</f>
        <v/>
      </c>
      <c r="D26" s="50">
        <f>SUMIFS('Daily Log'!$K$4:$K$369,'Daily Log'!$A$4:$A$369,"&gt;="&amp;D$10,'Daily Log'!$A$4:$A$369,"&lt;="&amp;D$11)</f>
        <v/>
      </c>
      <c r="E26" s="50">
        <f>SUMIFS('Daily Log'!$K$4:$K$369,'Daily Log'!$A$4:$A$369,"&gt;="&amp;E$10,'Daily Log'!$A$4:$A$369,"&lt;="&amp;E$11)</f>
        <v/>
      </c>
      <c r="F26" s="50">
        <f>SUMIFS('Daily Log'!$K$4:$K$369,'Daily Log'!$A$4:$A$369,"&gt;="&amp;F$10,'Daily Log'!$A$4:$A$369,"&lt;="&amp;F$11)</f>
        <v/>
      </c>
    </row>
    <row r="27">
      <c r="A27" s="76" t="inlineStr">
        <is>
          <t>Cash Collected</t>
        </is>
      </c>
      <c r="B27" s="55">
        <f>SUMIFS('Daily Log'!$L$4:$L$369,'Daily Log'!$A$4:$A$369,"&gt;="&amp;B$10,'Daily Log'!$A$4:$A$369,"&lt;="&amp;B$11)</f>
        <v/>
      </c>
      <c r="C27" s="55">
        <f>SUMIFS('Daily Log'!$L$4:$L$369,'Daily Log'!$A$4:$A$369,"&gt;="&amp;C$10,'Daily Log'!$A$4:$A$369,"&lt;="&amp;C$11)</f>
        <v/>
      </c>
      <c r="D27" s="55">
        <f>SUMIFS('Daily Log'!$L$4:$L$369,'Daily Log'!$A$4:$A$369,"&gt;="&amp;D$10,'Daily Log'!$A$4:$A$369,"&lt;="&amp;D$11)</f>
        <v/>
      </c>
      <c r="E27" s="55">
        <f>SUMIFS('Daily Log'!$L$4:$L$369,'Daily Log'!$A$4:$A$369,"&gt;="&amp;E$10,'Daily Log'!$A$4:$A$369,"&lt;="&amp;E$11)</f>
        <v/>
      </c>
      <c r="F27" s="55">
        <f>SUMIFS('Daily Log'!$L$4:$L$369,'Daily Log'!$A$4:$A$369,"&gt;="&amp;F$10,'Daily Log'!$A$4:$A$369,"&lt;="&amp;F$11)</f>
        <v/>
      </c>
    </row>
    <row r="28">
      <c r="A28" s="75" t="inlineStr">
        <is>
          <t>Revenue Generated</t>
        </is>
      </c>
      <c r="B28" s="56">
        <f>SUMIFS('Daily Log'!$M$4:$M$369,'Daily Log'!$A$4:$A$369,"&gt;="&amp;B$10,'Daily Log'!$A$4:$A$369,"&lt;="&amp;B$11)</f>
        <v/>
      </c>
      <c r="C28" s="56">
        <f>SUMIFS('Daily Log'!$M$4:$M$369,'Daily Log'!$A$4:$A$369,"&gt;="&amp;C$10,'Daily Log'!$A$4:$A$369,"&lt;="&amp;C$11)</f>
        <v/>
      </c>
      <c r="D28" s="56">
        <f>SUMIFS('Daily Log'!$M$4:$M$369,'Daily Log'!$A$4:$A$369,"&gt;="&amp;D$10,'Daily Log'!$A$4:$A$369,"&lt;="&amp;D$11)</f>
        <v/>
      </c>
      <c r="E28" s="56">
        <f>SUMIFS('Daily Log'!$M$4:$M$369,'Daily Log'!$A$4:$A$369,"&gt;="&amp;E$10,'Daily Log'!$A$4:$A$369,"&lt;="&amp;E$11)</f>
        <v/>
      </c>
      <c r="F28" s="56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Healthy
floor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Log'!$A$4:$A$369,"&gt;="&amp;B$10,'Daily Log'!$A$4:$A$369,"&lt;="&amp;B$11,'Daily Log'!$O$4:$O$369,4)</f>
        <v/>
      </c>
      <c r="C45" s="50">
        <f>COUNTIFS('Daily Log'!$A$4:$A$369,"&gt;="&amp;C$10,'Daily Log'!$A$4:$A$369,"&lt;="&amp;C$11,'Daily Log'!$O$4:$O$369,4)</f>
        <v/>
      </c>
      <c r="D45" s="50">
        <f>COUNTIFS('Daily Log'!$A$4:$A$369,"&gt;="&amp;D$10,'Daily Log'!$A$4:$A$369,"&lt;="&amp;D$11,'Daily Log'!$O$4:$O$369,4)</f>
        <v/>
      </c>
      <c r="E45" s="50">
        <f>COUNTIFS('Daily Log'!$A$4:$A$369,"&gt;="&amp;E$10,'Daily Log'!$A$4:$A$369,"&lt;="&amp;E$11,'Daily Log'!$O$4:$O$369,4)</f>
        <v/>
      </c>
      <c r="F45" s="50">
        <f>COUNTIFS('Daily Log'!$A$4:$A$369,"&gt;="&amp;F$10,'Daily Log'!$A$4:$A$369,"&lt;="&amp;F$11,'Daily Log'!$O$4:$O$369,4)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AND(B31&lt;&gt;"",B31&gt;=$G31)</formula>
    </cfRule>
    <cfRule type="expression" priority="4" dxfId="2">
      <formula>AND(B31&lt;&gt;"",B31&lt;$G31)</formula>
    </cfRule>
  </conditionalFormatting>
  <conditionalFormatting sqref="B41:F44">
    <cfRule type="expression" priority="5" dxfId="0">
      <formula>AND(B41&lt;&gt;"",B41&gt;=$G41)</formula>
    </cfRule>
    <cfRule type="expression" priority="6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/>
      <c r="C20" s="86" t="n"/>
      <c r="D20" s="59" t="n"/>
      <c r="E20" s="38" t="n"/>
      <c r="F20" s="38" t="n"/>
      <c r="G20" s="38" t="n"/>
      <c r="H20" s="38" t="n"/>
      <c r="I20" s="38" t="n"/>
      <c r="J20" s="50">
        <f>IF($A20&gt;TODAY(),"",SUMIFS('Daily Log'!$C$4:$C$369,'Daily Log'!$A$4:$A$369,"&gt;="&amp;$A20,'Daily Log'!$A$4:$A$369,"&lt;="&amp;$A20+6))</f>
        <v/>
      </c>
      <c r="K20" s="50">
        <f>IF($A20&gt;TODAY(),"",SUMIFS('Daily Log'!$D$4:$D$369,'Daily Log'!$A$4:$A$369,"&gt;="&amp;$A20,'Daily Log'!$A$4:$A$369,"&lt;="&amp;$A20+6))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/>
      <c r="C21" s="86">
        <f>IF(OR(B21="",B20=""),"",B21-B20)</f>
        <v/>
      </c>
      <c r="D21" s="59">
        <f>IF(OR(B21="",B20=""),"",IFERROR((B21-B20)/B20,""))</f>
        <v/>
      </c>
      <c r="E21" s="38" t="n"/>
      <c r="F21" s="38" t="n"/>
      <c r="G21" s="38" t="n"/>
      <c r="H21" s="38" t="n"/>
      <c r="I21" s="38" t="n"/>
      <c r="J21" s="50">
        <f>IF($A21&gt;TODAY(),"",SUMIFS('Daily Log'!$C$4:$C$369,'Daily Log'!$A$4:$A$369,"&gt;="&amp;$A21,'Daily Log'!$A$4:$A$369,"&lt;="&amp;$A21+6))</f>
        <v/>
      </c>
      <c r="K21" s="50">
        <f>IF($A21&gt;TODAY(),"",SUMIFS('Daily Log'!$D$4:$D$369,'Daily Log'!$A$4:$A$369,"&gt;="&amp;$A21,'Daily Log'!$A$4:$A$369,"&lt;="&amp;$A21+6))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/>
      <c r="C22" s="86">
        <f>IF(OR(B22="",B21=""),"",B22-B21)</f>
        <v/>
      </c>
      <c r="D22" s="59">
        <f>IF(OR(B22="",B21=""),"",IFERROR((B22-B21)/B21,""))</f>
        <v/>
      </c>
      <c r="E22" s="38" t="n"/>
      <c r="F22" s="38" t="n"/>
      <c r="G22" s="38" t="n"/>
      <c r="H22" s="38" t="n"/>
      <c r="I22" s="38" t="n"/>
      <c r="J22" s="50">
        <f>IF($A22&gt;TODAY(),"",SUMIFS('Daily Log'!$C$4:$C$369,'Daily Log'!$A$4:$A$369,"&gt;="&amp;$A22,'Daily Log'!$A$4:$A$369,"&lt;="&amp;$A22+6))</f>
        <v/>
      </c>
      <c r="K22" s="50">
        <f>IF($A22&gt;TODAY(),"",SUMIFS('Daily Log'!$D$4:$D$369,'Daily Log'!$A$4:$A$369,"&gt;="&amp;$A22,'Daily Log'!$A$4:$A$369,"&lt;="&amp;$A22+6))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/>
      <c r="C23" s="86">
        <f>IF(OR(B23="",B22=""),"",B23-B22)</f>
        <v/>
      </c>
      <c r="D23" s="59">
        <f>IF(OR(B23="",B22=""),"",IFERROR((B23-B22)/B22,""))</f>
        <v/>
      </c>
      <c r="E23" s="38" t="n"/>
      <c r="F23" s="38" t="n"/>
      <c r="G23" s="38" t="n"/>
      <c r="H23" s="38" t="n"/>
      <c r="I23" s="38" t="n"/>
      <c r="J23" s="50">
        <f>IF($A23&gt;TODAY(),"",SUMIFS('Daily Log'!$C$4:$C$369,'Daily Log'!$A$4:$A$369,"&gt;="&amp;$A23,'Daily Log'!$A$4:$A$369,"&lt;="&amp;$A23+6))</f>
        <v/>
      </c>
      <c r="K23" s="50">
        <f>IF($A23&gt;TODAY(),"",SUMIFS('Daily Log'!$D$4:$D$369,'Daily Log'!$A$4:$A$369,"&gt;="&amp;$A23,'Daily Log'!$A$4:$A$369,"&lt;="&amp;$A23+6))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/>
      <c r="C24" s="86">
        <f>IF(OR(B24="",B23=""),"",B24-B23)</f>
        <v/>
      </c>
      <c r="D24" s="59">
        <f>IF(OR(B24="",B23=""),"",IFERROR((B24-B23)/B23,""))</f>
        <v/>
      </c>
      <c r="E24" s="38" t="n"/>
      <c r="F24" s="38" t="n"/>
      <c r="G24" s="38" t="n"/>
      <c r="H24" s="38" t="n"/>
      <c r="I24" s="38" t="n"/>
      <c r="J24" s="50">
        <f>IF($A24&gt;TODAY(),"",SUMIFS('Daily Log'!$C$4:$C$369,'Daily Log'!$A$4:$A$369,"&gt;="&amp;$A24,'Daily Log'!$A$4:$A$369,"&lt;="&amp;$A24+6))</f>
        <v/>
      </c>
      <c r="K24" s="50">
        <f>IF($A24&gt;TODAY(),"",SUMIFS('Daily Log'!$D$4:$D$369,'Daily Log'!$A$4:$A$369,"&gt;="&amp;$A24,'Daily Log'!$A$4:$A$369,"&lt;="&amp;$A24+6))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/>
      <c r="C25" s="86">
        <f>IF(OR(B25="",B24=""),"",B25-B24)</f>
        <v/>
      </c>
      <c r="D25" s="59">
        <f>IF(OR(B25="",B24=""),"",IFERROR((B25-B24)/B24,""))</f>
        <v/>
      </c>
      <c r="E25" s="38" t="n"/>
      <c r="F25" s="38" t="n"/>
      <c r="G25" s="38" t="n"/>
      <c r="H25" s="38" t="n"/>
      <c r="I25" s="38" t="n"/>
      <c r="J25" s="50">
        <f>IF($A25&gt;TODAY(),"",SUMIFS('Daily Log'!$C$4:$C$369,'Daily Log'!$A$4:$A$369,"&gt;="&amp;$A25,'Daily Log'!$A$4:$A$369,"&lt;="&amp;$A25+6))</f>
        <v/>
      </c>
      <c r="K25" s="50">
        <f>IF($A25&gt;TODAY(),"",SUMIFS('Daily Log'!$D$4:$D$369,'Daily Log'!$A$4:$A$369,"&gt;="&amp;$A25,'Daily Log'!$A$4:$A$369,"&lt;="&amp;$A25+6))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/>
      <c r="C26" s="86">
        <f>IF(OR(B26="",B25=""),"",B26-B25)</f>
        <v/>
      </c>
      <c r="D26" s="59">
        <f>IF(OR(B26="",B25=""),"",IFERROR((B26-B25)/B25,""))</f>
        <v/>
      </c>
      <c r="E26" s="38" t="n"/>
      <c r="F26" s="38" t="n"/>
      <c r="G26" s="38" t="n"/>
      <c r="H26" s="38" t="n"/>
      <c r="I26" s="38" t="n"/>
      <c r="J26" s="50">
        <f>IF($A26&gt;TODAY(),"",SUMIFS('Daily Log'!$C$4:$C$369,'Daily Log'!$A$4:$A$369,"&gt;="&amp;$A26,'Daily Log'!$A$4:$A$369,"&lt;="&amp;$A26+6))</f>
        <v/>
      </c>
      <c r="K26" s="50">
        <f>IF($A26&gt;TODAY(),"",SUMIFS('Daily Log'!$D$4:$D$369,'Daily Log'!$A$4:$A$369,"&gt;="&amp;$A26,'Daily Log'!$A$4:$A$369,"&lt;="&amp;$A26+6))</f>
        <v/>
      </c>
      <c r="L26" s="79">
        <f>IFERROR(E26/J26,"")</f>
        <v/>
      </c>
      <c r="M26" s="79">
        <f>IFERROR(H26/E26*1000,"")</f>
        <v/>
      </c>
      <c r="N26" s="87" t="n"/>
    </row>
    <row r="27">
      <c r="A27" s="85">
        <f>A26+7</f>
        <v/>
      </c>
      <c r="B27" s="38" t="n"/>
      <c r="C27" s="86">
        <f>IF(OR(B27="",B26=""),"",B27-B26)</f>
        <v/>
      </c>
      <c r="D27" s="59">
        <f>IF(OR(B27="",B26=""),"",IFERROR((B27-B26)/B26,""))</f>
        <v/>
      </c>
      <c r="E27" s="38" t="n"/>
      <c r="F27" s="38" t="n"/>
      <c r="G27" s="38" t="n"/>
      <c r="H27" s="38" t="n"/>
      <c r="I27" s="38" t="n"/>
      <c r="J27" s="50">
        <f>IF($A27&gt;TODAY(),"",SUMIFS('Daily Log'!$C$4:$C$369,'Daily Log'!$A$4:$A$369,"&gt;="&amp;$A27,'Daily Log'!$A$4:$A$369,"&lt;="&amp;$A27+6))</f>
        <v/>
      </c>
      <c r="K27" s="50">
        <f>IF($A27&gt;TODAY(),"",SUMIFS('Daily Log'!$D$4:$D$369,'Daily Log'!$A$4:$A$369,"&gt;="&amp;$A27,'Daily Log'!$A$4:$A$369,"&lt;="&amp;$A27+6))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/>
      <c r="C28" s="86">
        <f>IF(OR(B28="",B27=""),"",B28-B27)</f>
        <v/>
      </c>
      <c r="D28" s="59">
        <f>IF(OR(B28="",B27=""),"",IFERROR((B28-B27)/B27,""))</f>
        <v/>
      </c>
      <c r="E28" s="38" t="n"/>
      <c r="F28" s="38" t="n"/>
      <c r="G28" s="38" t="n"/>
      <c r="H28" s="38" t="n"/>
      <c r="I28" s="38" t="n"/>
      <c r="J28" s="50">
        <f>IF($A28&gt;TODAY(),"",SUMIFS('Daily Log'!$C$4:$C$369,'Daily Log'!$A$4:$A$369,"&gt;="&amp;$A28,'Daily Log'!$A$4:$A$369,"&lt;="&amp;$A28+6))</f>
        <v/>
      </c>
      <c r="K28" s="50">
        <f>IF($A28&gt;TODAY(),"",SUMIFS('Daily Log'!$D$4:$D$369,'Daily Log'!$A$4:$A$369,"&gt;="&amp;$A28,'Daily Log'!$A$4:$A$369,"&lt;="&amp;$A28+6))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/>
      <c r="C29" s="86">
        <f>IF(OR(B29="",B28=""),"",B29-B28)</f>
        <v/>
      </c>
      <c r="D29" s="59">
        <f>IF(OR(B29="",B28=""),"",IFERROR((B29-B28)/B28,""))</f>
        <v/>
      </c>
      <c r="E29" s="38" t="n"/>
      <c r="F29" s="38" t="n"/>
      <c r="G29" s="38" t="n"/>
      <c r="H29" s="38" t="n"/>
      <c r="I29" s="38" t="n"/>
      <c r="J29" s="50">
        <f>IF($A29&gt;TODAY(),"",SUMIFS('Daily Log'!$C$4:$C$369,'Daily Log'!$A$4:$A$369,"&gt;="&amp;$A29,'Daily Log'!$A$4:$A$369,"&lt;="&amp;$A29+6))</f>
        <v/>
      </c>
      <c r="K29" s="50">
        <f>IF($A29&gt;TODAY(),"",SUMIFS('Daily Log'!$D$4:$D$369,'Daily Log'!$A$4:$A$369,"&gt;="&amp;$A29,'Daily Log'!$A$4:$A$369,"&lt;="&amp;$A29+6))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/>
      <c r="C30" s="86">
        <f>IF(OR(B30="",B29=""),"",B30-B29)</f>
        <v/>
      </c>
      <c r="D30" s="59">
        <f>IF(OR(B30="",B29=""),"",IFERROR((B30-B29)/B29,""))</f>
        <v/>
      </c>
      <c r="E30" s="38" t="n"/>
      <c r="F30" s="38" t="n"/>
      <c r="G30" s="38" t="n"/>
      <c r="H30" s="38" t="n"/>
      <c r="I30" s="38" t="n"/>
      <c r="J30" s="50">
        <f>IF($A30&gt;TODAY(),"",SUMIFS('Daily Log'!$C$4:$C$369,'Daily Log'!$A$4:$A$369,"&gt;="&amp;$A30,'Daily Log'!$A$4:$A$369,"&lt;="&amp;$A30+6))</f>
        <v/>
      </c>
      <c r="K30" s="50">
        <f>IF($A30&gt;TODAY(),"",SUMIFS('Daily Log'!$D$4:$D$369,'Daily Log'!$A$4:$A$369,"&gt;="&amp;$A30,'Daily Log'!$A$4:$A$369,"&lt;="&amp;$A30+6))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/>
      <c r="C31" s="86">
        <f>IF(OR(B31="",B30=""),"",B31-B30)</f>
        <v/>
      </c>
      <c r="D31" s="59">
        <f>IF(OR(B31="",B30=""),"",IFERROR((B31-B30)/B30,""))</f>
        <v/>
      </c>
      <c r="E31" s="38" t="n"/>
      <c r="F31" s="38" t="n"/>
      <c r="G31" s="38" t="n"/>
      <c r="H31" s="38" t="n"/>
      <c r="I31" s="38" t="n"/>
      <c r="J31" s="50">
        <f>IF($A31&gt;TODAY(),"",SUMIFS('Daily Log'!$C$4:$C$369,'Daily Log'!$A$4:$A$369,"&gt;="&amp;$A31,'Daily Log'!$A$4:$A$369,"&lt;="&amp;$A31+6))</f>
        <v/>
      </c>
      <c r="K31" s="50">
        <f>IF($A31&gt;TODAY(),"",SUMIFS('Daily Log'!$D$4:$D$369,'Daily Log'!$A$4:$A$369,"&gt;="&amp;$A31,'Daily Log'!$A$4:$A$369,"&lt;="&amp;$A31+6))</f>
        <v/>
      </c>
      <c r="L31" s="79">
        <f>IFERROR(E31/J31,"")</f>
        <v/>
      </c>
      <c r="M31" s="79">
        <f>IFERROR(H31/E31*1000,"")</f>
        <v/>
      </c>
      <c r="N31" s="87" t="n"/>
    </row>
    <row r="32">
      <c r="A32" s="85">
        <f>A31+7</f>
        <v/>
      </c>
      <c r="B32" s="38" t="n"/>
      <c r="C32" s="86">
        <f>IF(OR(B32="",B31=""),"",B32-B31)</f>
        <v/>
      </c>
      <c r="D32" s="59">
        <f>IF(OR(B32="",B31=""),"",IFERROR((B32-B31)/B31,""))</f>
        <v/>
      </c>
      <c r="E32" s="38" t="n"/>
      <c r="F32" s="38" t="n"/>
      <c r="G32" s="38" t="n"/>
      <c r="H32" s="38" t="n"/>
      <c r="I32" s="38" t="n"/>
      <c r="J32" s="50">
        <f>IF($A32&gt;TODAY(),"",SUMIFS('Daily Log'!$C$4:$C$369,'Daily Log'!$A$4:$A$369,"&gt;="&amp;$A32,'Daily Log'!$A$4:$A$369,"&lt;="&amp;$A32+6))</f>
        <v/>
      </c>
      <c r="K32" s="50">
        <f>IF($A32&gt;TODAY(),"",SUMIFS('Daily Log'!$D$4:$D$369,'Daily Log'!$A$4:$A$369,"&gt;="&amp;$A32,'Daily Log'!$A$4:$A$369,"&lt;="&amp;$A32+6))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/>
      <c r="C33" s="86">
        <f>IF(OR(B33="",B32=""),"",B33-B32)</f>
        <v/>
      </c>
      <c r="D33" s="59">
        <f>IF(OR(B33="",B32=""),"",IFERROR((B33-B32)/B32,""))</f>
        <v/>
      </c>
      <c r="E33" s="38" t="n"/>
      <c r="F33" s="38" t="n"/>
      <c r="G33" s="38" t="n"/>
      <c r="H33" s="38" t="n"/>
      <c r="I33" s="38" t="n"/>
      <c r="J33" s="50">
        <f>IF($A33&gt;TODAY(),"",SUMIFS('Daily Log'!$C$4:$C$369,'Daily Log'!$A$4:$A$369,"&gt;="&amp;$A33,'Daily Log'!$A$4:$A$369,"&lt;="&amp;$A33+6))</f>
        <v/>
      </c>
      <c r="K33" s="50">
        <f>IF($A33&gt;TODAY(),"",SUMIFS('Daily Log'!$D$4:$D$369,'Daily Log'!$A$4:$A$369,"&gt;="&amp;$A33,'Daily Log'!$A$4:$A$369,"&lt;="&amp;$A33+6))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/>
      <c r="C34" s="86">
        <f>IF(OR(B34="",B33=""),"",B34-B33)</f>
        <v/>
      </c>
      <c r="D34" s="59">
        <f>IF(OR(B34="",B33=""),"",IFERROR((B34-B33)/B33,""))</f>
        <v/>
      </c>
      <c r="E34" s="38" t="n"/>
      <c r="F34" s="38" t="n"/>
      <c r="G34" s="38" t="n"/>
      <c r="H34" s="38" t="n"/>
      <c r="I34" s="38" t="n"/>
      <c r="J34" s="50">
        <f>IF($A34&gt;TODAY(),"",SUMIFS('Daily Log'!$C$4:$C$369,'Daily Log'!$A$4:$A$369,"&gt;="&amp;$A34,'Daily Log'!$A$4:$A$369,"&lt;="&amp;$A34+6))</f>
        <v/>
      </c>
      <c r="K34" s="50">
        <f>IF($A34&gt;TODAY(),"",SUMIFS('Daily Log'!$D$4:$D$369,'Daily Log'!$A$4:$A$369,"&gt;="&amp;$A34,'Daily Log'!$A$4:$A$369,"&lt;="&amp;$A34+6))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/>
      <c r="C35" s="86">
        <f>IF(OR(B35="",B34=""),"",B35-B34)</f>
        <v/>
      </c>
      <c r="D35" s="59">
        <f>IF(OR(B35="",B34=""),"",IFERROR((B35-B34)/B34,""))</f>
        <v/>
      </c>
      <c r="E35" s="38" t="n"/>
      <c r="F35" s="38" t="n"/>
      <c r="G35" s="38" t="n"/>
      <c r="H35" s="38" t="n"/>
      <c r="I35" s="38" t="n"/>
      <c r="J35" s="50">
        <f>IF($A35&gt;TODAY(),"",SUMIFS('Daily Log'!$C$4:$C$369,'Daily Log'!$A$4:$A$369,"&gt;="&amp;$A35,'Daily Log'!$A$4:$A$369,"&lt;="&amp;$A35+6))</f>
        <v/>
      </c>
      <c r="K35" s="50">
        <f>IF($A35&gt;TODAY(),"",SUMIFS('Daily Log'!$D$4:$D$369,'Daily Log'!$A$4:$A$369,"&gt;="&amp;$A35,'Daily Log'!$A$4:$A$369,"&lt;="&amp;$A35+6))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/>
      <c r="C36" s="86">
        <f>IF(OR(B36="",B35=""),"",B36-B35)</f>
        <v/>
      </c>
      <c r="D36" s="59">
        <f>IF(OR(B36="",B35=""),"",IFERROR((B36-B35)/B35,""))</f>
        <v/>
      </c>
      <c r="E36" s="38" t="n"/>
      <c r="F36" s="38" t="n"/>
      <c r="G36" s="38" t="n"/>
      <c r="H36" s="38" t="n"/>
      <c r="I36" s="38" t="n"/>
      <c r="J36" s="50">
        <f>IF($A36&gt;TODAY(),"",SUMIFS('Daily Log'!$C$4:$C$369,'Daily Log'!$A$4:$A$369,"&gt;="&amp;$A36,'Daily Log'!$A$4:$A$369,"&lt;="&amp;$A36+6))</f>
        <v/>
      </c>
      <c r="K36" s="50">
        <f>IF($A36&gt;TODAY(),"",SUMIFS('Daily Log'!$D$4:$D$369,'Daily Log'!$A$4:$A$369,"&gt;="&amp;$A36,'Daily Log'!$A$4:$A$369,"&lt;="&amp;$A36+6))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Log'!$C$4:$C$369,'Daily Log'!$A$4:$A$369,"&gt;="&amp;$A37,'Daily Log'!$A$4:$A$369,"&lt;="&amp;$A37+6))</f>
        <v/>
      </c>
      <c r="K37" s="50">
        <f>IF($A37&gt;TODAY(),"",SUMIFS('Daily Log'!$D$4:$D$369,'Daily Log'!$A$4:$A$369,"&gt;="&amp;$A37,'Daily Log'!$A$4:$A$369,"&lt;="&amp;$A37+6))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Log'!$C$4:$C$369,'Daily Log'!$A$4:$A$369,"&gt;="&amp;$A38,'Daily Log'!$A$4:$A$369,"&lt;="&amp;$A38+6))</f>
        <v/>
      </c>
      <c r="K38" s="50">
        <f>IF($A38&gt;TODAY(),"",SUMIFS('Daily Log'!$D$4:$D$369,'Daily Log'!$A$4:$A$369,"&gt;="&amp;$A38,'Daily Log'!$A$4:$A$369,"&lt;="&amp;$A38+6))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Log'!$C$4:$C$369,'Daily Log'!$A$4:$A$369,"&gt;="&amp;$A39,'Daily Log'!$A$4:$A$369,"&lt;="&amp;$A39+6))</f>
        <v/>
      </c>
      <c r="K39" s="50">
        <f>IF($A39&gt;TODAY(),"",SUMIFS('Daily Log'!$D$4:$D$369,'Daily Log'!$A$4:$A$369,"&gt;="&amp;$A39,'Daily Log'!$A$4:$A$369,"&lt;="&amp;$A39+6))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Log'!$C$4:$C$369,'Daily Log'!$A$4:$A$369,"&gt;="&amp;$A40,'Daily Log'!$A$4:$A$369,"&lt;="&amp;$A40+6))</f>
        <v/>
      </c>
      <c r="K40" s="50">
        <f>IF($A40&gt;TODAY(),"",SUMIFS('Daily Log'!$D$4:$D$369,'Daily Log'!$A$4:$A$369,"&gt;="&amp;$A40,'Daily Log'!$A$4:$A$369,"&lt;="&amp;$A40+6))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Log'!$C$4:$C$369,'Daily Log'!$A$4:$A$369,"&gt;="&amp;$A41,'Daily Log'!$A$4:$A$369,"&lt;="&amp;$A41+6))</f>
        <v/>
      </c>
      <c r="K41" s="50">
        <f>IF($A41&gt;TODAY(),"",SUMIFS('Daily Log'!$D$4:$D$369,'Daily Log'!$A$4:$A$369,"&gt;="&amp;$A41,'Daily Log'!$A$4:$A$369,"&lt;="&amp;$A41+6))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Log'!$C$4:$C$369,'Daily Log'!$A$4:$A$369,"&gt;="&amp;$A42,'Daily Log'!$A$4:$A$369,"&lt;="&amp;$A42+6))</f>
        <v/>
      </c>
      <c r="K42" s="50">
        <f>IF($A42&gt;TODAY(),"",SUMIFS('Daily Log'!$D$4:$D$369,'Daily Log'!$A$4:$A$369,"&gt;="&amp;$A42,'Daily Log'!$A$4:$A$369,"&lt;="&amp;$A42+6))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Log'!$C$4:$C$369,'Daily Log'!$A$4:$A$369,"&gt;="&amp;$A43,'Daily Log'!$A$4:$A$369,"&lt;="&amp;$A43+6))</f>
        <v/>
      </c>
      <c r="K43" s="50">
        <f>IF($A43&gt;TODAY(),"",SUMIFS('Daily Log'!$D$4:$D$369,'Daily Log'!$A$4:$A$369,"&gt;="&amp;$A43,'Daily Log'!$A$4:$A$369,"&lt;="&amp;$A43+6))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Log'!$C$4:$C$369,'Daily Log'!$A$4:$A$369,"&gt;="&amp;$A44,'Daily Log'!$A$4:$A$369,"&lt;="&amp;$A44+6))</f>
        <v/>
      </c>
      <c r="K44" s="50">
        <f>IF($A44&gt;TODAY(),"",SUMIFS('Daily Log'!$D$4:$D$369,'Daily Log'!$A$4:$A$369,"&gt;="&amp;$A44,'Daily Log'!$A$4:$A$369,"&lt;="&amp;$A44+6))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Log'!$C$4:$C$369,'Daily Log'!$A$4:$A$369,"&gt;="&amp;$A45,'Daily Log'!$A$4:$A$369,"&lt;="&amp;$A45+6))</f>
        <v/>
      </c>
      <c r="K45" s="50">
        <f>IF($A45&gt;TODAY(),"",SUMIFS('Daily Log'!$D$4:$D$369,'Daily Log'!$A$4:$A$369,"&gt;="&amp;$A45,'Daily Log'!$A$4:$A$369,"&lt;="&amp;$A45+6))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Log'!$C$4:$C$369,'Daily Log'!$A$4:$A$369,"&gt;="&amp;$A46,'Daily Log'!$A$4:$A$369,"&lt;="&amp;$A46+6))</f>
        <v/>
      </c>
      <c r="K46" s="50">
        <f>IF($A46&gt;TODAY(),"",SUMIFS('Daily Log'!$D$4:$D$369,'Daily Log'!$A$4:$A$369,"&gt;="&amp;$A46,'Daily Log'!$A$4:$A$369,"&lt;="&amp;$A46+6))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Log'!$C$4:$C$369,'Daily Log'!$A$4:$A$369,"&gt;="&amp;$A47,'Daily Log'!$A$4:$A$369,"&lt;="&amp;$A47+6))</f>
        <v/>
      </c>
      <c r="K47" s="50">
        <f>IF($A47&gt;TODAY(),"",SUMIFS('Daily Log'!$D$4:$D$369,'Daily Log'!$A$4:$A$369,"&gt;="&amp;$A47,'Daily Log'!$A$4:$A$369,"&lt;="&amp;$A47+6))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Log'!$C$4:$C$369,'Daily Log'!$A$4:$A$369,"&gt;="&amp;$A48,'Daily Log'!$A$4:$A$369,"&lt;="&amp;$A48+6))</f>
        <v/>
      </c>
      <c r="K48" s="50">
        <f>IF($A48&gt;TODAY(),"",SUMIFS('Daily Log'!$D$4:$D$369,'Daily Log'!$A$4:$A$369,"&gt;="&amp;$A48,'Daily Log'!$A$4:$A$369,"&lt;="&amp;$A48+6))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Log'!$C$4:$C$369,'Daily Log'!$A$4:$A$369,"&gt;="&amp;$A49,'Daily Log'!$A$4:$A$369,"&lt;="&amp;$A49+6))</f>
        <v/>
      </c>
      <c r="K49" s="50">
        <f>IF($A49&gt;TODAY(),"",SUMIFS('Daily Log'!$D$4:$D$369,'Daily Log'!$A$4:$A$369,"&gt;="&amp;$A49,'Daily Log'!$A$4:$A$369,"&lt;="&amp;$A49+6))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Log'!$C$4:$C$369,'Daily Log'!$A$4:$A$369,"&gt;="&amp;$A50,'Daily Log'!$A$4:$A$369,"&lt;="&amp;$A50+6))</f>
        <v/>
      </c>
      <c r="K50" s="50">
        <f>IF($A50&gt;TODAY(),"",SUMIFS('Daily Log'!$D$4:$D$369,'Daily Log'!$A$4:$A$369,"&gt;="&amp;$A50,'Daily Log'!$A$4:$A$369,"&lt;="&amp;$A50+6))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Log'!$C$4:$C$369,'Daily Log'!$A$4:$A$369,"&gt;="&amp;$A51,'Daily Log'!$A$4:$A$369,"&lt;="&amp;$A51+6))</f>
        <v/>
      </c>
      <c r="K51" s="50">
        <f>IF($A51&gt;TODAY(),"",SUMIFS('Daily Log'!$D$4:$D$369,'Daily Log'!$A$4:$A$369,"&gt;="&amp;$A51,'Daily Log'!$A$4:$A$369,"&lt;="&amp;$A51+6))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Log'!$C$4:$C$369,'Daily Log'!$A$4:$A$369,"&gt;="&amp;$A52,'Daily Log'!$A$4:$A$369,"&lt;="&amp;$A52+6))</f>
        <v/>
      </c>
      <c r="K52" s="50">
        <f>IF($A52&gt;TODAY(),"",SUMIFS('Daily Log'!$D$4:$D$369,'Daily Log'!$A$4:$A$369,"&gt;="&amp;$A52,'Daily Log'!$A$4:$A$369,"&lt;="&amp;$A52+6))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Log'!$C$4:$C$369,'Daily Log'!$A$4:$A$369,"&gt;="&amp;$A53,'Daily Log'!$A$4:$A$369,"&lt;="&amp;$A53+6))</f>
        <v/>
      </c>
      <c r="K53" s="50">
        <f>IF($A53&gt;TODAY(),"",SUMIFS('Daily Log'!$D$4:$D$369,'Daily Log'!$A$4:$A$369,"&gt;="&amp;$A53,'Daily Log'!$A$4:$A$369,"&lt;="&amp;$A53+6))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Log'!$C$4:$C$369,'Daily Log'!$A$4:$A$369,"&gt;="&amp;$A54,'Daily Log'!$A$4:$A$369,"&lt;="&amp;$A54+6))</f>
        <v/>
      </c>
      <c r="K54" s="50">
        <f>IF($A54&gt;TODAY(),"",SUMIFS('Daily Log'!$D$4:$D$369,'Daily Log'!$A$4:$A$369,"&gt;="&amp;$A54,'Daily Log'!$A$4:$A$369,"&lt;="&amp;$A54+6))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Log'!$C$4:$C$369,'Daily Log'!$A$4:$A$369,"&gt;="&amp;$A55,'Daily Log'!$A$4:$A$369,"&lt;="&amp;$A55+6))</f>
        <v/>
      </c>
      <c r="K55" s="50">
        <f>IF($A55&gt;TODAY(),"",SUMIFS('Daily Log'!$D$4:$D$369,'Daily Log'!$A$4:$A$369,"&gt;="&amp;$A55,'Daily Log'!$A$4:$A$369,"&lt;="&amp;$A55+6))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Log'!$C$4:$C$369,'Daily Log'!$A$4:$A$369,"&gt;="&amp;$A56,'Daily Log'!$A$4:$A$369,"&lt;="&amp;$A56+6))</f>
        <v/>
      </c>
      <c r="K56" s="50">
        <f>IF($A56&gt;TODAY(),"",SUMIFS('Daily Log'!$D$4:$D$369,'Daily Log'!$A$4:$A$369,"&gt;="&amp;$A56,'Daily Log'!$A$4:$A$369,"&lt;="&amp;$A56+6))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Log'!$C$4:$C$369,'Daily Log'!$A$4:$A$369,"&gt;="&amp;$A57,'Daily Log'!$A$4:$A$369,"&lt;="&amp;$A57+6))</f>
        <v/>
      </c>
      <c r="K57" s="50">
        <f>IF($A57&gt;TODAY(),"",SUMIFS('Daily Log'!$D$4:$D$369,'Daily Log'!$A$4:$A$369,"&gt;="&amp;$A57,'Daily Log'!$A$4:$A$369,"&lt;="&amp;$A57+6))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Log'!$C$4:$C$369,'Daily Log'!$A$4:$A$369,"&gt;="&amp;$A58,'Daily Log'!$A$4:$A$369,"&lt;="&amp;$A58+6))</f>
        <v/>
      </c>
      <c r="K58" s="50">
        <f>IF($A58&gt;TODAY(),"",SUMIFS('Daily Log'!$D$4:$D$369,'Daily Log'!$A$4:$A$369,"&gt;="&amp;$A58,'Daily Log'!$A$4:$A$369,"&lt;="&amp;$A58+6))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Log'!$C$4:$C$369,'Daily Log'!$A$4:$A$369,"&gt;="&amp;$A59,'Daily Log'!$A$4:$A$369,"&lt;="&amp;$A59+6))</f>
        <v/>
      </c>
      <c r="K59" s="50">
        <f>IF($A59&gt;TODAY(),"",SUMIFS('Daily Log'!$D$4:$D$369,'Daily Log'!$A$4:$A$369,"&gt;="&amp;$A59,'Daily Log'!$A$4:$A$369,"&lt;="&amp;$A59+6))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Log'!$C$4:$C$369,'Daily Log'!$A$4:$A$369,"&gt;="&amp;$A60,'Daily Log'!$A$4:$A$369,"&lt;="&amp;$A60+6))</f>
        <v/>
      </c>
      <c r="K60" s="50">
        <f>IF($A60&gt;TODAY(),"",SUMIFS('Daily Log'!$D$4:$D$369,'Daily Log'!$A$4:$A$369,"&gt;="&amp;$A60,'Daily Log'!$A$4:$A$369,"&lt;="&amp;$A60+6))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Log'!$C$4:$C$369,'Daily Log'!$A$4:$A$369,"&gt;="&amp;$A61,'Daily Log'!$A$4:$A$369,"&lt;="&amp;$A61+6))</f>
        <v/>
      </c>
      <c r="K61" s="50">
        <f>IF($A61&gt;TODAY(),"",SUMIFS('Daily Log'!$D$4:$D$369,'Daily Log'!$A$4:$A$369,"&gt;="&amp;$A61,'Daily Log'!$A$4:$A$369,"&lt;="&amp;$A61+6))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Log'!$C$4:$C$369,'Daily Log'!$A$4:$A$369,"&gt;="&amp;$A62,'Daily Log'!$A$4:$A$369,"&lt;="&amp;$A62+6))</f>
        <v/>
      </c>
      <c r="K62" s="50">
        <f>IF($A62&gt;TODAY(),"",SUMIFS('Daily Log'!$D$4:$D$369,'Daily Log'!$A$4:$A$369,"&gt;="&amp;$A62,'Daily Log'!$A$4:$A$369,"&lt;="&amp;$A62+6))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Log'!$C$4:$C$369,'Daily Log'!$A$4:$A$369,"&gt;="&amp;$A63,'Daily Log'!$A$4:$A$369,"&lt;="&amp;$A63+6))</f>
        <v/>
      </c>
      <c r="K63" s="50">
        <f>IF($A63&gt;TODAY(),"",SUMIFS('Daily Log'!$D$4:$D$369,'Daily Log'!$A$4:$A$369,"&gt;="&amp;$A63,'Daily Log'!$A$4:$A$369,"&lt;="&amp;$A63+6))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Log'!$C$4:$C$369,'Daily Log'!$A$4:$A$369,"&gt;="&amp;$A64,'Daily Log'!$A$4:$A$369,"&lt;="&amp;$A64+6))</f>
        <v/>
      </c>
      <c r="K64" s="50">
        <f>IF($A64&gt;TODAY(),"",SUMIFS('Daily Log'!$D$4:$D$369,'Daily Log'!$A$4:$A$369,"&gt;="&amp;$A64,'Daily Log'!$A$4:$A$369,"&lt;="&amp;$A64+6))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Log'!$C$4:$C$369,'Daily Log'!$A$4:$A$369,"&gt;="&amp;$A65,'Daily Log'!$A$4:$A$369,"&lt;="&amp;$A65+6))</f>
        <v/>
      </c>
      <c r="K65" s="50">
        <f>IF($A65&gt;TODAY(),"",SUMIFS('Daily Log'!$D$4:$D$369,'Daily Log'!$A$4:$A$369,"&gt;="&amp;$A65,'Daily Log'!$A$4:$A$369,"&lt;="&amp;$A65+6))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Log'!$C$4:$C$369,'Daily Log'!$A$4:$A$369,"&gt;="&amp;$A66,'Daily Log'!$A$4:$A$369,"&lt;="&amp;$A66+6))</f>
        <v/>
      </c>
      <c r="K66" s="50">
        <f>IF($A66&gt;TODAY(),"",SUMIFS('Daily Log'!$D$4:$D$369,'Daily Log'!$A$4:$A$369,"&gt;="&amp;$A66,'Daily Log'!$A$4:$A$369,"&lt;="&amp;$A66+6))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Log'!$C$4:$C$369,'Daily Log'!$A$4:$A$369,"&gt;="&amp;$A67,'Daily Log'!$A$4:$A$369,"&lt;="&amp;$A67+6))</f>
        <v/>
      </c>
      <c r="K67" s="50">
        <f>IF($A67&gt;TODAY(),"",SUMIFS('Daily Log'!$D$4:$D$369,'Daily Log'!$A$4:$A$369,"&gt;="&amp;$A67,'Daily Log'!$A$4:$A$369,"&lt;="&amp;$A67+6))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Log'!$C$4:$C$369,'Daily Log'!$A$4:$A$369,"&gt;="&amp;$A68,'Daily Log'!$A$4:$A$369,"&lt;="&amp;$A68+6))</f>
        <v/>
      </c>
      <c r="K68" s="50">
        <f>IF($A68&gt;TODAY(),"",SUMIFS('Daily Log'!$D$4:$D$369,'Daily Log'!$A$4:$A$369,"&gt;="&amp;$A68,'Daily Log'!$A$4:$A$369,"&lt;="&amp;$A68+6))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Log'!$C$4:$C$369,'Daily Log'!$A$4:$A$369,"&gt;="&amp;$A69,'Daily Log'!$A$4:$A$369,"&lt;="&amp;$A69+6))</f>
        <v/>
      </c>
      <c r="K69" s="50">
        <f>IF($A69&gt;TODAY(),"",SUMIFS('Daily Log'!$D$4:$D$369,'Daily Log'!$A$4:$A$369,"&gt;="&amp;$A69,'Daily Log'!$A$4:$A$369,"&lt;="&amp;$A69+6))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Log'!$C$4:$C$369,'Daily Log'!$A$4:$A$369,"&gt;="&amp;$A70,'Daily Log'!$A$4:$A$369,"&lt;="&amp;$A70+6))</f>
        <v/>
      </c>
      <c r="K70" s="50">
        <f>IF($A70&gt;TODAY(),"",SUMIFS('Daily Log'!$D$4:$D$369,'Daily Log'!$A$4:$A$369,"&gt;="&amp;$A70,'Daily Log'!$A$4:$A$369,"&lt;="&amp;$A70+6))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Log'!$C$4:$C$369,'Daily Log'!$A$4:$A$369,"&gt;="&amp;$A71,'Daily Log'!$A$4:$A$369,"&lt;="&amp;$A71+6))</f>
        <v/>
      </c>
      <c r="K71" s="50">
        <f>IF($A71&gt;TODAY(),"",SUMIFS('Daily Log'!$D$4:$D$369,'Daily Log'!$A$4:$A$369,"&gt;="&amp;$A71,'Daily Log'!$A$4:$A$369,"&lt;="&amp;$A71+6))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Log'!$C$4:$C$369,'Daily Log'!$A$4:$A$369,"&gt;="&amp;$A72,'Daily Log'!$A$4:$A$369,"&lt;="&amp;$A72+6))</f>
        <v/>
      </c>
      <c r="K72" s="50">
        <f>IF($A72&gt;TODAY(),"",SUMIFS('Daily Log'!$D$4:$D$369,'Daily Log'!$A$4:$A$369,"&gt;="&amp;$A72,'Daily Log'!$A$4:$A$369,"&lt;="&amp;$A72+6))</f>
        <v/>
      </c>
      <c r="L72" s="79">
        <f>IFERROR(E72/J72,"")</f>
        <v/>
      </c>
      <c r="M72" s="79">
        <f>IFERROR(H72/E72*1000,"")</f>
        <v/>
      </c>
      <c r="N72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Healthy
floor</t>
        </is>
      </c>
      <c r="D10" s="6" t="inlineStr">
        <is>
          <t>Healthy
ceiling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 Nothing downstream can beat this number.</t>
        </is>
      </c>
      <c r="C11" s="89" t="n">
        <v>0.1</v>
      </c>
      <c r="D11" s="89" t="n">
        <v>0.25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ask. This is the most common place the whole thing quietly dies.</t>
        </is>
      </c>
      <c r="C12" s="89" t="n">
        <v>0.3</v>
      </c>
      <c r="D12" s="89" t="n">
        <v>0.6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 when you make it.</t>
        </is>
      </c>
      <c r="C13" s="89" t="n">
        <v>0.2</v>
      </c>
      <c r="D13" s="89" t="n">
        <v>0.4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 This is a confirmation problem, almost never a booking problem.</t>
        </is>
      </c>
      <c r="C14" s="89" t="n">
        <v>0.6</v>
      </c>
      <c r="D14" s="89" t="n">
        <v>0.85</v>
      </c>
    </row>
    <row r="15" ht="20" customHeight="1">
      <c r="A15" s="48" t="inlineStr">
        <is>
          <t>Close rate</t>
        </is>
      </c>
      <c r="B15" s="88" t="inlineStr">
        <is>
          <t>Closes ÷ showed — The offer and the call itself — but only for the people who actually turned up.</t>
        </is>
      </c>
      <c r="C15" s="89" t="n">
        <v>0.2</v>
      </c>
      <c r="D15" s="89" t="n">
        <v>0.4</v>
      </c>
    </row>
    <row r="16" ht="32" customHeight="1">
      <c r="B16" s="90" t="inlineStr">
        <is>
          <t>These are The Called's working numbers, not gospel — they are cream cells because they are yours to change. The KPI Dashboard colours your rates against the FLOOR column: edit a floor here and the dashboard re-grades itself. Once you have enough client history, replace these with what you actually see.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 and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and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“a quick chat”.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again the morning of. A confirmation they don't reply to isn't a confirmation.</t>
        </is>
      </c>
    </row>
    <row r="41" ht="17" customHeight="1">
      <c r="A41" s="94" t="inlineStr">
        <is>
          <t>If it's high</t>
        </is>
      </c>
      <c r="B41" s="4" t="inlineStr">
        <is>
          <t>Your bookings are real. Push volume upstream.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then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does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Use it</t>
        </is>
      </c>
      <c r="B85" s="4" t="inlineStr">
        <is>
          <t>A gap means payment plans or unpaid invoices. Neither is wrong — but manage your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Watch</t>
        </is>
      </c>
      <c r="B94" s="4" t="inlineStr">
        <is>
          <t>If it's falling, post more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Watch</t>
        </is>
      </c>
      <c r="B98" s="4" t="inlineStr">
        <is>
          <t>Falling while reach rises means you're being shown to the wrong people. A viral reel that brings the wrong audience makes your DMs worse, not better.</t>
        </is>
      </c>
    </row>
    <row r="100" ht="20" customHeight="1">
      <c r="A100" s="91" t="inlineStr">
        <is>
          <t>REACH PER POST</t>
        </is>
      </c>
    </row>
    <row r="101" ht="17" customHeight="1">
      <c r="A101" s="92" t="inlineStr">
        <is>
          <t>What it is</t>
        </is>
      </c>
      <c r="B101" s="4" t="inlineStr">
        <is>
          <t>How far the average post travels. Rising reach on flat post count is the good kind of growth.</t>
        </is>
      </c>
    </row>
    <row r="102" ht="30" customHeight="1">
      <c r="A102" s="92" t="inlineStr">
        <is>
          <t>Watch</t>
        </is>
      </c>
      <c r="B102" s="4" t="inlineStr">
        <is>
          <t>Compare it to reach — if reach is only up because you posted more, reach per post tells you the content itself didn't improve.</t>
        </is>
      </c>
    </row>
    <row r="104" ht="21" customHeight="1">
      <c r="A104" s="5" t="inlineStr">
        <is>
          <t>FIVE TRAPS</t>
        </is>
      </c>
    </row>
    <row r="105" ht="18" customHeight="1">
      <c r="A105" s="95" t="inlineStr">
        <is>
          <t>1.</t>
        </is>
      </c>
      <c r="B105" s="4" t="inlineStr">
        <is>
          <t>One week is not a trend. Three weeks minimum before you change strategy off a number.</t>
        </is>
      </c>
    </row>
    <row r="106" ht="18" customHeight="1">
      <c r="A106" s="95" t="inlineStr">
        <is>
          <t>2.</t>
        </is>
      </c>
      <c r="B106" s="4" t="inlineStr">
        <is>
          <t>A low close rate with a high book rate is a qualification problem, not a closing problem.</t>
        </is>
      </c>
    </row>
    <row r="107" ht="31" customHeight="1">
      <c r="A107" s="95" t="inlineStr">
        <is>
          <t>3.</t>
        </is>
      </c>
      <c r="B107" s="4" t="inlineStr">
        <is>
          <t>Cash lags the work by two to four weeks. Don't panic in the middle of the lag — look at the activity numbers instead, they move first.</t>
        </is>
      </c>
    </row>
    <row r="108" ht="31" customHeight="1">
      <c r="A108" s="95" t="inlineStr">
        <is>
          <t>4.</t>
        </is>
      </c>
      <c r="B108" s="4" t="inlineStr">
        <is>
          <t>Blank is not zero. A blank day tells the sheet you didn't track; a zero tells it you didn't work. Only one of those is honest.</t>
        </is>
      </c>
    </row>
    <row r="109" ht="31" customHeight="1">
      <c r="A109" s="95" t="inlineStr">
        <is>
          <t>5.</t>
        </is>
      </c>
      <c r="B109" s="4" t="inlineStr">
        <is>
          <t>Don't fix two things at once. You'll never know which one worked, and you'll keep doing both forever.</t>
        </is>
      </c>
    </row>
  </sheetData>
  <mergeCells count="26">
    <mergeCell ref="A92:B92"/>
    <mergeCell ref="A60:B60"/>
    <mergeCell ref="A4:D4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00:B100"/>
    <mergeCell ref="A18:D18"/>
    <mergeCell ref="A96:B96"/>
    <mergeCell ref="A74:D74"/>
    <mergeCell ref="A43:B43"/>
    <mergeCell ref="A19:B19"/>
    <mergeCell ref="A104:D104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Log'!$Q$4:$Q$369,'Daily Log'!$A$4:$A$369,"&gt;="&amp;$A4,'Daily Log'!$A$4:$A$369,"&lt;="&amp;$A4+6))</f>
        <v/>
      </c>
      <c r="D4" s="50">
        <f>IF($A4&lt;Setup!$C$9,"",SUMIFS('Daily Log'!$C$4:$C$369,'Daily Log'!$A$4:$A$369,"&gt;="&amp;$A4,'Daily Log'!$A$4:$A$369,"&lt;="&amp;$A4+6))</f>
        <v/>
      </c>
      <c r="E4" s="50">
        <f>IF($A4&lt;Setup!$C$9,"",SUMIFS('Daily Log'!$D$4:$D$369,'Daily Log'!$A$4:$A$369,"&gt;="&amp;$A4,'Daily Log'!$A$4:$A$369,"&lt;="&amp;$A4+6))</f>
        <v/>
      </c>
      <c r="F4" s="50">
        <f>IF($A4&lt;Setup!$C$9,"",SUMIFS('Daily Log'!$E$4:$E$369,'Daily Log'!$A$4:$A$369,"&gt;="&amp;$A4,'Daily Log'!$A$4:$A$369,"&lt;="&amp;$A4+6))</f>
        <v/>
      </c>
      <c r="G4" s="50">
        <f>IF($A4&lt;Setup!$C$9,"",SUMIFS('Daily Log'!$F$4:$F$369,'Daily Log'!$A$4:$A$369,"&gt;="&amp;$A4,'Daily Log'!$A$4:$A$369,"&lt;="&amp;$A4+6))</f>
        <v/>
      </c>
      <c r="H4" s="50">
        <f>IF($A4&lt;Setup!$C$9,"",IFERROR(F4+G4,""))</f>
        <v/>
      </c>
      <c r="I4" s="50">
        <f>IF($A4&lt;Setup!$C$9,"",SUMIFS('Daily Log'!$G$4:$G$369,'Daily Log'!$A$4:$A$369,"&gt;="&amp;$A4,'Daily Log'!$A$4:$A$369,"&lt;="&amp;$A4+6))</f>
        <v/>
      </c>
      <c r="J4" s="50">
        <f>IF($A4&lt;Setup!$C$9,"",SUMIFS('Daily Log'!$H$4:$H$369,'Daily Log'!$A$4:$A$369,"&gt;="&amp;$A4,'Daily Log'!$A$4:$A$369,"&lt;="&amp;$A4+6))</f>
        <v/>
      </c>
      <c r="K4" s="50">
        <f>IF($A4&lt;Setup!$C$9,"",SUMIFS('Daily Log'!$I$4:$I$369,'Daily Log'!$A$4:$A$369,"&gt;="&amp;$A4,'Daily Log'!$A$4:$A$369,"&lt;="&amp;$A4+6))</f>
        <v/>
      </c>
      <c r="L4" s="50">
        <f>IF($A4&lt;Setup!$C$9,"",SUMIFS('Daily Log'!$J$4:$J$369,'Daily Log'!$A$4:$A$369,"&gt;="&amp;$A4,'Daily Log'!$A$4:$A$369,"&lt;="&amp;$A4+6))</f>
        <v/>
      </c>
      <c r="M4" s="50">
        <f>IF($A4&lt;Setup!$C$9,"",SUMIFS('Daily Log'!$K$4:$K$369,'Daily Log'!$A$4:$A$369,"&gt;="&amp;$A4,'Daily Log'!$A$4:$A$369,"&lt;="&amp;$A4+6))</f>
        <v/>
      </c>
      <c r="N4" s="56">
        <f>IF($A4&lt;Setup!$C$9,"",SUMIFS('Daily Log'!$L$4:$L$369,'Daily Log'!$A$4:$A$369,"&gt;="&amp;$A4,'Daily Log'!$A$4:$A$369,"&lt;="&amp;$A4+6))</f>
        <v/>
      </c>
      <c r="O4" s="56">
        <f>IF($A4&lt;Setup!$C$9,"",SUMIFS('Daily Log'!$M$4:$M$369,'Daily Log'!$A$4:$A$369,"&gt;="&amp;$A4,'Daily Log'!$A$4:$A$369,"&lt;="&amp;$A4+6))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Log'!$Q$4:$Q$369,'Daily Log'!$A$4:$A$369,"&gt;="&amp;$A5,'Daily Log'!$A$4:$A$369,"&lt;="&amp;$A5+6))</f>
        <v/>
      </c>
      <c r="D5" s="50">
        <f>IF($A5&lt;Setup!$C$9,"",SUMIFS('Daily Log'!$C$4:$C$369,'Daily Log'!$A$4:$A$369,"&gt;="&amp;$A5,'Daily Log'!$A$4:$A$369,"&lt;="&amp;$A5+6))</f>
        <v/>
      </c>
      <c r="E5" s="50">
        <f>IF($A5&lt;Setup!$C$9,"",SUMIFS('Daily Log'!$D$4:$D$369,'Daily Log'!$A$4:$A$369,"&gt;="&amp;$A5,'Daily Log'!$A$4:$A$369,"&lt;="&amp;$A5+6))</f>
        <v/>
      </c>
      <c r="F5" s="50">
        <f>IF($A5&lt;Setup!$C$9,"",SUMIFS('Daily Log'!$E$4:$E$369,'Daily Log'!$A$4:$A$369,"&gt;="&amp;$A5,'Daily Log'!$A$4:$A$369,"&lt;="&amp;$A5+6))</f>
        <v/>
      </c>
      <c r="G5" s="50">
        <f>IF($A5&lt;Setup!$C$9,"",SUMIFS('Daily Log'!$F$4:$F$369,'Daily Log'!$A$4:$A$369,"&gt;="&amp;$A5,'Daily Log'!$A$4:$A$369,"&lt;="&amp;$A5+6))</f>
        <v/>
      </c>
      <c r="H5" s="50">
        <f>IF($A5&lt;Setup!$C$9,"",IFERROR(F5+G5,""))</f>
        <v/>
      </c>
      <c r="I5" s="50">
        <f>IF($A5&lt;Setup!$C$9,"",SUMIFS('Daily Log'!$G$4:$G$369,'Daily Log'!$A$4:$A$369,"&gt;="&amp;$A5,'Daily Log'!$A$4:$A$369,"&lt;="&amp;$A5+6))</f>
        <v/>
      </c>
      <c r="J5" s="50">
        <f>IF($A5&lt;Setup!$C$9,"",SUMIFS('Daily Log'!$H$4:$H$369,'Daily Log'!$A$4:$A$369,"&gt;="&amp;$A5,'Daily Log'!$A$4:$A$369,"&lt;="&amp;$A5+6))</f>
        <v/>
      </c>
      <c r="K5" s="50">
        <f>IF($A5&lt;Setup!$C$9,"",SUMIFS('Daily Log'!$I$4:$I$369,'Daily Log'!$A$4:$A$369,"&gt;="&amp;$A5,'Daily Log'!$A$4:$A$369,"&lt;="&amp;$A5+6))</f>
        <v/>
      </c>
      <c r="L5" s="50">
        <f>IF($A5&lt;Setup!$C$9,"",SUMIFS('Daily Log'!$J$4:$J$369,'Daily Log'!$A$4:$A$369,"&gt;="&amp;$A5,'Daily Log'!$A$4:$A$369,"&lt;="&amp;$A5+6))</f>
        <v/>
      </c>
      <c r="M5" s="50">
        <f>IF($A5&lt;Setup!$C$9,"",SUMIFS('Daily Log'!$K$4:$K$369,'Daily Log'!$A$4:$A$369,"&gt;="&amp;$A5,'Daily Log'!$A$4:$A$369,"&lt;="&amp;$A5+6))</f>
        <v/>
      </c>
      <c r="N5" s="56">
        <f>IF($A5&lt;Setup!$C$9,"",SUMIFS('Daily Log'!$L$4:$L$369,'Daily Log'!$A$4:$A$369,"&gt;="&amp;$A5,'Daily Log'!$A$4:$A$369,"&lt;="&amp;$A5+6))</f>
        <v/>
      </c>
      <c r="O5" s="56">
        <f>IF($A5&lt;Setup!$C$9,"",SUMIFS('Daily Log'!$M$4:$M$369,'Daily Log'!$A$4:$A$369,"&gt;="&amp;$A5,'Daily Log'!$A$4:$A$369,"&lt;="&amp;$A5+6))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Log'!$Q$4:$Q$369,'Daily Log'!$A$4:$A$369,"&gt;="&amp;$A6,'Daily Log'!$A$4:$A$369,"&lt;="&amp;$A6+6))</f>
        <v/>
      </c>
      <c r="D6" s="50">
        <f>IF($A6&lt;Setup!$C$9,"",SUMIFS('Daily Log'!$C$4:$C$369,'Daily Log'!$A$4:$A$369,"&gt;="&amp;$A6,'Daily Log'!$A$4:$A$369,"&lt;="&amp;$A6+6))</f>
        <v/>
      </c>
      <c r="E6" s="50">
        <f>IF($A6&lt;Setup!$C$9,"",SUMIFS('Daily Log'!$D$4:$D$369,'Daily Log'!$A$4:$A$369,"&gt;="&amp;$A6,'Daily Log'!$A$4:$A$369,"&lt;="&amp;$A6+6))</f>
        <v/>
      </c>
      <c r="F6" s="50">
        <f>IF($A6&lt;Setup!$C$9,"",SUMIFS('Daily Log'!$E$4:$E$369,'Daily Log'!$A$4:$A$369,"&gt;="&amp;$A6,'Daily Log'!$A$4:$A$369,"&lt;="&amp;$A6+6))</f>
        <v/>
      </c>
      <c r="G6" s="50">
        <f>IF($A6&lt;Setup!$C$9,"",SUMIFS('Daily Log'!$F$4:$F$369,'Daily Log'!$A$4:$A$369,"&gt;="&amp;$A6,'Daily Log'!$A$4:$A$369,"&lt;="&amp;$A6+6))</f>
        <v/>
      </c>
      <c r="H6" s="50">
        <f>IF($A6&lt;Setup!$C$9,"",IFERROR(F6+G6,""))</f>
        <v/>
      </c>
      <c r="I6" s="50">
        <f>IF($A6&lt;Setup!$C$9,"",SUMIFS('Daily Log'!$G$4:$G$369,'Daily Log'!$A$4:$A$369,"&gt;="&amp;$A6,'Daily Log'!$A$4:$A$369,"&lt;="&amp;$A6+6))</f>
        <v/>
      </c>
      <c r="J6" s="50">
        <f>IF($A6&lt;Setup!$C$9,"",SUMIFS('Daily Log'!$H$4:$H$369,'Daily Log'!$A$4:$A$369,"&gt;="&amp;$A6,'Daily Log'!$A$4:$A$369,"&lt;="&amp;$A6+6))</f>
        <v/>
      </c>
      <c r="K6" s="50">
        <f>IF($A6&lt;Setup!$C$9,"",SUMIFS('Daily Log'!$I$4:$I$369,'Daily Log'!$A$4:$A$369,"&gt;="&amp;$A6,'Daily Log'!$A$4:$A$369,"&lt;="&amp;$A6+6))</f>
        <v/>
      </c>
      <c r="L6" s="50">
        <f>IF($A6&lt;Setup!$C$9,"",SUMIFS('Daily Log'!$J$4:$J$369,'Daily Log'!$A$4:$A$369,"&gt;="&amp;$A6,'Daily Log'!$A$4:$A$369,"&lt;="&amp;$A6+6))</f>
        <v/>
      </c>
      <c r="M6" s="50">
        <f>IF($A6&lt;Setup!$C$9,"",SUMIFS('Daily Log'!$K$4:$K$369,'Daily Log'!$A$4:$A$369,"&gt;="&amp;$A6,'Daily Log'!$A$4:$A$369,"&lt;="&amp;$A6+6))</f>
        <v/>
      </c>
      <c r="N6" s="56">
        <f>IF($A6&lt;Setup!$C$9,"",SUMIFS('Daily Log'!$L$4:$L$369,'Daily Log'!$A$4:$A$369,"&gt;="&amp;$A6,'Daily Log'!$A$4:$A$369,"&lt;="&amp;$A6+6))</f>
        <v/>
      </c>
      <c r="O6" s="56">
        <f>IF($A6&lt;Setup!$C$9,"",SUMIFS('Daily Log'!$M$4:$M$369,'Daily Log'!$A$4:$A$369,"&gt;="&amp;$A6,'Daily Log'!$A$4:$A$369,"&lt;="&amp;$A6+6))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Log'!$Q$4:$Q$369,'Daily Log'!$A$4:$A$369,"&gt;="&amp;$A7,'Daily Log'!$A$4:$A$369,"&lt;="&amp;$A7+6))</f>
        <v/>
      </c>
      <c r="D7" s="50">
        <f>IF($A7&lt;Setup!$C$9,"",SUMIFS('Daily Log'!$C$4:$C$369,'Daily Log'!$A$4:$A$369,"&gt;="&amp;$A7,'Daily Log'!$A$4:$A$369,"&lt;="&amp;$A7+6))</f>
        <v/>
      </c>
      <c r="E7" s="50">
        <f>IF($A7&lt;Setup!$C$9,"",SUMIFS('Daily Log'!$D$4:$D$369,'Daily Log'!$A$4:$A$369,"&gt;="&amp;$A7,'Daily Log'!$A$4:$A$369,"&lt;="&amp;$A7+6))</f>
        <v/>
      </c>
      <c r="F7" s="50">
        <f>IF($A7&lt;Setup!$C$9,"",SUMIFS('Daily Log'!$E$4:$E$369,'Daily Log'!$A$4:$A$369,"&gt;="&amp;$A7,'Daily Log'!$A$4:$A$369,"&lt;="&amp;$A7+6))</f>
        <v/>
      </c>
      <c r="G7" s="50">
        <f>IF($A7&lt;Setup!$C$9,"",SUMIFS('Daily Log'!$F$4:$F$369,'Daily Log'!$A$4:$A$369,"&gt;="&amp;$A7,'Daily Log'!$A$4:$A$369,"&lt;="&amp;$A7+6))</f>
        <v/>
      </c>
      <c r="H7" s="50">
        <f>IF($A7&lt;Setup!$C$9,"",IFERROR(F7+G7,""))</f>
        <v/>
      </c>
      <c r="I7" s="50">
        <f>IF($A7&lt;Setup!$C$9,"",SUMIFS('Daily Log'!$G$4:$G$369,'Daily Log'!$A$4:$A$369,"&gt;="&amp;$A7,'Daily Log'!$A$4:$A$369,"&lt;="&amp;$A7+6))</f>
        <v/>
      </c>
      <c r="J7" s="50">
        <f>IF($A7&lt;Setup!$C$9,"",SUMIFS('Daily Log'!$H$4:$H$369,'Daily Log'!$A$4:$A$369,"&gt;="&amp;$A7,'Daily Log'!$A$4:$A$369,"&lt;="&amp;$A7+6))</f>
        <v/>
      </c>
      <c r="K7" s="50">
        <f>IF($A7&lt;Setup!$C$9,"",SUMIFS('Daily Log'!$I$4:$I$369,'Daily Log'!$A$4:$A$369,"&gt;="&amp;$A7,'Daily Log'!$A$4:$A$369,"&lt;="&amp;$A7+6))</f>
        <v/>
      </c>
      <c r="L7" s="50">
        <f>IF($A7&lt;Setup!$C$9,"",SUMIFS('Daily Log'!$J$4:$J$369,'Daily Log'!$A$4:$A$369,"&gt;="&amp;$A7,'Daily Log'!$A$4:$A$369,"&lt;="&amp;$A7+6))</f>
        <v/>
      </c>
      <c r="M7" s="50">
        <f>IF($A7&lt;Setup!$C$9,"",SUMIFS('Daily Log'!$K$4:$K$369,'Daily Log'!$A$4:$A$369,"&gt;="&amp;$A7,'Daily Log'!$A$4:$A$369,"&lt;="&amp;$A7+6))</f>
        <v/>
      </c>
      <c r="N7" s="56">
        <f>IF($A7&lt;Setup!$C$9,"",SUMIFS('Daily Log'!$L$4:$L$369,'Daily Log'!$A$4:$A$369,"&gt;="&amp;$A7,'Daily Log'!$A$4:$A$369,"&lt;="&amp;$A7+6))</f>
        <v/>
      </c>
      <c r="O7" s="56">
        <f>IF($A7&lt;Setup!$C$9,"",SUMIFS('Daily Log'!$M$4:$M$369,'Daily Log'!$A$4:$A$369,"&gt;="&amp;$A7,'Daily Log'!$A$4:$A$369,"&lt;="&amp;$A7+6))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Log'!$Q$4:$Q$369,'Daily Log'!$A$4:$A$369,"&gt;="&amp;$A8,'Daily Log'!$A$4:$A$369,"&lt;="&amp;$A8+6))</f>
        <v/>
      </c>
      <c r="D8" s="50">
        <f>IF($A8&lt;Setup!$C$9,"",SUMIFS('Daily Log'!$C$4:$C$369,'Daily Log'!$A$4:$A$369,"&gt;="&amp;$A8,'Daily Log'!$A$4:$A$369,"&lt;="&amp;$A8+6))</f>
        <v/>
      </c>
      <c r="E8" s="50">
        <f>IF($A8&lt;Setup!$C$9,"",SUMIFS('Daily Log'!$D$4:$D$369,'Daily Log'!$A$4:$A$369,"&gt;="&amp;$A8,'Daily Log'!$A$4:$A$369,"&lt;="&amp;$A8+6))</f>
        <v/>
      </c>
      <c r="F8" s="50">
        <f>IF($A8&lt;Setup!$C$9,"",SUMIFS('Daily Log'!$E$4:$E$369,'Daily Log'!$A$4:$A$369,"&gt;="&amp;$A8,'Daily Log'!$A$4:$A$369,"&lt;="&amp;$A8+6))</f>
        <v/>
      </c>
      <c r="G8" s="50">
        <f>IF($A8&lt;Setup!$C$9,"",SUMIFS('Daily Log'!$F$4:$F$369,'Daily Log'!$A$4:$A$369,"&gt;="&amp;$A8,'Daily Log'!$A$4:$A$369,"&lt;="&amp;$A8+6))</f>
        <v/>
      </c>
      <c r="H8" s="50">
        <f>IF($A8&lt;Setup!$C$9,"",IFERROR(F8+G8,""))</f>
        <v/>
      </c>
      <c r="I8" s="50">
        <f>IF($A8&lt;Setup!$C$9,"",SUMIFS('Daily Log'!$G$4:$G$369,'Daily Log'!$A$4:$A$369,"&gt;="&amp;$A8,'Daily Log'!$A$4:$A$369,"&lt;="&amp;$A8+6))</f>
        <v/>
      </c>
      <c r="J8" s="50">
        <f>IF($A8&lt;Setup!$C$9,"",SUMIFS('Daily Log'!$H$4:$H$369,'Daily Log'!$A$4:$A$369,"&gt;="&amp;$A8,'Daily Log'!$A$4:$A$369,"&lt;="&amp;$A8+6))</f>
        <v/>
      </c>
      <c r="K8" s="50">
        <f>IF($A8&lt;Setup!$C$9,"",SUMIFS('Daily Log'!$I$4:$I$369,'Daily Log'!$A$4:$A$369,"&gt;="&amp;$A8,'Daily Log'!$A$4:$A$369,"&lt;="&amp;$A8+6))</f>
        <v/>
      </c>
      <c r="L8" s="50">
        <f>IF($A8&lt;Setup!$C$9,"",SUMIFS('Daily Log'!$J$4:$J$369,'Daily Log'!$A$4:$A$369,"&gt;="&amp;$A8,'Daily Log'!$A$4:$A$369,"&lt;="&amp;$A8+6))</f>
        <v/>
      </c>
      <c r="M8" s="50">
        <f>IF($A8&lt;Setup!$C$9,"",SUMIFS('Daily Log'!$K$4:$K$369,'Daily Log'!$A$4:$A$369,"&gt;="&amp;$A8,'Daily Log'!$A$4:$A$369,"&lt;="&amp;$A8+6))</f>
        <v/>
      </c>
      <c r="N8" s="56">
        <f>IF($A8&lt;Setup!$C$9,"",SUMIFS('Daily Log'!$L$4:$L$369,'Daily Log'!$A$4:$A$369,"&gt;="&amp;$A8,'Daily Log'!$A$4:$A$369,"&lt;="&amp;$A8+6))</f>
        <v/>
      </c>
      <c r="O8" s="56">
        <f>IF($A8&lt;Setup!$C$9,"",SUMIFS('Daily Log'!$M$4:$M$369,'Daily Log'!$A$4:$A$369,"&gt;="&amp;$A8,'Daily Log'!$A$4:$A$369,"&lt;="&amp;$A8+6))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Log'!$Q$4:$Q$369,'Daily Log'!$A$4:$A$369,"&gt;="&amp;$A9,'Daily Log'!$A$4:$A$369,"&lt;="&amp;$A9+6))</f>
        <v/>
      </c>
      <c r="D9" s="50">
        <f>IF($A9&lt;Setup!$C$9,"",SUMIFS('Daily Log'!$C$4:$C$369,'Daily Log'!$A$4:$A$369,"&gt;="&amp;$A9,'Daily Log'!$A$4:$A$369,"&lt;="&amp;$A9+6))</f>
        <v/>
      </c>
      <c r="E9" s="50">
        <f>IF($A9&lt;Setup!$C$9,"",SUMIFS('Daily Log'!$D$4:$D$369,'Daily Log'!$A$4:$A$369,"&gt;="&amp;$A9,'Daily Log'!$A$4:$A$369,"&lt;="&amp;$A9+6))</f>
        <v/>
      </c>
      <c r="F9" s="50">
        <f>IF($A9&lt;Setup!$C$9,"",SUMIFS('Daily Log'!$E$4:$E$369,'Daily Log'!$A$4:$A$369,"&gt;="&amp;$A9,'Daily Log'!$A$4:$A$369,"&lt;="&amp;$A9+6))</f>
        <v/>
      </c>
      <c r="G9" s="50">
        <f>IF($A9&lt;Setup!$C$9,"",SUMIFS('Daily Log'!$F$4:$F$369,'Daily Log'!$A$4:$A$369,"&gt;="&amp;$A9,'Daily Log'!$A$4:$A$369,"&lt;="&amp;$A9+6))</f>
        <v/>
      </c>
      <c r="H9" s="50">
        <f>IF($A9&lt;Setup!$C$9,"",IFERROR(F9+G9,""))</f>
        <v/>
      </c>
      <c r="I9" s="50">
        <f>IF($A9&lt;Setup!$C$9,"",SUMIFS('Daily Log'!$G$4:$G$369,'Daily Log'!$A$4:$A$369,"&gt;="&amp;$A9,'Daily Log'!$A$4:$A$369,"&lt;="&amp;$A9+6))</f>
        <v/>
      </c>
      <c r="J9" s="50">
        <f>IF($A9&lt;Setup!$C$9,"",SUMIFS('Daily Log'!$H$4:$H$369,'Daily Log'!$A$4:$A$369,"&gt;="&amp;$A9,'Daily Log'!$A$4:$A$369,"&lt;="&amp;$A9+6))</f>
        <v/>
      </c>
      <c r="K9" s="50">
        <f>IF($A9&lt;Setup!$C$9,"",SUMIFS('Daily Log'!$I$4:$I$369,'Daily Log'!$A$4:$A$369,"&gt;="&amp;$A9,'Daily Log'!$A$4:$A$369,"&lt;="&amp;$A9+6))</f>
        <v/>
      </c>
      <c r="L9" s="50">
        <f>IF($A9&lt;Setup!$C$9,"",SUMIFS('Daily Log'!$J$4:$J$369,'Daily Log'!$A$4:$A$369,"&gt;="&amp;$A9,'Daily Log'!$A$4:$A$369,"&lt;="&amp;$A9+6))</f>
        <v/>
      </c>
      <c r="M9" s="50">
        <f>IF($A9&lt;Setup!$C$9,"",SUMIFS('Daily Log'!$K$4:$K$369,'Daily Log'!$A$4:$A$369,"&gt;="&amp;$A9,'Daily Log'!$A$4:$A$369,"&lt;="&amp;$A9+6))</f>
        <v/>
      </c>
      <c r="N9" s="56">
        <f>IF($A9&lt;Setup!$C$9,"",SUMIFS('Daily Log'!$L$4:$L$369,'Daily Log'!$A$4:$A$369,"&gt;="&amp;$A9,'Daily Log'!$A$4:$A$369,"&lt;="&amp;$A9+6))</f>
        <v/>
      </c>
      <c r="O9" s="56">
        <f>IF($A9&lt;Setup!$C$9,"",SUMIFS('Daily Log'!$M$4:$M$369,'Daily Log'!$A$4:$A$369,"&gt;="&amp;$A9,'Daily Log'!$A$4:$A$369,"&lt;="&amp;$A9+6))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Log'!$Q$4:$Q$369,'Daily Log'!$A$4:$A$369,"&gt;="&amp;$A10,'Daily Log'!$A$4:$A$369,"&lt;="&amp;$A10+6))</f>
        <v/>
      </c>
      <c r="D10" s="50">
        <f>IF($A10&lt;Setup!$C$9,"",SUMIFS('Daily Log'!$C$4:$C$369,'Daily Log'!$A$4:$A$369,"&gt;="&amp;$A10,'Daily Log'!$A$4:$A$369,"&lt;="&amp;$A10+6))</f>
        <v/>
      </c>
      <c r="E10" s="50">
        <f>IF($A10&lt;Setup!$C$9,"",SUMIFS('Daily Log'!$D$4:$D$369,'Daily Log'!$A$4:$A$369,"&gt;="&amp;$A10,'Daily Log'!$A$4:$A$369,"&lt;="&amp;$A10+6))</f>
        <v/>
      </c>
      <c r="F10" s="50">
        <f>IF($A10&lt;Setup!$C$9,"",SUMIFS('Daily Log'!$E$4:$E$369,'Daily Log'!$A$4:$A$369,"&gt;="&amp;$A10,'Daily Log'!$A$4:$A$369,"&lt;="&amp;$A10+6))</f>
        <v/>
      </c>
      <c r="G10" s="50">
        <f>IF($A10&lt;Setup!$C$9,"",SUMIFS('Daily Log'!$F$4:$F$369,'Daily Log'!$A$4:$A$369,"&gt;="&amp;$A10,'Daily Log'!$A$4:$A$369,"&lt;="&amp;$A10+6))</f>
        <v/>
      </c>
      <c r="H10" s="50">
        <f>IF($A10&lt;Setup!$C$9,"",IFERROR(F10+G10,""))</f>
        <v/>
      </c>
      <c r="I10" s="50">
        <f>IF($A10&lt;Setup!$C$9,"",SUMIFS('Daily Log'!$G$4:$G$369,'Daily Log'!$A$4:$A$369,"&gt;="&amp;$A10,'Daily Log'!$A$4:$A$369,"&lt;="&amp;$A10+6))</f>
        <v/>
      </c>
      <c r="J10" s="50">
        <f>IF($A10&lt;Setup!$C$9,"",SUMIFS('Daily Log'!$H$4:$H$369,'Daily Log'!$A$4:$A$369,"&gt;="&amp;$A10,'Daily Log'!$A$4:$A$369,"&lt;="&amp;$A10+6))</f>
        <v/>
      </c>
      <c r="K10" s="50">
        <f>IF($A10&lt;Setup!$C$9,"",SUMIFS('Daily Log'!$I$4:$I$369,'Daily Log'!$A$4:$A$369,"&gt;="&amp;$A10,'Daily Log'!$A$4:$A$369,"&lt;="&amp;$A10+6))</f>
        <v/>
      </c>
      <c r="L10" s="50">
        <f>IF($A10&lt;Setup!$C$9,"",SUMIFS('Daily Log'!$J$4:$J$369,'Daily Log'!$A$4:$A$369,"&gt;="&amp;$A10,'Daily Log'!$A$4:$A$369,"&lt;="&amp;$A10+6))</f>
        <v/>
      </c>
      <c r="M10" s="50">
        <f>IF($A10&lt;Setup!$C$9,"",SUMIFS('Daily Log'!$K$4:$K$369,'Daily Log'!$A$4:$A$369,"&gt;="&amp;$A10,'Daily Log'!$A$4:$A$369,"&lt;="&amp;$A10+6))</f>
        <v/>
      </c>
      <c r="N10" s="56">
        <f>IF($A10&lt;Setup!$C$9,"",SUMIFS('Daily Log'!$L$4:$L$369,'Daily Log'!$A$4:$A$369,"&gt;="&amp;$A10,'Daily Log'!$A$4:$A$369,"&lt;="&amp;$A10+6))</f>
        <v/>
      </c>
      <c r="O10" s="56">
        <f>IF($A10&lt;Setup!$C$9,"",SUMIFS('Daily Log'!$M$4:$M$369,'Daily Log'!$A$4:$A$369,"&gt;="&amp;$A10,'Daily Log'!$A$4:$A$369,"&lt;="&amp;$A10+6))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Log'!$Q$4:$Q$369,'Daily Log'!$A$4:$A$369,"&gt;="&amp;$A11,'Daily Log'!$A$4:$A$369,"&lt;="&amp;$A11+6))</f>
        <v/>
      </c>
      <c r="D11" s="50">
        <f>IF($A11&lt;Setup!$C$9,"",SUMIFS('Daily Log'!$C$4:$C$369,'Daily Log'!$A$4:$A$369,"&gt;="&amp;$A11,'Daily Log'!$A$4:$A$369,"&lt;="&amp;$A11+6))</f>
        <v/>
      </c>
      <c r="E11" s="50">
        <f>IF($A11&lt;Setup!$C$9,"",SUMIFS('Daily Log'!$D$4:$D$369,'Daily Log'!$A$4:$A$369,"&gt;="&amp;$A11,'Daily Log'!$A$4:$A$369,"&lt;="&amp;$A11+6))</f>
        <v/>
      </c>
      <c r="F11" s="50">
        <f>IF($A11&lt;Setup!$C$9,"",SUMIFS('Daily Log'!$E$4:$E$369,'Daily Log'!$A$4:$A$369,"&gt;="&amp;$A11,'Daily Log'!$A$4:$A$369,"&lt;="&amp;$A11+6))</f>
        <v/>
      </c>
      <c r="G11" s="50">
        <f>IF($A11&lt;Setup!$C$9,"",SUMIFS('Daily Log'!$F$4:$F$369,'Daily Log'!$A$4:$A$369,"&gt;="&amp;$A11,'Daily Log'!$A$4:$A$369,"&lt;="&amp;$A11+6))</f>
        <v/>
      </c>
      <c r="H11" s="50">
        <f>IF($A11&lt;Setup!$C$9,"",IFERROR(F11+G11,""))</f>
        <v/>
      </c>
      <c r="I11" s="50">
        <f>IF($A11&lt;Setup!$C$9,"",SUMIFS('Daily Log'!$G$4:$G$369,'Daily Log'!$A$4:$A$369,"&gt;="&amp;$A11,'Daily Log'!$A$4:$A$369,"&lt;="&amp;$A11+6))</f>
        <v/>
      </c>
      <c r="J11" s="50">
        <f>IF($A11&lt;Setup!$C$9,"",SUMIFS('Daily Log'!$H$4:$H$369,'Daily Log'!$A$4:$A$369,"&gt;="&amp;$A11,'Daily Log'!$A$4:$A$369,"&lt;="&amp;$A11+6))</f>
        <v/>
      </c>
      <c r="K11" s="50">
        <f>IF($A11&lt;Setup!$C$9,"",SUMIFS('Daily Log'!$I$4:$I$369,'Daily Log'!$A$4:$A$369,"&gt;="&amp;$A11,'Daily Log'!$A$4:$A$369,"&lt;="&amp;$A11+6))</f>
        <v/>
      </c>
      <c r="L11" s="50">
        <f>IF($A11&lt;Setup!$C$9,"",SUMIFS('Daily Log'!$J$4:$J$369,'Daily Log'!$A$4:$A$369,"&gt;="&amp;$A11,'Daily Log'!$A$4:$A$369,"&lt;="&amp;$A11+6))</f>
        <v/>
      </c>
      <c r="M11" s="50">
        <f>IF($A11&lt;Setup!$C$9,"",SUMIFS('Daily Log'!$K$4:$K$369,'Daily Log'!$A$4:$A$369,"&gt;="&amp;$A11,'Daily Log'!$A$4:$A$369,"&lt;="&amp;$A11+6))</f>
        <v/>
      </c>
      <c r="N11" s="56">
        <f>IF($A11&lt;Setup!$C$9,"",SUMIFS('Daily Log'!$L$4:$L$369,'Daily Log'!$A$4:$A$369,"&gt;="&amp;$A11,'Daily Log'!$A$4:$A$369,"&lt;="&amp;$A11+6))</f>
        <v/>
      </c>
      <c r="O11" s="56">
        <f>IF($A11&lt;Setup!$C$9,"",SUMIFS('Daily Log'!$M$4:$M$369,'Daily Log'!$A$4:$A$369,"&gt;="&amp;$A11,'Daily Log'!$A$4:$A$369,"&lt;="&amp;$A11+6))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Log'!$Q$4:$Q$369,'Daily Log'!$A$4:$A$369,"&gt;="&amp;$A12,'Daily Log'!$A$4:$A$369,"&lt;="&amp;$A12+6))</f>
        <v/>
      </c>
      <c r="D12" s="50">
        <f>IF($A12&lt;Setup!$C$9,"",SUMIFS('Daily Log'!$C$4:$C$369,'Daily Log'!$A$4:$A$369,"&gt;="&amp;$A12,'Daily Log'!$A$4:$A$369,"&lt;="&amp;$A12+6))</f>
        <v/>
      </c>
      <c r="E12" s="50">
        <f>IF($A12&lt;Setup!$C$9,"",SUMIFS('Daily Log'!$D$4:$D$369,'Daily Log'!$A$4:$A$369,"&gt;="&amp;$A12,'Daily Log'!$A$4:$A$369,"&lt;="&amp;$A12+6))</f>
        <v/>
      </c>
      <c r="F12" s="50">
        <f>IF($A12&lt;Setup!$C$9,"",SUMIFS('Daily Log'!$E$4:$E$369,'Daily Log'!$A$4:$A$369,"&gt;="&amp;$A12,'Daily Log'!$A$4:$A$369,"&lt;="&amp;$A12+6))</f>
        <v/>
      </c>
      <c r="G12" s="50">
        <f>IF($A12&lt;Setup!$C$9,"",SUMIFS('Daily Log'!$F$4:$F$369,'Daily Log'!$A$4:$A$369,"&gt;="&amp;$A12,'Daily Log'!$A$4:$A$369,"&lt;="&amp;$A12+6))</f>
        <v/>
      </c>
      <c r="H12" s="50">
        <f>IF($A12&lt;Setup!$C$9,"",IFERROR(F12+G12,""))</f>
        <v/>
      </c>
      <c r="I12" s="50">
        <f>IF($A12&lt;Setup!$C$9,"",SUMIFS('Daily Log'!$G$4:$G$369,'Daily Log'!$A$4:$A$369,"&gt;="&amp;$A12,'Daily Log'!$A$4:$A$369,"&lt;="&amp;$A12+6))</f>
        <v/>
      </c>
      <c r="J12" s="50">
        <f>IF($A12&lt;Setup!$C$9,"",SUMIFS('Daily Log'!$H$4:$H$369,'Daily Log'!$A$4:$A$369,"&gt;="&amp;$A12,'Daily Log'!$A$4:$A$369,"&lt;="&amp;$A12+6))</f>
        <v/>
      </c>
      <c r="K12" s="50">
        <f>IF($A12&lt;Setup!$C$9,"",SUMIFS('Daily Log'!$I$4:$I$369,'Daily Log'!$A$4:$A$369,"&gt;="&amp;$A12,'Daily Log'!$A$4:$A$369,"&lt;="&amp;$A12+6))</f>
        <v/>
      </c>
      <c r="L12" s="50">
        <f>IF($A12&lt;Setup!$C$9,"",SUMIFS('Daily Log'!$J$4:$J$369,'Daily Log'!$A$4:$A$369,"&gt;="&amp;$A12,'Daily Log'!$A$4:$A$369,"&lt;="&amp;$A12+6))</f>
        <v/>
      </c>
      <c r="M12" s="50">
        <f>IF($A12&lt;Setup!$C$9,"",SUMIFS('Daily Log'!$K$4:$K$369,'Daily Log'!$A$4:$A$369,"&gt;="&amp;$A12,'Daily Log'!$A$4:$A$369,"&lt;="&amp;$A12+6))</f>
        <v/>
      </c>
      <c r="N12" s="56">
        <f>IF($A12&lt;Setup!$C$9,"",SUMIFS('Daily Log'!$L$4:$L$369,'Daily Log'!$A$4:$A$369,"&gt;="&amp;$A12,'Daily Log'!$A$4:$A$369,"&lt;="&amp;$A12+6))</f>
        <v/>
      </c>
      <c r="O12" s="56">
        <f>IF($A12&lt;Setup!$C$9,"",SUMIFS('Daily Log'!$M$4:$M$369,'Daily Log'!$A$4:$A$369,"&gt;="&amp;$A12,'Daily Log'!$A$4:$A$369,"&lt;="&amp;$A12+6))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Log'!$Q$4:$Q$369,'Daily Log'!$A$4:$A$369,"&gt;="&amp;$A13,'Daily Log'!$A$4:$A$369,"&lt;="&amp;$A13+6))</f>
        <v/>
      </c>
      <c r="D13" s="50">
        <f>IF($A13&lt;Setup!$C$9,"",SUMIFS('Daily Log'!$C$4:$C$369,'Daily Log'!$A$4:$A$369,"&gt;="&amp;$A13,'Daily Log'!$A$4:$A$369,"&lt;="&amp;$A13+6))</f>
        <v/>
      </c>
      <c r="E13" s="50">
        <f>IF($A13&lt;Setup!$C$9,"",SUMIFS('Daily Log'!$D$4:$D$369,'Daily Log'!$A$4:$A$369,"&gt;="&amp;$A13,'Daily Log'!$A$4:$A$369,"&lt;="&amp;$A13+6))</f>
        <v/>
      </c>
      <c r="F13" s="50">
        <f>IF($A13&lt;Setup!$C$9,"",SUMIFS('Daily Log'!$E$4:$E$369,'Daily Log'!$A$4:$A$369,"&gt;="&amp;$A13,'Daily Log'!$A$4:$A$369,"&lt;="&amp;$A13+6))</f>
        <v/>
      </c>
      <c r="G13" s="50">
        <f>IF($A13&lt;Setup!$C$9,"",SUMIFS('Daily Log'!$F$4:$F$369,'Daily Log'!$A$4:$A$369,"&gt;="&amp;$A13,'Daily Log'!$A$4:$A$369,"&lt;="&amp;$A13+6))</f>
        <v/>
      </c>
      <c r="H13" s="50">
        <f>IF($A13&lt;Setup!$C$9,"",IFERROR(F13+G13,""))</f>
        <v/>
      </c>
      <c r="I13" s="50">
        <f>IF($A13&lt;Setup!$C$9,"",SUMIFS('Daily Log'!$G$4:$G$369,'Daily Log'!$A$4:$A$369,"&gt;="&amp;$A13,'Daily Log'!$A$4:$A$369,"&lt;="&amp;$A13+6))</f>
        <v/>
      </c>
      <c r="J13" s="50">
        <f>IF($A13&lt;Setup!$C$9,"",SUMIFS('Daily Log'!$H$4:$H$369,'Daily Log'!$A$4:$A$369,"&gt;="&amp;$A13,'Daily Log'!$A$4:$A$369,"&lt;="&amp;$A13+6))</f>
        <v/>
      </c>
      <c r="K13" s="50">
        <f>IF($A13&lt;Setup!$C$9,"",SUMIFS('Daily Log'!$I$4:$I$369,'Daily Log'!$A$4:$A$369,"&gt;="&amp;$A13,'Daily Log'!$A$4:$A$369,"&lt;="&amp;$A13+6))</f>
        <v/>
      </c>
      <c r="L13" s="50">
        <f>IF($A13&lt;Setup!$C$9,"",SUMIFS('Daily Log'!$J$4:$J$369,'Daily Log'!$A$4:$A$369,"&gt;="&amp;$A13,'Daily Log'!$A$4:$A$369,"&lt;="&amp;$A13+6))</f>
        <v/>
      </c>
      <c r="M13" s="50">
        <f>IF($A13&lt;Setup!$C$9,"",SUMIFS('Daily Log'!$K$4:$K$369,'Daily Log'!$A$4:$A$369,"&gt;="&amp;$A13,'Daily Log'!$A$4:$A$369,"&lt;="&amp;$A13+6))</f>
        <v/>
      </c>
      <c r="N13" s="56">
        <f>IF($A13&lt;Setup!$C$9,"",SUMIFS('Daily Log'!$L$4:$L$369,'Daily Log'!$A$4:$A$369,"&gt;="&amp;$A13,'Daily Log'!$A$4:$A$369,"&lt;="&amp;$A13+6))</f>
        <v/>
      </c>
      <c r="O13" s="56">
        <f>IF($A13&lt;Setup!$C$9,"",SUMIFS('Daily Log'!$M$4:$M$369,'Daily Log'!$A$4:$A$369,"&gt;="&amp;$A13,'Daily Log'!$A$4:$A$369,"&lt;="&amp;$A13+6))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Log'!$Q$4:$Q$369,'Daily Log'!$A$4:$A$369,"&gt;="&amp;$A14,'Daily Log'!$A$4:$A$369,"&lt;="&amp;$A14+6))</f>
        <v/>
      </c>
      <c r="D14" s="50">
        <f>IF($A14&lt;Setup!$C$9,"",SUMIFS('Daily Log'!$C$4:$C$369,'Daily Log'!$A$4:$A$369,"&gt;="&amp;$A14,'Daily Log'!$A$4:$A$369,"&lt;="&amp;$A14+6))</f>
        <v/>
      </c>
      <c r="E14" s="50">
        <f>IF($A14&lt;Setup!$C$9,"",SUMIFS('Daily Log'!$D$4:$D$369,'Daily Log'!$A$4:$A$369,"&gt;="&amp;$A14,'Daily Log'!$A$4:$A$369,"&lt;="&amp;$A14+6))</f>
        <v/>
      </c>
      <c r="F14" s="50">
        <f>IF($A14&lt;Setup!$C$9,"",SUMIFS('Daily Log'!$E$4:$E$369,'Daily Log'!$A$4:$A$369,"&gt;="&amp;$A14,'Daily Log'!$A$4:$A$369,"&lt;="&amp;$A14+6))</f>
        <v/>
      </c>
      <c r="G14" s="50">
        <f>IF($A14&lt;Setup!$C$9,"",SUMIFS('Daily Log'!$F$4:$F$369,'Daily Log'!$A$4:$A$369,"&gt;="&amp;$A14,'Daily Log'!$A$4:$A$369,"&lt;="&amp;$A14+6))</f>
        <v/>
      </c>
      <c r="H14" s="50">
        <f>IF($A14&lt;Setup!$C$9,"",IFERROR(F14+G14,""))</f>
        <v/>
      </c>
      <c r="I14" s="50">
        <f>IF($A14&lt;Setup!$C$9,"",SUMIFS('Daily Log'!$G$4:$G$369,'Daily Log'!$A$4:$A$369,"&gt;="&amp;$A14,'Daily Log'!$A$4:$A$369,"&lt;="&amp;$A14+6))</f>
        <v/>
      </c>
      <c r="J14" s="50">
        <f>IF($A14&lt;Setup!$C$9,"",SUMIFS('Daily Log'!$H$4:$H$369,'Daily Log'!$A$4:$A$369,"&gt;="&amp;$A14,'Daily Log'!$A$4:$A$369,"&lt;="&amp;$A14+6))</f>
        <v/>
      </c>
      <c r="K14" s="50">
        <f>IF($A14&lt;Setup!$C$9,"",SUMIFS('Daily Log'!$I$4:$I$369,'Daily Log'!$A$4:$A$369,"&gt;="&amp;$A14,'Daily Log'!$A$4:$A$369,"&lt;="&amp;$A14+6))</f>
        <v/>
      </c>
      <c r="L14" s="50">
        <f>IF($A14&lt;Setup!$C$9,"",SUMIFS('Daily Log'!$J$4:$J$369,'Daily Log'!$A$4:$A$369,"&gt;="&amp;$A14,'Daily Log'!$A$4:$A$369,"&lt;="&amp;$A14+6))</f>
        <v/>
      </c>
      <c r="M14" s="50">
        <f>IF($A14&lt;Setup!$C$9,"",SUMIFS('Daily Log'!$K$4:$K$369,'Daily Log'!$A$4:$A$369,"&gt;="&amp;$A14,'Daily Log'!$A$4:$A$369,"&lt;="&amp;$A14+6))</f>
        <v/>
      </c>
      <c r="N14" s="56">
        <f>IF($A14&lt;Setup!$C$9,"",SUMIFS('Daily Log'!$L$4:$L$369,'Daily Log'!$A$4:$A$369,"&gt;="&amp;$A14,'Daily Log'!$A$4:$A$369,"&lt;="&amp;$A14+6))</f>
        <v/>
      </c>
      <c r="O14" s="56">
        <f>IF($A14&lt;Setup!$C$9,"",SUMIFS('Daily Log'!$M$4:$M$369,'Daily Log'!$A$4:$A$369,"&gt;="&amp;$A14,'Daily Log'!$A$4:$A$369,"&lt;="&amp;$A14+6))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Log'!$Q$4:$Q$369,'Daily Log'!$A$4:$A$369,"&gt;="&amp;$A15,'Daily Log'!$A$4:$A$369,"&lt;="&amp;$A15+6))</f>
        <v/>
      </c>
      <c r="D15" s="50">
        <f>IF($A15&lt;Setup!$C$9,"",SUMIFS('Daily Log'!$C$4:$C$369,'Daily Log'!$A$4:$A$369,"&gt;="&amp;$A15,'Daily Log'!$A$4:$A$369,"&lt;="&amp;$A15+6))</f>
        <v/>
      </c>
      <c r="E15" s="50">
        <f>IF($A15&lt;Setup!$C$9,"",SUMIFS('Daily Log'!$D$4:$D$369,'Daily Log'!$A$4:$A$369,"&gt;="&amp;$A15,'Daily Log'!$A$4:$A$369,"&lt;="&amp;$A15+6))</f>
        <v/>
      </c>
      <c r="F15" s="50">
        <f>IF($A15&lt;Setup!$C$9,"",SUMIFS('Daily Log'!$E$4:$E$369,'Daily Log'!$A$4:$A$369,"&gt;="&amp;$A15,'Daily Log'!$A$4:$A$369,"&lt;="&amp;$A15+6))</f>
        <v/>
      </c>
      <c r="G15" s="50">
        <f>IF($A15&lt;Setup!$C$9,"",SUMIFS('Daily Log'!$F$4:$F$369,'Daily Log'!$A$4:$A$369,"&gt;="&amp;$A15,'Daily Log'!$A$4:$A$369,"&lt;="&amp;$A15+6))</f>
        <v/>
      </c>
      <c r="H15" s="50">
        <f>IF($A15&lt;Setup!$C$9,"",IFERROR(F15+G15,""))</f>
        <v/>
      </c>
      <c r="I15" s="50">
        <f>IF($A15&lt;Setup!$C$9,"",SUMIFS('Daily Log'!$G$4:$G$369,'Daily Log'!$A$4:$A$369,"&gt;="&amp;$A15,'Daily Log'!$A$4:$A$369,"&lt;="&amp;$A15+6))</f>
        <v/>
      </c>
      <c r="J15" s="50">
        <f>IF($A15&lt;Setup!$C$9,"",SUMIFS('Daily Log'!$H$4:$H$369,'Daily Log'!$A$4:$A$369,"&gt;="&amp;$A15,'Daily Log'!$A$4:$A$369,"&lt;="&amp;$A15+6))</f>
        <v/>
      </c>
      <c r="K15" s="50">
        <f>IF($A15&lt;Setup!$C$9,"",SUMIFS('Daily Log'!$I$4:$I$369,'Daily Log'!$A$4:$A$369,"&gt;="&amp;$A15,'Daily Log'!$A$4:$A$369,"&lt;="&amp;$A15+6))</f>
        <v/>
      </c>
      <c r="L15" s="50">
        <f>IF($A15&lt;Setup!$C$9,"",SUMIFS('Daily Log'!$J$4:$J$369,'Daily Log'!$A$4:$A$369,"&gt;="&amp;$A15,'Daily Log'!$A$4:$A$369,"&lt;="&amp;$A15+6))</f>
        <v/>
      </c>
      <c r="M15" s="50">
        <f>IF($A15&lt;Setup!$C$9,"",SUMIFS('Daily Log'!$K$4:$K$369,'Daily Log'!$A$4:$A$369,"&gt;="&amp;$A15,'Daily Log'!$A$4:$A$369,"&lt;="&amp;$A15+6))</f>
        <v/>
      </c>
      <c r="N15" s="56">
        <f>IF($A15&lt;Setup!$C$9,"",SUMIFS('Daily Log'!$L$4:$L$369,'Daily Log'!$A$4:$A$369,"&gt;="&amp;$A15,'Daily Log'!$A$4:$A$369,"&lt;="&amp;$A15+6))</f>
        <v/>
      </c>
      <c r="O15" s="56">
        <f>IF($A15&lt;Setup!$C$9,"",SUMIFS('Daily Log'!$M$4:$M$369,'Daily Log'!$A$4:$A$369,"&gt;="&amp;$A15,'Daily Log'!$A$4:$A$369,"&lt;="&amp;$A15+6))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Log'!$Q$4:$Q$369,'Daily Log'!$A$4:$A$369,"&gt;="&amp;$A16,'Daily Log'!$A$4:$A$369,"&lt;="&amp;$A16+6))</f>
        <v/>
      </c>
      <c r="D16" s="50">
        <f>IF($A16&lt;Setup!$C$9,"",SUMIFS('Daily Log'!$C$4:$C$369,'Daily Log'!$A$4:$A$369,"&gt;="&amp;$A16,'Daily Log'!$A$4:$A$369,"&lt;="&amp;$A16+6))</f>
        <v/>
      </c>
      <c r="E16" s="50">
        <f>IF($A16&lt;Setup!$C$9,"",SUMIFS('Daily Log'!$D$4:$D$369,'Daily Log'!$A$4:$A$369,"&gt;="&amp;$A16,'Daily Log'!$A$4:$A$369,"&lt;="&amp;$A16+6))</f>
        <v/>
      </c>
      <c r="F16" s="50">
        <f>IF($A16&lt;Setup!$C$9,"",SUMIFS('Daily Log'!$E$4:$E$369,'Daily Log'!$A$4:$A$369,"&gt;="&amp;$A16,'Daily Log'!$A$4:$A$369,"&lt;="&amp;$A16+6))</f>
        <v/>
      </c>
      <c r="G16" s="50">
        <f>IF($A16&lt;Setup!$C$9,"",SUMIFS('Daily Log'!$F$4:$F$369,'Daily Log'!$A$4:$A$369,"&gt;="&amp;$A16,'Daily Log'!$A$4:$A$369,"&lt;="&amp;$A16+6))</f>
        <v/>
      </c>
      <c r="H16" s="50">
        <f>IF($A16&lt;Setup!$C$9,"",IFERROR(F16+G16,""))</f>
        <v/>
      </c>
      <c r="I16" s="50">
        <f>IF($A16&lt;Setup!$C$9,"",SUMIFS('Daily Log'!$G$4:$G$369,'Daily Log'!$A$4:$A$369,"&gt;="&amp;$A16,'Daily Log'!$A$4:$A$369,"&lt;="&amp;$A16+6))</f>
        <v/>
      </c>
      <c r="J16" s="50">
        <f>IF($A16&lt;Setup!$C$9,"",SUMIFS('Daily Log'!$H$4:$H$369,'Daily Log'!$A$4:$A$369,"&gt;="&amp;$A16,'Daily Log'!$A$4:$A$369,"&lt;="&amp;$A16+6))</f>
        <v/>
      </c>
      <c r="K16" s="50">
        <f>IF($A16&lt;Setup!$C$9,"",SUMIFS('Daily Log'!$I$4:$I$369,'Daily Log'!$A$4:$A$369,"&gt;="&amp;$A16,'Daily Log'!$A$4:$A$369,"&lt;="&amp;$A16+6))</f>
        <v/>
      </c>
      <c r="L16" s="50">
        <f>IF($A16&lt;Setup!$C$9,"",SUMIFS('Daily Log'!$J$4:$J$369,'Daily Log'!$A$4:$A$369,"&gt;="&amp;$A16,'Daily Log'!$A$4:$A$369,"&lt;="&amp;$A16+6))</f>
        <v/>
      </c>
      <c r="M16" s="50">
        <f>IF($A16&lt;Setup!$C$9,"",SUMIFS('Daily Log'!$K$4:$K$369,'Daily Log'!$A$4:$A$369,"&gt;="&amp;$A16,'Daily Log'!$A$4:$A$369,"&lt;="&amp;$A16+6))</f>
        <v/>
      </c>
      <c r="N16" s="56">
        <f>IF($A16&lt;Setup!$C$9,"",SUMIFS('Daily Log'!$L$4:$L$369,'Daily Log'!$A$4:$A$369,"&gt;="&amp;$A16,'Daily Log'!$A$4:$A$369,"&lt;="&amp;$A16+6))</f>
        <v/>
      </c>
      <c r="O16" s="56">
        <f>IF($A16&lt;Setup!$C$9,"",SUMIFS('Daily Log'!$M$4:$M$369,'Daily Log'!$A$4:$A$369,"&gt;="&amp;$A16,'Daily Log'!$A$4:$A$369,"&lt;="&amp;$A16+6))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2026-09-16T21:46:18Z</dcterms:created>
  <dcterms:modified xsi:type="dcterms:W3CDTF">2026-09-16T21:46:19Z</dcterms:modified>
</cp:coreProperties>
</file>