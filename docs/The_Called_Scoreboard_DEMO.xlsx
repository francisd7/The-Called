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6.xml" ContentType="application/vnd.openxmlformats-officedocument.spreadsheetml.worksheet+xml"/>
  <Override PartName="/xl/drawings/drawing2.xml" ContentType="application/vnd.openxmlformats-officedocument.drawing+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tup" sheetId="2" state="visible" r:id="rId2"/>
    <sheet name="Daily Log" sheetId="3" state="visible" r:id="rId3"/>
    <sheet name="This Week" sheetId="4" state="visible" r:id="rId4"/>
    <sheet name="KPI Dashboard" sheetId="5" state="visible" r:id="rId5"/>
    <sheet name="Instagram Tracker" sheetId="6" state="visible" r:id="rId6"/>
    <sheet name="Cheat Sheet" sheetId="7" state="visible" r:id="rId7"/>
    <sheet name="Weekly Rollup" sheetId="8" state="visible" r:id="rId8"/>
  </sheets>
  <definedNames/>
  <calcPr calcId="124519" fullCalcOnLoad="1"/>
</workbook>
</file>

<file path=xl/styles.xml><?xml version="1.0" encoding="utf-8"?>
<styleSheet xmlns="http://schemas.openxmlformats.org/spreadsheetml/2006/main">
  <numFmts count="10">
    <numFmt numFmtId="164" formatCode="ddd d mmm yyyy"/>
    <numFmt numFmtId="165" formatCode="&quot;$&quot;#,##0"/>
    <numFmt numFmtId="166" formatCode="ddd d mmm"/>
    <numFmt numFmtId="167" formatCode="d mmm"/>
    <numFmt numFmtId="168" formatCode="+#,##0;-#,##0;0"/>
    <numFmt numFmtId="169" formatCode="&quot;+$&quot;#,##0;&quot;-$&quot;#,##0;0"/>
    <numFmt numFmtId="170" formatCode="0.0%"/>
    <numFmt numFmtId="171" formatCode="+0.0%;-0.0%;0.0%"/>
    <numFmt numFmtId="172" formatCode="d mmm yyyy"/>
    <numFmt numFmtId="173" formatCode="0.0"/>
  </numFmts>
  <fonts count="34">
    <font>
      <name val="Calibri"/>
      <family val="2"/>
      <color theme="1"/>
      <sz val="11"/>
      <scheme val="minor"/>
    </font>
    <font>
      <name val="Arial"/>
      <b val="1"/>
      <color rgb="00FFFFFF"/>
      <sz val="16"/>
    </font>
    <font>
      <name val="Arial"/>
      <i val="1"/>
      <color rgb="006E6A62"/>
      <sz val="10"/>
    </font>
    <font>
      <name val="Arial"/>
      <b val="1"/>
      <color rgb="003A3833"/>
      <sz val="13"/>
    </font>
    <font>
      <name val="Arial"/>
      <sz val="10"/>
    </font>
    <font>
      <name val="Arial"/>
      <b val="1"/>
      <color rgb="001B1916"/>
      <sz val="10"/>
    </font>
    <font>
      <name val="Arial"/>
      <b val="1"/>
      <color rgb="00FFFFFF"/>
      <sz val="9"/>
    </font>
    <font>
      <name val="Arial"/>
      <b val="1"/>
      <color rgb="003A3833"/>
      <sz val="14"/>
    </font>
    <font>
      <name val="Arial"/>
      <b val="1"/>
      <color rgb="003A3833"/>
      <sz val="11"/>
    </font>
    <font>
      <name val="Arial"/>
      <color rgb="006E6A62"/>
      <sz val="9"/>
    </font>
    <font>
      <name val="Arial"/>
      <b val="1"/>
      <sz val="10"/>
    </font>
    <font>
      <name val="Arial"/>
      <color rgb="006E6A62"/>
      <sz val="10"/>
    </font>
    <font>
      <name val="Arial"/>
      <b val="1"/>
      <color rgb="003A3833"/>
      <sz val="10"/>
    </font>
    <font>
      <name val="Arial"/>
      <b val="1"/>
      <color rgb="002F6B3A"/>
      <sz val="11"/>
    </font>
    <font>
      <name val="Arial"/>
      <i val="1"/>
      <color rgb="006E6A62"/>
      <sz val="9"/>
    </font>
    <font>
      <name val="Arial"/>
      <color rgb="004A55A8"/>
      <sz val="10"/>
    </font>
    <font>
      <name val="Arial"/>
      <b val="1"/>
      <sz val="11"/>
    </font>
    <font>
      <name val="Arial"/>
      <sz val="11"/>
    </font>
    <font>
      <name val="Arial"/>
      <b val="1"/>
      <color rgb="001B1916"/>
      <sz val="9"/>
    </font>
    <font>
      <name val="Arial"/>
      <sz val="9"/>
    </font>
    <font>
      <name val="Arial"/>
      <color rgb="006E6A62"/>
      <sz val="8"/>
    </font>
    <font>
      <name val="Arial"/>
      <i val="1"/>
      <color rgb="006E6A62"/>
      <sz val="8"/>
    </font>
    <font>
      <name val="Arial"/>
      <b val="1"/>
      <color rgb="001B1916"/>
      <sz val="12"/>
    </font>
    <font>
      <name val="Arial"/>
      <color rgb="001B1916"/>
      <sz val="11"/>
    </font>
    <font>
      <name val="Arial"/>
      <i val="1"/>
      <sz val="10"/>
    </font>
    <font>
      <name val="Arial"/>
      <b val="1"/>
      <color rgb="00E1DFDB"/>
      <sz val="8"/>
    </font>
    <font>
      <name val="Arial"/>
      <b val="1"/>
      <color rgb="00E3B341"/>
      <sz val="20"/>
    </font>
    <font>
      <name val="Arial"/>
      <color rgb="00F2F1EF"/>
      <sz val="8"/>
    </font>
    <font>
      <name val="Arial"/>
      <b val="1"/>
      <color rgb="00FFFFFF"/>
      <sz val="10"/>
    </font>
    <font>
      <name val="Arial"/>
      <b val="1"/>
      <color rgb="00FFFFFF"/>
      <sz val="8"/>
    </font>
    <font>
      <name val="Arial"/>
      <b val="1"/>
      <color rgb="003A3833"/>
      <sz val="9"/>
    </font>
    <font>
      <name val="Arial"/>
      <b val="1"/>
      <color rgb="001B1916"/>
      <sz val="11"/>
    </font>
    <font>
      <name val="Arial"/>
      <b val="1"/>
      <color rgb="00A83A2C"/>
      <sz val="9"/>
    </font>
    <font>
      <name val="Arial"/>
      <b val="1"/>
      <color rgb="002F6B3A"/>
      <sz val="9"/>
    </font>
  </fonts>
  <fills count="10">
    <fill>
      <patternFill/>
    </fill>
    <fill>
      <patternFill patternType="gray125"/>
    </fill>
    <fill>
      <patternFill patternType="solid">
        <fgColor rgb="001B1916"/>
      </patternFill>
    </fill>
    <fill>
      <patternFill patternType="solid">
        <fgColor rgb="00D4B579"/>
      </patternFill>
    </fill>
    <fill>
      <patternFill patternType="solid">
        <fgColor rgb="00F2F1EF"/>
      </patternFill>
    </fill>
    <fill>
      <patternFill patternType="solid">
        <fgColor rgb="00E7F0E5"/>
      </patternFill>
    </fill>
    <fill>
      <patternFill patternType="solid">
        <fgColor rgb="00FCF3E3"/>
      </patternFill>
    </fill>
    <fill>
      <patternFill patternType="solid">
        <fgColor rgb="00EFE1C6"/>
      </patternFill>
    </fill>
    <fill>
      <patternFill patternType="solid">
        <fgColor rgb="003A3833"/>
      </patternFill>
    </fill>
    <fill>
      <patternFill patternType="solid">
        <fgColor rgb="00C4552B"/>
      </patternFill>
    </fill>
  </fills>
  <borders count="7">
    <border>
      <left/>
      <right/>
      <top/>
      <bottom/>
      <diagonal/>
    </border>
    <border>
      <left style="thin">
        <color rgb="00D6D3CC"/>
      </left>
      <right style="thin">
        <color rgb="00D6D3CC"/>
      </right>
      <top style="thin">
        <color rgb="00D6D3CC"/>
      </top>
      <bottom style="thin">
        <color rgb="00D6D3CC"/>
      </bottom>
    </border>
    <border>
      <left/>
      <right/>
      <top style="thin">
        <color rgb="00D6D3CC"/>
      </top>
      <bottom/>
      <diagonal/>
    </border>
    <border>
      <left/>
      <right style="thin">
        <color rgb="00D6D3CC"/>
      </right>
      <top style="thin">
        <color rgb="00D6D3CC"/>
      </top>
      <bottom/>
      <diagonal/>
    </border>
    <border>
      <left/>
      <right/>
      <top style="thin">
        <color rgb="00D6D3CC"/>
      </top>
      <bottom style="thin">
        <color rgb="00D6D3CC"/>
      </bottom>
      <diagonal/>
    </border>
    <border>
      <left/>
      <right style="thin">
        <color rgb="00D6D3CC"/>
      </right>
      <top style="thin">
        <color rgb="00D6D3CC"/>
      </top>
      <bottom style="thin">
        <color rgb="00D6D3CC"/>
      </bottom>
      <diagonal/>
    </border>
    <border>
      <left style="medium">
        <color rgb="00D4B579"/>
      </left>
      <right style="medium">
        <color rgb="00D4B579"/>
      </right>
      <top style="medium">
        <color rgb="00D4B579"/>
      </top>
      <bottom style="medium">
        <color rgb="00D4B579"/>
      </bottom>
    </border>
  </borders>
  <cellStyleXfs count="1">
    <xf numFmtId="0" fontId="0" fillId="0" borderId="0"/>
  </cellStyleXfs>
  <cellXfs count="98">
    <xf numFmtId="0" fontId="0" fillId="0" borderId="0" pivotButton="0" quotePrefix="0" xfId="0"/>
    <xf numFmtId="0" fontId="1" fillId="9" borderId="0" applyAlignment="1" pivotButton="0" quotePrefix="0" xfId="0">
      <alignment horizontal="left" vertical="center" indent="8"/>
    </xf>
    <xf numFmtId="0" fontId="2" fillId="0" borderId="0" applyAlignment="1" pivotButton="0" quotePrefix="0" xfId="0">
      <alignment horizontal="left" vertical="center" indent="1"/>
    </xf>
    <xf numFmtId="0" fontId="3" fillId="0" borderId="0" pivotButton="0" quotePrefix="0" xfId="0"/>
    <xf numFmtId="0" fontId="4" fillId="0" borderId="0" applyAlignment="1" pivotButton="0" quotePrefix="0" xfId="0">
      <alignment vertical="top" wrapText="1"/>
    </xf>
    <xf numFmtId="0" fontId="5" fillId="3" borderId="0" applyAlignment="1" pivotButton="0" quotePrefix="0" xfId="0">
      <alignment horizontal="left" vertical="center" indent="1"/>
    </xf>
    <xf numFmtId="0" fontId="6" fillId="2" borderId="1" applyAlignment="1" pivotButton="0" quotePrefix="0" xfId="0">
      <alignment horizontal="center" vertical="center" wrapText="1"/>
    </xf>
    <xf numFmtId="0" fontId="7" fillId="4" borderId="1" applyAlignment="1" pivotButton="0" quotePrefix="0" xfId="0">
      <alignment horizontal="center" vertical="center"/>
    </xf>
    <xf numFmtId="0" fontId="8" fillId="4" borderId="1" applyAlignment="1" pivotButton="0" quotePrefix="0" xfId="0">
      <alignment horizontal="left" vertical="center" indent="1"/>
    </xf>
    <xf numFmtId="0" fontId="9" fillId="4" borderId="1" applyAlignment="1" pivotButton="0" quotePrefix="0" xfId="0">
      <alignment horizontal="left" vertical="center" indent="1"/>
    </xf>
    <xf numFmtId="0" fontId="4" fillId="4" borderId="1" applyAlignment="1" pivotButton="0" quotePrefix="0" xfId="0">
      <alignment horizontal="left" vertical="center" wrapText="1" indent="1"/>
    </xf>
    <xf numFmtId="0" fontId="0" fillId="4" borderId="1" pivotButton="0" quotePrefix="0" xfId="0"/>
    <xf numFmtId="0" fontId="7" fillId="0" borderId="1" applyAlignment="1" pivotButton="0" quotePrefix="0" xfId="0">
      <alignment horizontal="center" vertical="center"/>
    </xf>
    <xf numFmtId="0" fontId="8" fillId="0" borderId="1" applyAlignment="1" pivotButton="0" quotePrefix="0" xfId="0">
      <alignment horizontal="left" vertical="center" indent="1"/>
    </xf>
    <xf numFmtId="0" fontId="9" fillId="0" borderId="1" applyAlignment="1" pivotButton="0" quotePrefix="0" xfId="0">
      <alignment horizontal="left" vertical="center" indent="1"/>
    </xf>
    <xf numFmtId="0" fontId="4" fillId="0" borderId="1" applyAlignment="1" pivotButton="0" quotePrefix="0" xfId="0">
      <alignment horizontal="left" vertical="center" wrapText="1" indent="1"/>
    </xf>
    <xf numFmtId="0" fontId="0" fillId="0" borderId="1" pivotButton="0" quotePrefix="0" xfId="0"/>
    <xf numFmtId="0" fontId="10" fillId="0" borderId="0" pivotButton="0" quotePrefix="0" xfId="0"/>
    <xf numFmtId="0" fontId="11" fillId="0" borderId="0" applyAlignment="1" pivotButton="0" quotePrefix="0" xfId="0">
      <alignment vertical="center" wrapText="1"/>
    </xf>
    <xf numFmtId="0" fontId="12" fillId="0" borderId="0" pivotButton="0" quotePrefix="0" xfId="0"/>
    <xf numFmtId="0" fontId="4" fillId="0" borderId="0" applyAlignment="1" pivotButton="0" quotePrefix="0" xfId="0">
      <alignment vertical="center" wrapText="1" indent="1"/>
    </xf>
    <xf numFmtId="0" fontId="6" fillId="2" borderId="0" applyAlignment="1" pivotButton="0" quotePrefix="0" xfId="0">
      <alignment horizontal="center"/>
    </xf>
    <xf numFmtId="0" fontId="13" fillId="5" borderId="1" applyAlignment="1" pivotButton="0" quotePrefix="0" xfId="0">
      <alignment horizontal="center"/>
    </xf>
    <xf numFmtId="0" fontId="14" fillId="0" borderId="0" pivotButton="0" quotePrefix="0" xfId="0"/>
    <xf numFmtId="0" fontId="15" fillId="6" borderId="1" pivotButton="0" quotePrefix="0" xfId="0"/>
    <xf numFmtId="0" fontId="0" fillId="0" borderId="4" pivotButton="0" quotePrefix="0" xfId="0"/>
    <xf numFmtId="0" fontId="0" fillId="0" borderId="5" pivotButton="0" quotePrefix="0" xfId="0"/>
    <xf numFmtId="0" fontId="10" fillId="0" borderId="0" applyAlignment="1" pivotButton="0" quotePrefix="0" xfId="0">
      <alignment horizontal="left" indent="1"/>
    </xf>
    <xf numFmtId="0" fontId="16" fillId="6" borderId="1" applyAlignment="1" pivotButton="0" quotePrefix="0" xfId="0">
      <alignment horizontal="center"/>
    </xf>
    <xf numFmtId="164" fontId="16" fillId="6" borderId="1" applyAlignment="1" pivotButton="0" quotePrefix="0" xfId="0">
      <alignment horizontal="center"/>
    </xf>
    <xf numFmtId="164" fontId="17" fillId="4" borderId="1" applyAlignment="1" pivotButton="0" quotePrefix="0" xfId="0">
      <alignment horizontal="center"/>
    </xf>
    <xf numFmtId="165" fontId="16" fillId="6" borderId="1" applyAlignment="1" pivotButton="0" quotePrefix="0" xfId="0">
      <alignment horizontal="center"/>
    </xf>
    <xf numFmtId="0" fontId="18" fillId="3" borderId="0" applyAlignment="1" pivotButton="0" quotePrefix="0" xfId="0">
      <alignment horizontal="right"/>
    </xf>
    <xf numFmtId="0" fontId="0" fillId="3" borderId="0" pivotButton="0" quotePrefix="0" xfId="0"/>
    <xf numFmtId="0" fontId="5" fillId="3" borderId="0" applyAlignment="1" pivotButton="0" quotePrefix="0" xfId="0">
      <alignment horizontal="center"/>
    </xf>
    <xf numFmtId="0" fontId="14" fillId="0" borderId="0" applyAlignment="1" pivotButton="0" quotePrefix="0" xfId="0">
      <alignment horizontal="left" vertical="center" indent="1"/>
    </xf>
    <xf numFmtId="166" fontId="4" fillId="4" borderId="0" pivotButton="0" quotePrefix="0" xfId="0"/>
    <xf numFmtId="0" fontId="9" fillId="4" borderId="0" applyAlignment="1" pivotButton="0" quotePrefix="0" xfId="0">
      <alignment horizontal="center"/>
    </xf>
    <xf numFmtId="3" fontId="4" fillId="6" borderId="1" applyAlignment="1" pivotButton="0" quotePrefix="0" xfId="0">
      <alignment horizontal="center"/>
    </xf>
    <xf numFmtId="165" fontId="4" fillId="6" borderId="1" applyAlignment="1" pivotButton="0" quotePrefix="0" xfId="0">
      <alignment horizontal="center"/>
    </xf>
    <xf numFmtId="0" fontId="10" fillId="0" borderId="1" applyAlignment="1" pivotButton="0" quotePrefix="0" xfId="0">
      <alignment horizontal="center"/>
    </xf>
    <xf numFmtId="0" fontId="19" fillId="6" borderId="1" pivotButton="0" quotePrefix="0" xfId="0"/>
    <xf numFmtId="0" fontId="20" fillId="4" borderId="0" applyAlignment="1" pivotButton="0" quotePrefix="0" xfId="0">
      <alignment horizontal="center"/>
    </xf>
    <xf numFmtId="167" fontId="20" fillId="4" borderId="0" applyAlignment="1" pivotButton="0" quotePrefix="0" xfId="0">
      <alignment horizontal="center"/>
    </xf>
    <xf numFmtId="0" fontId="21" fillId="0" borderId="0" applyAlignment="1" pivotButton="0" quotePrefix="0" xfId="0">
      <alignment horizontal="center"/>
    </xf>
    <xf numFmtId="167" fontId="21" fillId="0" borderId="0" applyAlignment="1" pivotButton="0" quotePrefix="0" xfId="0">
      <alignment horizontal="center"/>
    </xf>
    <xf numFmtId="0" fontId="22" fillId="3" borderId="0" applyAlignment="1" pivotButton="0" quotePrefix="0" xfId="0">
      <alignment horizontal="left" vertical="center" indent="1"/>
    </xf>
    <xf numFmtId="0" fontId="23" fillId="7" borderId="0" applyAlignment="1" pivotButton="0" quotePrefix="0" xfId="0">
      <alignment horizontal="left" vertical="center" indent="1"/>
    </xf>
    <xf numFmtId="0" fontId="10" fillId="0" borderId="1" applyAlignment="1" pivotButton="0" quotePrefix="0" xfId="0">
      <alignment horizontal="left" indent="1"/>
    </xf>
    <xf numFmtId="3" fontId="10" fillId="4" borderId="1" applyAlignment="1" pivotButton="0" quotePrefix="0" xfId="0">
      <alignment horizontal="center"/>
    </xf>
    <xf numFmtId="3" fontId="4" fillId="4" borderId="1" applyAlignment="1" pivotButton="0" quotePrefix="0" xfId="0">
      <alignment horizontal="center"/>
    </xf>
    <xf numFmtId="168" fontId="10" fillId="4" borderId="1" applyAlignment="1" pivotButton="0" quotePrefix="0" xfId="0">
      <alignment horizontal="center"/>
    </xf>
    <xf numFmtId="9" fontId="10" fillId="4" borderId="1" applyAlignment="1" pivotButton="0" quotePrefix="0" xfId="0">
      <alignment horizontal="center"/>
    </xf>
    <xf numFmtId="3" fontId="10" fillId="7" borderId="1" applyAlignment="1" pivotButton="0" quotePrefix="0" xfId="0">
      <alignment horizontal="center"/>
    </xf>
    <xf numFmtId="0" fontId="4" fillId="0" borderId="1" applyAlignment="1" pivotButton="0" quotePrefix="0" xfId="0">
      <alignment horizontal="left" indent="1"/>
    </xf>
    <xf numFmtId="165" fontId="10" fillId="4" borderId="1" applyAlignment="1" pivotButton="0" quotePrefix="0" xfId="0">
      <alignment horizontal="center"/>
    </xf>
    <xf numFmtId="165" fontId="4" fillId="4" borderId="1" applyAlignment="1" pivotButton="0" quotePrefix="0" xfId="0">
      <alignment horizontal="center"/>
    </xf>
    <xf numFmtId="169" fontId="10" fillId="4" borderId="1" applyAlignment="1" pivotButton="0" quotePrefix="0" xfId="0">
      <alignment horizontal="center"/>
    </xf>
    <xf numFmtId="170" fontId="10" fillId="4" borderId="1" applyAlignment="1" pivotButton="0" quotePrefix="0" xfId="0">
      <alignment horizontal="center"/>
    </xf>
    <xf numFmtId="170" fontId="4" fillId="4" borderId="1" applyAlignment="1" pivotButton="0" quotePrefix="0" xfId="0">
      <alignment horizontal="center"/>
    </xf>
    <xf numFmtId="171" fontId="10" fillId="4" borderId="1" applyAlignment="1" pivotButton="0" quotePrefix="0" xfId="0">
      <alignment horizontal="center"/>
    </xf>
    <xf numFmtId="0" fontId="22" fillId="7" borderId="0" applyAlignment="1" pivotButton="0" quotePrefix="0" xfId="0">
      <alignment horizontal="left" vertical="center" indent="1"/>
    </xf>
    <xf numFmtId="0" fontId="24" fillId="4" borderId="1" applyAlignment="1" pivotButton="0" quotePrefix="0" xfId="0">
      <alignment horizontal="left" indent="1"/>
    </xf>
    <xf numFmtId="0" fontId="14" fillId="0" borderId="0" applyAlignment="1" pivotButton="0" quotePrefix="0" xfId="0">
      <alignment vertical="center" wrapText="1" indent="1"/>
    </xf>
    <xf numFmtId="0" fontId="25" fillId="2" borderId="0" applyAlignment="1" pivotButton="0" quotePrefix="0" xfId="0">
      <alignment horizontal="center" vertical="center"/>
    </xf>
    <xf numFmtId="0" fontId="12" fillId="0" borderId="0" applyAlignment="1" pivotButton="0" quotePrefix="0" xfId="0">
      <alignment horizontal="left" vertical="center" indent="1"/>
    </xf>
    <xf numFmtId="165" fontId="26" fillId="2" borderId="0" applyAlignment="1" pivotButton="0" quotePrefix="0" xfId="0">
      <alignment horizontal="center" vertical="center"/>
    </xf>
    <xf numFmtId="9" fontId="26" fillId="2" borderId="0" applyAlignment="1" pivotButton="0" quotePrefix="0" xfId="0">
      <alignment horizontal="center" vertical="center"/>
    </xf>
    <xf numFmtId="3" fontId="26" fillId="2" borderId="0" applyAlignment="1" pivotButton="0" quotePrefix="0" xfId="0">
      <alignment horizontal="center" vertical="center"/>
    </xf>
    <xf numFmtId="0" fontId="10" fillId="0" borderId="0" applyAlignment="1" pivotButton="0" quotePrefix="0" xfId="0">
      <alignment horizontal="left" vertical="center" indent="1"/>
    </xf>
    <xf numFmtId="0" fontId="27" fillId="0" borderId="0" applyAlignment="1" pivotButton="0" quotePrefix="0" xfId="0">
      <alignment horizontal="center"/>
    </xf>
    <xf numFmtId="0" fontId="28" fillId="8" borderId="0" applyAlignment="1" pivotButton="0" quotePrefix="0" xfId="0">
      <alignment horizontal="center" vertical="center"/>
    </xf>
    <xf numFmtId="0" fontId="20" fillId="0" borderId="0" applyAlignment="1" pivotButton="0" quotePrefix="0" xfId="0">
      <alignment horizontal="center"/>
    </xf>
    <xf numFmtId="0" fontId="21" fillId="0" borderId="0" applyAlignment="1" pivotButton="0" quotePrefix="0" xfId="0">
      <alignment horizontal="left" indent="1"/>
    </xf>
    <xf numFmtId="172" fontId="20" fillId="0" borderId="0" applyAlignment="1" pivotButton="0" quotePrefix="0" xfId="0">
      <alignment horizontal="center"/>
    </xf>
    <xf numFmtId="0" fontId="4" fillId="0" borderId="0" applyAlignment="1" pivotButton="0" quotePrefix="0" xfId="0">
      <alignment horizontal="left" indent="2"/>
    </xf>
    <xf numFmtId="0" fontId="10" fillId="0" borderId="0" applyAlignment="1" pivotButton="0" quotePrefix="0" xfId="0">
      <alignment horizontal="left" indent="2"/>
    </xf>
    <xf numFmtId="0" fontId="29" fillId="2" borderId="0" applyAlignment="1" pivotButton="0" quotePrefix="0" xfId="0">
      <alignment horizontal="center" vertical="center" wrapText="1"/>
    </xf>
    <xf numFmtId="9" fontId="12" fillId="7" borderId="1" applyAlignment="1" pivotButton="0" quotePrefix="0" xfId="0">
      <alignment horizontal="center"/>
    </xf>
    <xf numFmtId="173" fontId="4" fillId="4" borderId="1" applyAlignment="1" pivotButton="0" quotePrefix="0" xfId="0">
      <alignment horizontal="center"/>
    </xf>
    <xf numFmtId="173" fontId="5" fillId="7" borderId="1" applyAlignment="1" pivotButton="0" quotePrefix="0" xfId="0">
      <alignment horizontal="center"/>
    </xf>
    <xf numFmtId="0" fontId="4" fillId="0" borderId="0" applyAlignment="1" pivotButton="0" quotePrefix="0" xfId="0">
      <alignment horizontal="left" indent="1"/>
    </xf>
    <xf numFmtId="0" fontId="30" fillId="0" borderId="0" pivotButton="0" quotePrefix="0" xfId="0"/>
    <xf numFmtId="0" fontId="2" fillId="7" borderId="6" applyAlignment="1" pivotButton="0" quotePrefix="0" xfId="0">
      <alignment horizontal="center" vertical="center"/>
    </xf>
    <xf numFmtId="0" fontId="0" fillId="0" borderId="6" pivotButton="0" quotePrefix="0" xfId="0"/>
    <xf numFmtId="166" fontId="4" fillId="4" borderId="1" pivotButton="0" quotePrefix="0" xfId="0"/>
    <xf numFmtId="168" fontId="4" fillId="4" borderId="1" applyAlignment="1" pivotButton="0" quotePrefix="0" xfId="0">
      <alignment horizontal="center"/>
    </xf>
    <xf numFmtId="0" fontId="4" fillId="6" borderId="1" applyAlignment="1" pivotButton="0" quotePrefix="0" xfId="0">
      <alignment horizontal="left"/>
    </xf>
    <xf numFmtId="0" fontId="4" fillId="0" borderId="1" applyAlignment="1" pivotButton="0" quotePrefix="0" xfId="0">
      <alignment vertical="center" indent="1"/>
    </xf>
    <xf numFmtId="9" fontId="16" fillId="6" borderId="1" applyAlignment="1" pivotButton="0" quotePrefix="0" xfId="0">
      <alignment horizontal="center"/>
    </xf>
    <xf numFmtId="0" fontId="14" fillId="0" borderId="0" applyAlignment="1" pivotButton="0" quotePrefix="0" xfId="0">
      <alignment vertical="top" wrapText="1"/>
    </xf>
    <xf numFmtId="0" fontId="31" fillId="7" borderId="0" applyAlignment="1" pivotButton="0" quotePrefix="0" xfId="0">
      <alignment horizontal="left" vertical="center" indent="1"/>
    </xf>
    <xf numFmtId="0" fontId="30" fillId="0" borderId="0" applyAlignment="1" pivotButton="0" quotePrefix="0" xfId="0">
      <alignment horizontal="right" vertical="top" indent="1"/>
    </xf>
    <xf numFmtId="0" fontId="32" fillId="0" borderId="0" applyAlignment="1" pivotButton="0" quotePrefix="0" xfId="0">
      <alignment horizontal="right" vertical="top" indent="1"/>
    </xf>
    <xf numFmtId="0" fontId="33" fillId="0" borderId="0" applyAlignment="1" pivotButton="0" quotePrefix="0" xfId="0">
      <alignment horizontal="right" vertical="top" indent="1"/>
    </xf>
    <xf numFmtId="0" fontId="8" fillId="0" borderId="0" applyAlignment="1" pivotButton="0" quotePrefix="0" xfId="0">
      <alignment horizontal="right" vertical="top" indent="1"/>
    </xf>
    <xf numFmtId="166" fontId="4" fillId="0" borderId="0" pivotButton="0" quotePrefix="0" xfId="0"/>
    <xf numFmtId="0" fontId="9" fillId="0" borderId="0" applyAlignment="1" pivotButton="0" quotePrefix="0" xfId="0">
      <alignment horizontal="center"/>
    </xf>
  </cellXfs>
  <cellStyles count="1">
    <cellStyle name="Normal" xfId="0" builtinId="0" hidden="0"/>
  </cellStyles>
  <dxfs count="5">
    <dxf>
      <font>
        <name val="Arial"/>
        <b val="1"/>
        <color rgb="002F6B3A"/>
      </font>
      <fill>
        <patternFill patternType="solid">
          <bgColor rgb="00E7F0E5"/>
        </patternFill>
      </fill>
    </dxf>
    <dxf>
      <font>
        <name val="Arial"/>
        <color rgb="00A83A2C"/>
      </font>
      <fill>
        <patternFill patternType="solid">
          <bgColor rgb="00F7E4E0"/>
        </patternFill>
      </fill>
    </dxf>
    <dxf>
      <font>
        <name val="Arial"/>
        <b val="1"/>
        <color rgb="00A83A2C"/>
      </font>
      <fill>
        <patternFill patternType="solid">
          <bgColor rgb="00F7E4E0"/>
        </patternFill>
      </fill>
    </dxf>
    <dxf>
      <font>
        <name val="Arial"/>
        <b val="1"/>
        <color rgb="001B1916"/>
      </font>
      <fill>
        <patternFill patternType="solid">
          <bgColor rgb="00EFE1C6"/>
        </patternFill>
      </fill>
    </dxf>
    <dxf>
      <font>
        <name val="Arial"/>
        <b val="1"/>
        <color rgb="009A6B0F"/>
      </font>
      <fill>
        <patternFill patternType="solid">
          <bgColor rgb="00FDF0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rPr sz="1100" b="1">
                <a:solidFill>
                  <a:srgbClr val="3A3833"/>
                </a:solidFill>
              </a:rPr>
              <a:t>DMs sent vs replies</a:t>
            </a:r>
          </a:p>
        </rich>
      </tx>
    </title>
    <plotArea>
      <lineChart>
        <grouping val="standard"/>
        <ser>
          <idx val="0"/>
          <order val="0"/>
          <tx>
            <strRef>
              <f>'Weekly Rollup'!H3</f>
            </strRef>
          </tx>
          <spPr>
            <a:ln w="28575">
              <a:solidFill>
                <a:srgbClr val="C8931A"/>
              </a:solidFill>
              <a:prstDash val="solid"/>
            </a:ln>
          </spPr>
          <marker>
            <symbol val="circle"/>
            <size val="6"/>
            <spPr>
              <a:solidFill>
                <a:srgbClr val="C8931A"/>
              </a:solidFill>
              <a:ln>
                <a:solidFill>
                  <a:srgbClr val="C8931A"/>
                </a:solidFill>
                <a:prstDash val="solid"/>
              </a:ln>
            </spPr>
          </marker>
          <cat>
            <numRef>
              <f>'Weekly Rollup'!$B$4:$B$16</f>
            </numRef>
          </cat>
          <val>
            <numRef>
              <f>'Weekly Rollup'!$H$4:$H$16</f>
            </numRef>
          </val>
          <smooth val="0"/>
        </ser>
        <ser>
          <idx val="1"/>
          <order val="1"/>
          <tx>
            <strRef>
              <f>'Weekly Rollup'!I3</f>
            </strRef>
          </tx>
          <spPr>
            <a:ln w="28575">
              <a:solidFill>
                <a:srgbClr val="0D8F7A"/>
              </a:solidFill>
              <a:prstDash val="solid"/>
            </a:ln>
          </spPr>
          <marker>
            <symbol val="circle"/>
            <size val="6"/>
            <spPr>
              <a:solidFill>
                <a:srgbClr val="0D8F7A"/>
              </a:solidFill>
              <a:ln>
                <a:solidFill>
                  <a:srgbClr val="0D8F7A"/>
                </a:solidFill>
                <a:prstDash val="solid"/>
              </a:ln>
            </spPr>
          </marker>
          <cat>
            <numRef>
              <f>'Weekly Rollup'!$B$4:$B$16</f>
            </numRef>
          </cat>
          <val>
            <numRef>
              <f>'Weekly Rollup'!$I$4:$I$16</f>
            </numRef>
          </val>
          <smooth val="0"/>
        </ser>
        <axId val="10"/>
        <axId val="100"/>
      </lineChart>
      <catAx>
        <axId val="10"/>
        <scaling>
          <orientation val="minMax"/>
        </scaling>
        <delete val="0"/>
        <axPos val="l"/>
        <majorTickMark val="none"/>
        <minorTickMark val="none"/>
        <spPr>
          <a:ln>
            <a:solidFill>
              <a:srgbClr val="D6D3CC"/>
            </a:solidFill>
            <a:prstDash val="solid"/>
          </a:ln>
        </spPr>
        <txPr>
          <a:bodyPr/>
          <a:p>
            <a:pPr>
              <a:defRPr sz="800" b="0">
                <a:solidFill>
                  <a:srgbClr val="6E6A62"/>
                </a:solidFill>
              </a:defRPr>
            </a:pPr>
            <a:r>
              <a:t/>
            </a:r>
            <a:endParaRPr sz="800" b="0">
              <a:solidFill>
                <a:srgbClr val="6E6A62"/>
              </a:solidFill>
            </a:endParaRPr>
          </a:p>
        </txPr>
        <crossAx val="100"/>
        <lblOffset val="100"/>
      </catAx>
      <valAx>
        <axId val="100"/>
        <scaling>
          <orientation val="minMax"/>
        </scaling>
        <delete val="0"/>
        <axPos val="l"/>
        <majorTickMark val="none"/>
        <minorTickMark val="none"/>
        <spPr>
          <a:ln>
            <a:noFill/>
            <a:prstDash val="solid"/>
          </a:ln>
        </spPr>
        <txPr>
          <a:bodyPr/>
          <a:p>
            <a:pPr>
              <a:defRPr sz="800" b="0">
                <a:solidFill>
                  <a:srgbClr val="6E6A62"/>
                </a:solidFill>
              </a:defRPr>
            </a:pPr>
            <a:r>
              <a:t/>
            </a:r>
            <a:endParaRPr sz="800" b="0">
              <a:solidFill>
                <a:srgbClr val="6E6A62"/>
              </a:solidFill>
            </a:endParaRPr>
          </a:p>
        </txPr>
        <crossAx val="10"/>
      </valAx>
    </plotArea>
    <legend>
      <legendPos val="b"/>
      <overlay val="0"/>
      <txPr>
        <a:bodyPr/>
        <a:p>
          <a:pPr>
            <a:defRPr sz="900" b="0">
              <a:solidFill>
                <a:srgbClr val="6E6A62"/>
              </a:solidFill>
            </a:defRPr>
          </a:pPr>
          <a:r>
            <a:t/>
          </a:r>
          <a:endParaRPr sz="900" b="0">
            <a:solidFill>
              <a:srgbClr val="6E6A62"/>
            </a:solidFill>
          </a:endParaRPr>
        </a:p>
      </txP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rPr sz="1100" b="1">
                <a:solidFill>
                  <a:srgbClr val="3A3833"/>
                </a:solidFill>
              </a:rPr>
              <a:t>Calls booked vs closes</a:t>
            </a:r>
          </a:p>
        </rich>
      </tx>
    </title>
    <plotArea>
      <barChart>
        <barDir val="col"/>
        <grouping val="clustered"/>
        <ser>
          <idx val="0"/>
          <order val="0"/>
          <tx>
            <strRef>
              <f>'Weekly Rollup'!K3</f>
            </strRef>
          </tx>
          <spPr>
            <a:solidFill>
              <a:srgbClr val="C8931A"/>
            </a:solidFill>
            <a:ln>
              <a:noFill/>
              <a:prstDash val="solid"/>
            </a:ln>
          </spPr>
          <cat>
            <numRef>
              <f>'Weekly Rollup'!$B$4:$B$16</f>
            </numRef>
          </cat>
          <val>
            <numRef>
              <f>'Weekly Rollup'!$K$4:$K$16</f>
            </numRef>
          </val>
        </ser>
        <ser>
          <idx val="1"/>
          <order val="1"/>
          <tx>
            <strRef>
              <f>'Weekly Rollup'!M3</f>
            </strRef>
          </tx>
          <spPr>
            <a:solidFill>
              <a:srgbClr val="0D8F7A"/>
            </a:solidFill>
            <a:ln>
              <a:noFill/>
              <a:prstDash val="solid"/>
            </a:ln>
          </spPr>
          <cat>
            <numRef>
              <f>'Weekly Rollup'!$B$4:$B$16</f>
            </numRef>
          </cat>
          <val>
            <numRef>
              <f>'Weekly Rollup'!$M$4:$M$16</f>
            </numRef>
          </val>
        </ser>
        <gapWidth val="45"/>
        <axId val="10"/>
        <axId val="100"/>
      </barChart>
      <catAx>
        <axId val="10"/>
        <scaling>
          <orientation val="minMax"/>
        </scaling>
        <delete val="0"/>
        <axPos val="l"/>
        <majorTickMark val="none"/>
        <minorTickMark val="none"/>
        <spPr>
          <a:ln>
            <a:solidFill>
              <a:srgbClr val="D6D3CC"/>
            </a:solidFill>
            <a:prstDash val="solid"/>
          </a:ln>
        </spPr>
        <txPr>
          <a:bodyPr/>
          <a:p>
            <a:pPr>
              <a:defRPr sz="800" b="0">
                <a:solidFill>
                  <a:srgbClr val="6E6A62"/>
                </a:solidFill>
              </a:defRPr>
            </a:pPr>
            <a:r>
              <a:t/>
            </a:r>
            <a:endParaRPr sz="800" b="0">
              <a:solidFill>
                <a:srgbClr val="6E6A62"/>
              </a:solidFill>
            </a:endParaRPr>
          </a:p>
        </txPr>
        <crossAx val="100"/>
        <lblOffset val="100"/>
      </catAx>
      <valAx>
        <axId val="100"/>
        <scaling>
          <orientation val="minMax"/>
        </scaling>
        <delete val="0"/>
        <axPos val="l"/>
        <majorTickMark val="none"/>
        <minorTickMark val="none"/>
        <spPr>
          <a:ln>
            <a:noFill/>
            <a:prstDash val="solid"/>
          </a:ln>
        </spPr>
        <txPr>
          <a:bodyPr/>
          <a:p>
            <a:pPr>
              <a:defRPr sz="800" b="0">
                <a:solidFill>
                  <a:srgbClr val="6E6A62"/>
                </a:solidFill>
              </a:defRPr>
            </a:pPr>
            <a:r>
              <a:t/>
            </a:r>
            <a:endParaRPr sz="800" b="0">
              <a:solidFill>
                <a:srgbClr val="6E6A62"/>
              </a:solidFill>
            </a:endParaRPr>
          </a:p>
        </txPr>
        <crossAx val="10"/>
      </valAx>
    </plotArea>
    <legend>
      <legendPos val="b"/>
      <overlay val="0"/>
      <txPr>
        <a:bodyPr/>
        <a:p>
          <a:pPr>
            <a:defRPr sz="900" b="0">
              <a:solidFill>
                <a:srgbClr val="6E6A62"/>
              </a:solidFill>
            </a:defRPr>
          </a:pPr>
          <a:r>
            <a:t/>
          </a:r>
          <a:endParaRPr sz="900" b="0">
            <a:solidFill>
              <a:srgbClr val="6E6A62"/>
            </a:solidFill>
          </a:endParaRPr>
        </a:p>
      </txP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rPr sz="1100" b="1">
                <a:solidFill>
                  <a:srgbClr val="3A3833"/>
                </a:solidFill>
              </a:rPr>
              <a:t>Cash collected per week</a:t>
            </a:r>
          </a:p>
        </rich>
      </tx>
    </title>
    <plotArea>
      <barChart>
        <barDir val="col"/>
        <grouping val="clustered"/>
        <ser>
          <idx val="0"/>
          <order val="0"/>
          <tx>
            <strRef>
              <f>'Weekly Rollup'!N3</f>
            </strRef>
          </tx>
          <spPr>
            <a:solidFill>
              <a:srgbClr val="C8931A"/>
            </a:solidFill>
            <a:ln>
              <a:noFill/>
              <a:prstDash val="solid"/>
            </a:ln>
          </spPr>
          <cat>
            <numRef>
              <f>'Weekly Rollup'!$B$4:$B$16</f>
            </numRef>
          </cat>
          <val>
            <numRef>
              <f>'Weekly Rollup'!$N$4:$N$16</f>
            </numRef>
          </val>
        </ser>
        <gapWidth val="45"/>
        <axId val="10"/>
        <axId val="100"/>
      </barChart>
      <catAx>
        <axId val="10"/>
        <scaling>
          <orientation val="minMax"/>
        </scaling>
        <delete val="0"/>
        <axPos val="l"/>
        <majorTickMark val="none"/>
        <minorTickMark val="none"/>
        <spPr>
          <a:ln>
            <a:solidFill>
              <a:srgbClr val="D6D3CC"/>
            </a:solidFill>
            <a:prstDash val="solid"/>
          </a:ln>
        </spPr>
        <txPr>
          <a:bodyPr/>
          <a:p>
            <a:pPr>
              <a:defRPr sz="800" b="0">
                <a:solidFill>
                  <a:srgbClr val="6E6A62"/>
                </a:solidFill>
              </a:defRPr>
            </a:pPr>
            <a:r>
              <a:t/>
            </a:r>
            <a:endParaRPr sz="800" b="0">
              <a:solidFill>
                <a:srgbClr val="6E6A62"/>
              </a:solidFill>
            </a:endParaRPr>
          </a:p>
        </txPr>
        <crossAx val="100"/>
        <lblOffset val="100"/>
      </catAx>
      <valAx>
        <axId val="100"/>
        <scaling>
          <orientation val="minMax"/>
        </scaling>
        <delete val="0"/>
        <axPos val="l"/>
        <majorTickMark val="none"/>
        <minorTickMark val="none"/>
        <spPr>
          <a:ln>
            <a:noFill/>
            <a:prstDash val="solid"/>
          </a:ln>
        </spPr>
        <txPr>
          <a:bodyPr/>
          <a:p>
            <a:pPr>
              <a:defRPr sz="800" b="0">
                <a:solidFill>
                  <a:srgbClr val="6E6A62"/>
                </a:solidFill>
              </a:defRPr>
            </a:pPr>
            <a:r>
              <a:t/>
            </a:r>
            <a:endParaRPr sz="800" b="0">
              <a:solidFill>
                <a:srgbClr val="6E6A62"/>
              </a:solidFill>
            </a:endParaRPr>
          </a:p>
        </txPr>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rPr sz="1100" b="1">
                <a:solidFill>
                  <a:srgbClr val="3A3833"/>
                </a:solidFill>
              </a:rPr>
              <a:t>Reply, book and close rate</a:t>
            </a:r>
          </a:p>
        </rich>
      </tx>
    </title>
    <plotArea>
      <lineChart>
        <grouping val="standard"/>
        <ser>
          <idx val="0"/>
          <order val="0"/>
          <tx>
            <strRef>
              <f>'Weekly Rollup'!P3</f>
            </strRef>
          </tx>
          <spPr>
            <a:ln w="28575">
              <a:solidFill>
                <a:srgbClr val="C8931A"/>
              </a:solidFill>
              <a:prstDash val="solid"/>
            </a:ln>
          </spPr>
          <marker>
            <symbol val="circle"/>
            <size val="6"/>
            <spPr>
              <a:solidFill>
                <a:srgbClr val="C8931A"/>
              </a:solidFill>
              <a:ln>
                <a:solidFill>
                  <a:srgbClr val="C8931A"/>
                </a:solidFill>
                <a:prstDash val="solid"/>
              </a:ln>
            </spPr>
          </marker>
          <cat>
            <numRef>
              <f>'Weekly Rollup'!$B$4:$B$16</f>
            </numRef>
          </cat>
          <val>
            <numRef>
              <f>'Weekly Rollup'!$P$4:$P$16</f>
            </numRef>
          </val>
          <smooth val="0"/>
        </ser>
        <ser>
          <idx val="1"/>
          <order val="1"/>
          <tx>
            <strRef>
              <f>'Weekly Rollup'!R3</f>
            </strRef>
          </tx>
          <spPr>
            <a:ln w="28575">
              <a:solidFill>
                <a:srgbClr val="0D8F7A"/>
              </a:solidFill>
              <a:prstDash val="solid"/>
            </a:ln>
          </spPr>
          <marker>
            <symbol val="circle"/>
            <size val="6"/>
            <spPr>
              <a:solidFill>
                <a:srgbClr val="0D8F7A"/>
              </a:solidFill>
              <a:ln>
                <a:solidFill>
                  <a:srgbClr val="0D8F7A"/>
                </a:solidFill>
                <a:prstDash val="solid"/>
              </a:ln>
            </spPr>
          </marker>
          <cat>
            <numRef>
              <f>'Weekly Rollup'!$B$4:$B$16</f>
            </numRef>
          </cat>
          <val>
            <numRef>
              <f>'Weekly Rollup'!$R$4:$R$16</f>
            </numRef>
          </val>
          <smooth val="0"/>
        </ser>
        <ser>
          <idx val="2"/>
          <order val="2"/>
          <tx>
            <strRef>
              <f>'Weekly Rollup'!T3</f>
            </strRef>
          </tx>
          <spPr>
            <a:ln w="28575">
              <a:solidFill>
                <a:srgbClr val="C4552B"/>
              </a:solidFill>
              <a:prstDash val="solid"/>
            </a:ln>
          </spPr>
          <marker>
            <symbol val="circle"/>
            <size val="6"/>
            <spPr>
              <a:solidFill>
                <a:srgbClr val="C4552B"/>
              </a:solidFill>
              <a:ln>
                <a:solidFill>
                  <a:srgbClr val="C4552B"/>
                </a:solidFill>
                <a:prstDash val="solid"/>
              </a:ln>
            </spPr>
          </marker>
          <cat>
            <numRef>
              <f>'Weekly Rollup'!$B$4:$B$16</f>
            </numRef>
          </cat>
          <val>
            <numRef>
              <f>'Weekly Rollup'!$T$4:$T$16</f>
            </numRef>
          </val>
          <smooth val="0"/>
        </ser>
        <axId val="10"/>
        <axId val="100"/>
      </lineChart>
      <catAx>
        <axId val="10"/>
        <scaling>
          <orientation val="minMax"/>
        </scaling>
        <delete val="0"/>
        <axPos val="l"/>
        <majorTickMark val="none"/>
        <minorTickMark val="none"/>
        <spPr>
          <a:ln>
            <a:solidFill>
              <a:srgbClr val="D6D3CC"/>
            </a:solidFill>
            <a:prstDash val="solid"/>
          </a:ln>
        </spPr>
        <txPr>
          <a:bodyPr/>
          <a:p>
            <a:pPr>
              <a:defRPr sz="800" b="0">
                <a:solidFill>
                  <a:srgbClr val="6E6A62"/>
                </a:solidFill>
              </a:defRPr>
            </a:pPr>
            <a:r>
              <a:t/>
            </a:r>
            <a:endParaRPr sz="800" b="0">
              <a:solidFill>
                <a:srgbClr val="6E6A62"/>
              </a:solidFill>
            </a:endParaRPr>
          </a:p>
        </txPr>
        <crossAx val="100"/>
        <lblOffset val="100"/>
      </catAx>
      <valAx>
        <axId val="100"/>
        <scaling>
          <orientation val="minMax"/>
        </scaling>
        <delete val="0"/>
        <axPos val="l"/>
        <majorTickMark val="none"/>
        <minorTickMark val="none"/>
        <spPr>
          <a:ln>
            <a:noFill/>
            <a:prstDash val="solid"/>
          </a:ln>
        </spPr>
        <txPr>
          <a:bodyPr/>
          <a:p>
            <a:pPr>
              <a:defRPr sz="800" b="0">
                <a:solidFill>
                  <a:srgbClr val="6E6A62"/>
                </a:solidFill>
              </a:defRPr>
            </a:pPr>
            <a:r>
              <a:t/>
            </a:r>
            <a:endParaRPr sz="800" b="0">
              <a:solidFill>
                <a:srgbClr val="6E6A62"/>
              </a:solidFill>
            </a:endParaRPr>
          </a:p>
        </txPr>
        <crossAx val="10"/>
      </valAx>
    </plotArea>
    <legend>
      <legendPos val="b"/>
      <overlay val="0"/>
      <txPr>
        <a:bodyPr/>
        <a:p>
          <a:pPr>
            <a:defRPr sz="900" b="0">
              <a:solidFill>
                <a:srgbClr val="6E6A62"/>
              </a:solidFill>
            </a:defRPr>
          </a:pPr>
          <a:r>
            <a:t/>
          </a:r>
          <a:endParaRPr sz="900" b="0">
            <a:solidFill>
              <a:srgbClr val="6E6A62"/>
            </a:solidFill>
          </a:endParaRPr>
        </a:p>
      </txP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rPr sz="1100" b="1">
                <a:solidFill>
                  <a:srgbClr val="3A3833"/>
                </a:solidFill>
              </a:rPr>
              <a:t>Follower growth</a:t>
            </a:r>
          </a:p>
        </rich>
      </tx>
    </title>
    <plotArea>
      <lineChart>
        <grouping val="standard"/>
        <ser>
          <idx val="0"/>
          <order val="0"/>
          <tx>
            <strRef>
              <f>'Instagram Tracker'!B19</f>
            </strRef>
          </tx>
          <spPr>
            <a:ln w="28575">
              <a:solidFill>
                <a:srgbClr val="C8931A"/>
              </a:solidFill>
              <a:prstDash val="solid"/>
            </a:ln>
          </spPr>
          <marker>
            <symbol val="circle"/>
            <size val="6"/>
            <spPr>
              <a:solidFill>
                <a:srgbClr val="C8931A"/>
              </a:solidFill>
              <a:ln>
                <a:solidFill>
                  <a:srgbClr val="C8931A"/>
                </a:solidFill>
                <a:prstDash val="solid"/>
              </a:ln>
            </spPr>
          </marker>
          <cat>
            <numRef>
              <f>'Instagram Tracker'!$A$20:$A$72</f>
            </numRef>
          </cat>
          <val>
            <numRef>
              <f>'Instagram Tracker'!$B$20:$B$72</f>
            </numRef>
          </val>
          <smooth val="0"/>
        </ser>
        <axId val="10"/>
        <axId val="100"/>
      </lineChart>
      <catAx>
        <axId val="10"/>
        <scaling>
          <orientation val="minMax"/>
        </scaling>
        <delete val="0"/>
        <axPos val="l"/>
        <majorTickMark val="none"/>
        <minorTickMark val="none"/>
        <spPr>
          <a:ln>
            <a:solidFill>
              <a:srgbClr val="D6D3CC"/>
            </a:solidFill>
            <a:prstDash val="solid"/>
          </a:ln>
        </spPr>
        <txPr>
          <a:bodyPr/>
          <a:p>
            <a:pPr>
              <a:defRPr sz="800" b="0">
                <a:solidFill>
                  <a:srgbClr val="6E6A62"/>
                </a:solidFill>
              </a:defRPr>
            </a:pPr>
            <a:r>
              <a:t/>
            </a:r>
            <a:endParaRPr sz="800" b="0">
              <a:solidFill>
                <a:srgbClr val="6E6A62"/>
              </a:solidFill>
            </a:endParaRPr>
          </a:p>
        </txPr>
        <crossAx val="100"/>
        <lblOffset val="100"/>
      </catAx>
      <valAx>
        <axId val="100"/>
        <scaling>
          <orientation val="minMax"/>
        </scaling>
        <delete val="0"/>
        <axPos val="l"/>
        <majorTickMark val="none"/>
        <minorTickMark val="none"/>
        <spPr>
          <a:ln>
            <a:noFill/>
            <a:prstDash val="solid"/>
          </a:ln>
        </spPr>
        <txPr>
          <a:bodyPr/>
          <a:p>
            <a:pPr>
              <a:defRPr sz="800" b="0">
                <a:solidFill>
                  <a:srgbClr val="6E6A62"/>
                </a:solidFill>
              </a:defRPr>
            </a:pPr>
            <a:r>
              <a:t/>
            </a:r>
            <a:endParaRPr sz="800" b="0">
              <a:solidFill>
                <a:srgbClr val="6E6A62"/>
              </a:solidFill>
            </a:endParaRPr>
          </a:p>
        </txPr>
        <crossAx val="10"/>
      </valAx>
    </plotArea>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rPr sz="1100" b="1">
                <a:solidFill>
                  <a:srgbClr val="3A3833"/>
                </a:solidFill>
              </a:rPr>
              <a:t>Accounts reached per week</a:t>
            </a:r>
          </a:p>
        </rich>
      </tx>
    </title>
    <plotArea>
      <barChart>
        <barDir val="col"/>
        <grouping val="clustered"/>
        <ser>
          <idx val="0"/>
          <order val="0"/>
          <tx>
            <strRef>
              <f>'Instagram Tracker'!E19</f>
            </strRef>
          </tx>
          <spPr>
            <a:solidFill>
              <a:srgbClr val="0D8F7A"/>
            </a:solidFill>
            <a:ln>
              <a:noFill/>
              <a:prstDash val="solid"/>
            </a:ln>
          </spPr>
          <cat>
            <numRef>
              <f>'Instagram Tracker'!$A$20:$A$72</f>
            </numRef>
          </cat>
          <val>
            <numRef>
              <f>'Instagram Tracker'!$E$20:$E$72</f>
            </numRef>
          </val>
        </ser>
        <gapWidth val="45"/>
        <axId val="10"/>
        <axId val="100"/>
      </barChart>
      <catAx>
        <axId val="10"/>
        <scaling>
          <orientation val="minMax"/>
        </scaling>
        <delete val="0"/>
        <axPos val="l"/>
        <majorTickMark val="none"/>
        <minorTickMark val="none"/>
        <spPr>
          <a:ln>
            <a:solidFill>
              <a:srgbClr val="D6D3CC"/>
            </a:solidFill>
            <a:prstDash val="solid"/>
          </a:ln>
        </spPr>
        <txPr>
          <a:bodyPr/>
          <a:p>
            <a:pPr>
              <a:defRPr sz="800" b="0">
                <a:solidFill>
                  <a:srgbClr val="6E6A62"/>
                </a:solidFill>
              </a:defRPr>
            </a:pPr>
            <a:r>
              <a:t/>
            </a:r>
            <a:endParaRPr sz="800" b="0">
              <a:solidFill>
                <a:srgbClr val="6E6A62"/>
              </a:solidFill>
            </a:endParaRPr>
          </a:p>
        </txPr>
        <crossAx val="100"/>
        <lblOffset val="100"/>
      </catAx>
      <valAx>
        <axId val="100"/>
        <scaling>
          <orientation val="minMax"/>
        </scaling>
        <delete val="0"/>
        <axPos val="l"/>
        <majorTickMark val="none"/>
        <minorTickMark val="none"/>
        <spPr>
          <a:ln>
            <a:noFill/>
            <a:prstDash val="solid"/>
          </a:ln>
        </spPr>
        <txPr>
          <a:bodyPr/>
          <a:p>
            <a:pPr>
              <a:defRPr sz="800" b="0">
                <a:solidFill>
                  <a:srgbClr val="6E6A62"/>
                </a:solidFill>
              </a:defRPr>
            </a:pPr>
            <a:r>
              <a:t/>
            </a:r>
            <a:endParaRPr sz="800" b="0">
              <a:solidFill>
                <a:srgbClr val="6E6A62"/>
              </a:solidFill>
            </a:endParaRPr>
          </a:p>
        </txPr>
        <crossAx val="10"/>
      </valAx>
    </plotArea>
    <plotVisOnly val="1"/>
    <dispBlanksAs val="gap"/>
  </chart>
</chartSpace>
</file>

<file path=xl/comments/comment1.xml><?xml version="1.0" encoding="utf-8"?>
<comments xmlns="http://schemas.openxmlformats.org/spreadsheetml/2006/main">
  <authors>
    <author>The Called</author>
  </authors>
  <commentList>
    <comment ref="D12" authorId="0" shapeId="0">
      <text>
        <t>The Called's standard: 5 posts, 5 stories, 20 opener DMs, 10 follow-ups. Change them per client if their programme says something different — every tab re-grades itself from these four cells.</t>
      </text>
    </comment>
  </commentList>
</comments>
</file>

<file path=xl/comments/comment2.xml><?xml version="1.0" encoding="utf-8"?>
<comments xmlns="http://schemas.openxmlformats.org/spreadsheetml/2006/main">
  <authors>
    <author>The Called</author>
  </authors>
  <commentList>
    <comment ref="Q3" authorId="0" shapeId="0">
      <text>
        <t>Three auto columns. Logged? is 1 on days you filled something in. Day Streak counts days logged in a row. Perfect Streak counts 4/4 days in a row. The dashboard reads all three — don't type in them or delete them.</t>
      </text>
    </comment>
  </commentList>
</comments>
</file>

<file path=xl/comments/comment3.xml><?xml version="1.0" encoding="utf-8"?>
<comments xmlns="http://schemas.openxmlformats.org/spreadsheetml/2006/main">
  <authors>
    <author>The Called</author>
  </authors>
  <commentList>
    <comment ref="A38" authorId="0" shapeId="0">
      <text>
        <t>The number that makes the daily standards feel worth it: what a hundred DMs is actually worth to you in cash.</t>
      </text>
    </comment>
  </commentList>
</comments>
</file>

<file path=xl/comments/comment4.xml><?xml version="1.0" encoding="utf-8"?>
<comments xmlns="http://schemas.openxmlformats.org/spreadsheetml/2006/main">
  <authors>
    <author>The Called</author>
  </authors>
  <commentList>
    <comment ref="J19" authorId="0" shapeId="0">
      <text>
        <t>Posts and Stories fill in automatically from your Daily Log — don't type here.</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48</row>
      <rowOff>0</rowOff>
    </from>
    <ext cx="5580000" cy="3024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48</row>
      <rowOff>0</rowOff>
    </from>
    <ext cx="5580000" cy="3024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70</row>
      <rowOff>0</rowOff>
    </from>
    <ext cx="5580000" cy="3024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70</row>
      <rowOff>0</rowOff>
    </from>
    <ext cx="5580000" cy="3024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15</col>
      <colOff>0</colOff>
      <row>3</row>
      <rowOff>0</rowOff>
    </from>
    <ext cx="5580000" cy="3024000"/>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21</row>
      <rowOff>0</rowOff>
    </from>
    <ext cx="5580000" cy="3024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00C4552B"/>
    <outlinePr summaryBelow="1" summaryRight="1"/>
    <pageSetUpPr/>
  </sheetPr>
  <dimension ref="A1:H34"/>
  <sheetViews>
    <sheetView showGridLines="0" workbookViewId="0">
      <selection activeCell="A1" sqref="A1"/>
    </sheetView>
  </sheetViews>
  <sheetFormatPr baseColWidth="8" defaultRowHeight="15"/>
  <cols>
    <col width="6" customWidth="1" min="1" max="1"/>
    <col width="26" customWidth="1" min="2" max="2"/>
    <col width="22" customWidth="1" min="3" max="3"/>
    <col width="56" customWidth="1" min="4" max="4"/>
    <col width="13" customWidth="1" min="5" max="5"/>
    <col width="13" customWidth="1" min="6" max="6"/>
    <col width="13" customWidth="1" min="7" max="7"/>
    <col width="13" customWidth="1" min="8" max="8"/>
  </cols>
  <sheetData>
    <row r="1" ht="46" customHeight="1">
      <c r="A1" s="1" t="inlineStr">
        <is>
          <t>DEMO · THE SCOREBOARD · SAMPLE DATA — REFERENCE ONLY</t>
        </is>
      </c>
    </row>
    <row r="2" ht="18" customHeight="1">
      <c r="A2" s="2" t="inlineStr">
        <is>
          <t>The work you put in, and what it turns into. Five minutes a week keeps it honest.</t>
        </is>
      </c>
    </row>
    <row r="4">
      <c r="B4" s="3" t="inlineStr">
        <is>
          <t>This is a sample. Do not work in it.</t>
        </is>
      </c>
    </row>
    <row r="5">
      <c r="B5" s="4" t="inlineStr">
        <is>
          <t>Every number in this file is made up, and it is here so you can see what the Scoreboard looks like once it has history in it. Your own copy starts empty — log in that one, not this one.</t>
        </is>
      </c>
    </row>
    <row r="6"/>
    <row r="8" ht="21" customHeight="1">
      <c r="A8" s="5" t="inlineStr">
        <is>
          <t>DO THESE IN ORDER</t>
        </is>
      </c>
    </row>
    <row r="9" ht="32" customHeight="1">
      <c r="A9" s="6" t="inlineStr">
        <is>
          <t>Step</t>
        </is>
      </c>
      <c r="B9" s="6" t="inlineStr">
        <is>
          <t>Tab</t>
        </is>
      </c>
      <c r="C9" s="6" t="inlineStr">
        <is>
          <t>When</t>
        </is>
      </c>
      <c r="D9" s="6" t="inlineStr">
        <is>
          <t>What you do</t>
        </is>
      </c>
    </row>
    <row r="10" ht="30" customHeight="1">
      <c r="A10" s="7" t="inlineStr">
        <is>
          <t>1</t>
        </is>
      </c>
      <c r="B10" s="8" t="inlineStr">
        <is>
          <t>Setup</t>
        </is>
      </c>
      <c r="C10" s="9" t="inlineStr">
        <is>
          <t>Once, right now</t>
        </is>
      </c>
      <c r="D10" s="10" t="inlineStr">
        <is>
          <t>Your name, your start date, your daily standards. Two minutes, never again.</t>
        </is>
      </c>
      <c r="E10" s="11" t="n"/>
      <c r="F10" s="11" t="n"/>
      <c r="G10" s="11" t="n"/>
      <c r="H10" s="11" t="n"/>
    </row>
    <row r="11" ht="30" customHeight="1">
      <c r="A11" s="12" t="inlineStr">
        <is>
          <t>2</t>
        </is>
      </c>
      <c r="B11" s="13" t="inlineStr">
        <is>
          <t>Daily Log</t>
        </is>
      </c>
      <c r="C11" s="14" t="inlineStr">
        <is>
          <t>Every day — 60 seconds</t>
        </is>
      </c>
      <c r="D11" s="15" t="inlineStr">
        <is>
          <t>Find today's row (it's highlighted) and fill in what you actually did.</t>
        </is>
      </c>
      <c r="E11" s="16" t="n"/>
      <c r="F11" s="16" t="n"/>
      <c r="G11" s="16" t="n"/>
      <c r="H11" s="16" t="n"/>
    </row>
    <row r="12" ht="30" customHeight="1">
      <c r="A12" s="7" t="inlineStr">
        <is>
          <t>3</t>
        </is>
      </c>
      <c r="B12" s="8" t="inlineStr">
        <is>
          <t>Instagram Tracker</t>
        </is>
      </c>
      <c r="C12" s="9" t="inlineStr">
        <is>
          <t>Every Sunday — 5 minutes</t>
        </is>
      </c>
      <c r="D12" s="10" t="inlineStr">
        <is>
          <t>Log the week's numbers off your Professional Dashboard.</t>
        </is>
      </c>
      <c r="E12" s="11" t="n"/>
      <c r="F12" s="11" t="n"/>
      <c r="G12" s="11" t="n"/>
      <c r="H12" s="11" t="n"/>
    </row>
    <row r="13" ht="30" customHeight="1">
      <c r="A13" s="12" t="inlineStr">
        <is>
          <t>4</t>
        </is>
      </c>
      <c r="B13" s="13" t="inlineStr">
        <is>
          <t>This Week</t>
        </is>
      </c>
      <c r="C13" s="14" t="inlineStr">
        <is>
          <t>Every Monday — 2 minutes</t>
        </is>
      </c>
      <c r="D13" s="15" t="inlineStr">
        <is>
          <t>What you hit, what you missed, and the one thing to fix this week.</t>
        </is>
      </c>
      <c r="E13" s="16" t="n"/>
      <c r="F13" s="16" t="n"/>
      <c r="G13" s="16" t="n"/>
      <c r="H13" s="16" t="n"/>
    </row>
    <row r="14" ht="30" customHeight="1">
      <c r="A14" s="7" t="inlineStr">
        <is>
          <t>5</t>
        </is>
      </c>
      <c r="B14" s="8" t="inlineStr">
        <is>
          <t>KPI Dashboard</t>
        </is>
      </c>
      <c r="C14" s="9" t="inlineStr">
        <is>
          <t>Before every coaching call</t>
        </is>
      </c>
      <c r="D14" s="10" t="inlineStr">
        <is>
          <t>The full picture: rates, trends, and where the money's leaking.</t>
        </is>
      </c>
      <c r="E14" s="11" t="n"/>
      <c r="F14" s="11" t="n"/>
      <c r="G14" s="11" t="n"/>
      <c r="H14" s="11" t="n"/>
    </row>
    <row r="16" ht="21" customHeight="1">
      <c r="A16" s="5" t="inlineStr">
        <is>
          <t>REFERENCE — open these when you need them</t>
        </is>
      </c>
    </row>
    <row r="17" ht="26" customHeight="1">
      <c r="B17" s="17" t="inlineStr">
        <is>
          <t>Cheat Sheet</t>
        </is>
      </c>
      <c r="D17" s="18" t="inlineStr">
        <is>
          <t>What every number means, what a low one is telling you, and exactly what to do about it. Read it once, then whenever a number looks wrong.</t>
        </is>
      </c>
    </row>
    <row r="18" ht="26" customHeight="1">
      <c r="B18" s="17" t="inlineStr">
        <is>
          <t>Weekly Rollup</t>
        </is>
      </c>
      <c r="D18" s="18" t="inlineStr">
        <is>
          <t>Feeds the charts on the dashboard. Nothing to fill in. Leave it alone.</t>
        </is>
      </c>
    </row>
    <row r="19" ht="21" customHeight="1">
      <c r="A19" s="5" t="inlineStr">
        <is>
          <t>THE RULES — read once, saves you a headache</t>
        </is>
      </c>
    </row>
    <row r="20" ht="22" customHeight="1">
      <c r="B20" s="19" t="inlineStr">
        <is>
          <t>Cream cells are yours.</t>
        </is>
      </c>
      <c r="D20" s="20" t="inlineStr">
        <is>
          <t>Grey cells calculate themselves. If it's grey, don't type in it.</t>
        </is>
      </c>
    </row>
    <row r="21" ht="22" customHeight="1">
      <c r="B21" s="19" t="inlineStr">
        <is>
          <t>Log a zero as 0, never blank.</t>
        </is>
      </c>
      <c r="D21" s="20" t="inlineStr">
        <is>
          <t>Blank means 'didn't track'. Blanks make your averages flatter you.</t>
        </is>
      </c>
    </row>
    <row r="22" ht="22" customHeight="1">
      <c r="B22" s="19" t="inlineStr">
        <is>
          <t>Don't delete columns or rows.</t>
        </is>
      </c>
      <c r="D22" s="20" t="inlineStr">
        <is>
          <t>It breaks the maths. Don't need a column? Right-click and Hide it.</t>
        </is>
      </c>
    </row>
    <row r="23" ht="22" customHeight="1">
      <c r="B23" s="19" t="inlineStr">
        <is>
          <t>Backfill a missed day.</t>
        </is>
      </c>
      <c r="D23" s="20" t="inlineStr">
        <is>
          <t>A gap in the log is a lie in your numbers. Fill it in when you remember.</t>
        </is>
      </c>
    </row>
    <row r="25" ht="21" customHeight="1">
      <c r="A25" s="5" t="inlineStr">
        <is>
          <t>EXAMPLE — what one good day looks like</t>
        </is>
      </c>
    </row>
    <row r="26">
      <c r="A26" s="21" t="inlineStr">
        <is>
          <t>Date</t>
        </is>
      </c>
      <c r="B26" s="21" t="inlineStr">
        <is>
          <t>Reels</t>
        </is>
      </c>
      <c r="C26" s="21" t="inlineStr">
        <is>
          <t>Stories</t>
        </is>
      </c>
      <c r="D26" s="21" t="inlineStr">
        <is>
          <t>Opener DMs</t>
        </is>
      </c>
      <c r="E26" s="21" t="inlineStr">
        <is>
          <t>Follow-Ups</t>
        </is>
      </c>
      <c r="F26" s="21" t="inlineStr">
        <is>
          <t>Replies</t>
        </is>
      </c>
      <c r="G26" s="21" t="inlineStr">
        <is>
          <t>Pitched</t>
        </is>
      </c>
      <c r="H26" s="21" t="inlineStr">
        <is>
          <t>Booked</t>
        </is>
      </c>
    </row>
    <row r="27">
      <c r="A27" s="22" t="inlineStr">
        <is>
          <t>Mon 15 Sep</t>
        </is>
      </c>
      <c r="B27" s="22" t="n">
        <v>5</v>
      </c>
      <c r="C27" s="22" t="n">
        <v>5</v>
      </c>
      <c r="D27" s="22" t="n">
        <v>20</v>
      </c>
      <c r="E27" s="22" t="n">
        <v>10</v>
      </c>
      <c r="F27" s="22" t="n">
        <v>4</v>
      </c>
      <c r="G27" s="22" t="n">
        <v>2</v>
      </c>
      <c r="H27" s="22" t="n">
        <v>1</v>
      </c>
    </row>
    <row r="28">
      <c r="A28" s="23" t="inlineStr">
        <is>
          <t>All four standards hit → the day scores 4/4, and your perfect-day streak goes up.</t>
        </is>
      </c>
    </row>
    <row r="30" ht="21" customHeight="1">
      <c r="A30" s="5" t="inlineStr">
        <is>
          <t>WALKTHROUGH VIDEOS</t>
        </is>
      </c>
    </row>
    <row r="31">
      <c r="B31" s="17" t="inlineStr">
        <is>
          <t>Setup + Daily Log</t>
        </is>
      </c>
      <c r="D31" s="24" t="inlineStr">
        <is>
          <t>[paste Loom link]</t>
        </is>
      </c>
      <c r="E31" s="25" t="n"/>
      <c r="F31" s="25" t="n"/>
      <c r="G31" s="25" t="n"/>
      <c r="H31" s="26" t="n"/>
    </row>
    <row r="32">
      <c r="B32" s="17" t="inlineStr">
        <is>
          <t>KPI Dashboard + This Week</t>
        </is>
      </c>
      <c r="D32" s="24" t="inlineStr">
        <is>
          <t>[paste Loom link]</t>
        </is>
      </c>
      <c r="E32" s="25" t="n"/>
      <c r="F32" s="25" t="n"/>
      <c r="G32" s="25" t="n"/>
      <c r="H32" s="26" t="n"/>
    </row>
    <row r="33">
      <c r="B33" s="17" t="inlineStr">
        <is>
          <t>Instagram Tracker</t>
        </is>
      </c>
      <c r="D33" s="24" t="inlineStr">
        <is>
          <t>[paste Loom link]</t>
        </is>
      </c>
      <c r="E33" s="25" t="n"/>
      <c r="F33" s="25" t="n"/>
      <c r="G33" s="25" t="n"/>
      <c r="H33" s="26" t="n"/>
    </row>
    <row r="34">
      <c r="B34" s="17" t="inlineStr">
        <is>
          <t>Content Planner (Notion)</t>
        </is>
      </c>
      <c r="D34" s="24" t="inlineStr">
        <is>
          <t>[paste Loom link]</t>
        </is>
      </c>
      <c r="E34" s="25" t="n"/>
      <c r="F34" s="25" t="n"/>
      <c r="G34" s="25" t="n"/>
      <c r="H34" s="26" t="n"/>
    </row>
  </sheetData>
  <mergeCells count="24">
    <mergeCell ref="A30:H30"/>
    <mergeCell ref="D20:H20"/>
    <mergeCell ref="D34:H34"/>
    <mergeCell ref="D10:H10"/>
    <mergeCell ref="D31:H31"/>
    <mergeCell ref="A1:H1"/>
    <mergeCell ref="D22:H22"/>
    <mergeCell ref="D21:H21"/>
    <mergeCell ref="A25:H25"/>
    <mergeCell ref="A16:H16"/>
    <mergeCell ref="D11:H11"/>
    <mergeCell ref="D13:H13"/>
    <mergeCell ref="D32:H32"/>
    <mergeCell ref="D17:H17"/>
    <mergeCell ref="A2:H2"/>
    <mergeCell ref="D18:H18"/>
    <mergeCell ref="A8:H8"/>
    <mergeCell ref="B5:H6"/>
    <mergeCell ref="D12:H12"/>
    <mergeCell ref="D33:H33"/>
    <mergeCell ref="A28:H28"/>
    <mergeCell ref="A19:H19"/>
    <mergeCell ref="D23:H23"/>
    <mergeCell ref="D14:H14"/>
  </mergeCells>
  <pageMargins left="0.75" right="0.75" top="1" bottom="1" header="0.5" footer="0.5"/>
</worksheet>
</file>

<file path=xl/worksheets/sheet2.xml><?xml version="1.0" encoding="utf-8"?>
<worksheet xmlns="http://schemas.openxmlformats.org/spreadsheetml/2006/main">
  <sheetPr>
    <tabColor rgb="00C4552B"/>
    <outlinePr summaryBelow="1" summaryRight="1"/>
    <pageSetUpPr/>
  </sheetPr>
  <dimension ref="A1:D19"/>
  <sheetViews>
    <sheetView showGridLines="0" workbookViewId="0">
      <selection activeCell="A1" sqref="A1"/>
    </sheetView>
  </sheetViews>
  <sheetFormatPr baseColWidth="8" defaultRowHeight="15"/>
  <cols>
    <col width="4" customWidth="1" min="1" max="1"/>
    <col width="32" customWidth="1" min="2" max="2"/>
    <col width="18" customWidth="1" min="3" max="3"/>
    <col width="54" customWidth="1" min="4" max="4"/>
  </cols>
  <sheetData>
    <row r="1" ht="46" customHeight="1">
      <c r="A1" s="1" t="inlineStr">
        <is>
          <t>DEMO · SETUP — two minutes, once · SAMPLE DATA — REFERENCE ONLY</t>
        </is>
      </c>
    </row>
    <row r="2" ht="18" customHeight="1">
      <c r="A2" s="2" t="inlineStr">
        <is>
          <t>Fill in the cream cells. Every other tab reads from here.</t>
        </is>
      </c>
    </row>
    <row r="4" ht="21" customHeight="1">
      <c r="A4" s="5" t="inlineStr">
        <is>
          <t>WHO THIS IS</t>
        </is>
      </c>
    </row>
    <row r="5" ht="20" customHeight="1">
      <c r="B5" s="27" t="inlineStr">
        <is>
          <t>Client name</t>
        </is>
      </c>
      <c r="C5" s="28" t="inlineStr">
        <is>
          <t>Demo Client</t>
        </is>
      </c>
      <c r="D5" s="23" t="inlineStr">
        <is>
          <t>Shows on your dashboard.</t>
        </is>
      </c>
    </row>
    <row r="6" ht="20" customHeight="1">
      <c r="B6" s="27" t="inlineStr">
        <is>
          <t>Coach / CSM</t>
        </is>
      </c>
      <c r="C6" s="28" t="inlineStr">
        <is>
          <t>Francis</t>
        </is>
      </c>
      <c r="D6" s="23" t="inlineStr">
        <is>
          <t>Who you report to inside The Called.</t>
        </is>
      </c>
    </row>
    <row r="7" ht="20" customHeight="1">
      <c r="B7" s="27" t="inlineStr">
        <is>
          <t>Instagram handle</t>
        </is>
      </c>
      <c r="C7" s="28" t="inlineStr">
        <is>
          <t>@democlient</t>
        </is>
      </c>
      <c r="D7" s="23" t="inlineStr">
        <is>
          <t>e.g. @yourhandle</t>
        </is>
      </c>
    </row>
    <row r="8" ht="20" customHeight="1">
      <c r="B8" s="27" t="inlineStr">
        <is>
          <t>Tracking start date</t>
        </is>
      </c>
      <c r="C8" s="29">
        <f>TODAY()-118</f>
        <v/>
      </c>
      <c r="D8" s="23" t="inlineStr">
        <is>
          <t>Day 1. This sets every date in the Daily Log.</t>
        </is>
      </c>
    </row>
    <row r="9" ht="20" customHeight="1">
      <c r="B9" s="27" t="inlineStr">
        <is>
          <t>First tracking week (auto)</t>
        </is>
      </c>
      <c r="C9" s="30">
        <f>C8-WEEKDAY(C8,2)+1</f>
        <v/>
      </c>
      <c r="D9" s="23" t="inlineStr">
        <is>
          <t>Monday of your start week. Calculated — don't edit.</t>
        </is>
      </c>
    </row>
    <row r="11" ht="21" customHeight="1">
      <c r="A11" s="5" t="inlineStr">
        <is>
          <t>YOUR DAILY STANDARDS — the floor, not the goal</t>
        </is>
      </c>
    </row>
    <row r="12" ht="20" customHeight="1">
      <c r="B12" s="27" t="inlineStr">
        <is>
          <t>Reels / posts per day</t>
        </is>
      </c>
      <c r="C12" s="28" t="n">
        <v>5</v>
      </c>
      <c r="D12" s="23" t="inlineStr">
        <is>
          <t>Default 5.</t>
        </is>
      </c>
    </row>
    <row r="13" ht="20" customHeight="1">
      <c r="B13" s="27" t="inlineStr">
        <is>
          <t>Stories per day</t>
        </is>
      </c>
      <c r="C13" s="28" t="n">
        <v>5</v>
      </c>
      <c r="D13" s="23" t="inlineStr">
        <is>
          <t>Default 5.</t>
        </is>
      </c>
    </row>
    <row r="14" ht="20" customHeight="1">
      <c r="B14" s="27" t="inlineStr">
        <is>
          <t>Opener DMs per day</t>
        </is>
      </c>
      <c r="C14" s="28" t="n">
        <v>20</v>
      </c>
      <c r="D14" s="23" t="inlineStr">
        <is>
          <t>Default 20.</t>
        </is>
      </c>
    </row>
    <row r="15" ht="20" customHeight="1">
      <c r="B15" s="27" t="inlineStr">
        <is>
          <t>Follow-up DMs per day</t>
        </is>
      </c>
      <c r="C15" s="28" t="n">
        <v>10</v>
      </c>
      <c r="D15" s="23" t="inlineStr">
        <is>
          <t>Default 10.</t>
        </is>
      </c>
    </row>
    <row r="17" ht="21" customHeight="1">
      <c r="A17" s="5" t="inlineStr">
        <is>
          <t>WHAT YOU'RE PLAYING FOR</t>
        </is>
      </c>
    </row>
    <row r="18" ht="20" customHeight="1">
      <c r="B18" s="27" t="inlineStr">
        <is>
          <t>Monthly cash collected goal</t>
        </is>
      </c>
      <c r="C18" s="31" t="n">
        <v>10000</v>
      </c>
      <c r="D18" s="23" t="inlineStr">
        <is>
          <t>Drives the goal tile on the dashboard.</t>
        </is>
      </c>
    </row>
    <row r="19" ht="20" customHeight="1">
      <c r="B19" s="27" t="inlineStr">
        <is>
          <t>Your offer price</t>
        </is>
      </c>
      <c r="C19" s="31" t="n">
        <v>0</v>
      </c>
      <c r="D19" s="23" t="inlineStr">
        <is>
          <t>Optional — for your own maths.</t>
        </is>
      </c>
    </row>
  </sheetData>
  <mergeCells count="5">
    <mergeCell ref="A1:D1"/>
    <mergeCell ref="A17:D17"/>
    <mergeCell ref="A4:D4"/>
    <mergeCell ref="A2:D2"/>
    <mergeCell ref="A11:D1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C4552B"/>
    <outlinePr summaryBelow="1" summaryRight="1"/>
    <pageSetUpPr/>
  </sheetPr>
  <dimension ref="A1:T369"/>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6" customWidth="1" min="2" max="2"/>
    <col width="8" customWidth="1" min="3" max="3"/>
    <col width="8" customWidth="1" min="4" max="4"/>
    <col width="9" customWidth="1" min="5" max="5"/>
    <col width="10" customWidth="1" min="6" max="6"/>
    <col width="9" customWidth="1" min="7" max="7"/>
    <col width="9" customWidth="1" min="8" max="8"/>
    <col width="9" customWidth="1" min="9" max="9"/>
    <col width="9" customWidth="1" min="10" max="10"/>
    <col width="8" customWidth="1" min="11" max="11"/>
    <col width="11" customWidth="1" min="12" max="12"/>
    <col width="11" customWidth="1" min="13" max="13"/>
    <col width="11" customWidth="1" min="14" max="14"/>
    <col width="10" customWidth="1" min="15" max="15"/>
    <col width="32" customWidth="1" min="16" max="16"/>
    <col width="8" customWidth="1" min="17" max="17"/>
    <col width="8" customWidth="1" min="18" max="18"/>
    <col width="8" customWidth="1" min="19" max="19"/>
    <col width="12" customWidth="1" min="20" max="20"/>
  </cols>
  <sheetData>
    <row r="1" ht="46" customHeight="1">
      <c r="A1" s="1" t="inlineStr">
        <is>
          <t>DEMO · DAILY LOG — one row per day · SAMPLE DATA — REFERENCE ONLY</t>
        </is>
      </c>
    </row>
    <row r="2" ht="19" customHeight="1">
      <c r="A2" s="32" t="inlineStr">
        <is>
          <t>Your standard →</t>
        </is>
      </c>
      <c r="B2" s="33" t="n"/>
      <c r="C2" s="34">
        <f>Setup!$C$12</f>
        <v/>
      </c>
      <c r="D2" s="34">
        <f>Setup!$C$13</f>
        <v/>
      </c>
      <c r="E2" s="34">
        <f>Setup!$C$14</f>
        <v/>
      </c>
      <c r="F2" s="34">
        <f>Setup!$C$15</f>
        <v/>
      </c>
      <c r="H2" s="35" t="inlineStr">
        <is>
          <t>Today's row is highlighted. Log a zero as 0 — blank means you didn't track.</t>
        </is>
      </c>
    </row>
    <row r="3" ht="32" customHeight="1">
      <c r="A3" s="6" t="inlineStr">
        <is>
          <t>Date</t>
        </is>
      </c>
      <c r="B3" s="6" t="inlineStr">
        <is>
          <t>Day</t>
        </is>
      </c>
      <c r="C3" s="6" t="inlineStr">
        <is>
          <t>Reels /
Posts</t>
        </is>
      </c>
      <c r="D3" s="6" t="inlineStr">
        <is>
          <t>Stories</t>
        </is>
      </c>
      <c r="E3" s="6" t="inlineStr">
        <is>
          <t>Opener
DMs Sent</t>
        </is>
      </c>
      <c r="F3" s="6" t="inlineStr">
        <is>
          <t>Follow-Up
DMs Sent</t>
        </is>
      </c>
      <c r="G3" s="6" t="inlineStr">
        <is>
          <t>Replies</t>
        </is>
      </c>
      <c r="H3" s="6" t="inlineStr">
        <is>
          <t>Calls
Pitched</t>
        </is>
      </c>
      <c r="I3" s="6" t="inlineStr">
        <is>
          <t>Calls
Booked</t>
        </is>
      </c>
      <c r="J3" s="6" t="inlineStr">
        <is>
          <t>Calls
Showed</t>
        </is>
      </c>
      <c r="K3" s="6" t="inlineStr">
        <is>
          <t>Closes</t>
        </is>
      </c>
      <c r="L3" s="6" t="inlineStr">
        <is>
          <t>Cash
Collected</t>
        </is>
      </c>
      <c r="M3" s="6" t="inlineStr">
        <is>
          <t>Revenue
Generated</t>
        </is>
      </c>
      <c r="N3" s="6" t="inlineStr">
        <is>
          <t>Followers
(end of day)</t>
        </is>
      </c>
      <c r="O3" s="6" t="inlineStr">
        <is>
          <t>Standards
Hit (of 4)</t>
        </is>
      </c>
      <c r="P3" s="6" t="inlineStr">
        <is>
          <t>Notes</t>
        </is>
      </c>
      <c r="Q3" s="6" t="inlineStr">
        <is>
          <t>Logged?
(auto)</t>
        </is>
      </c>
      <c r="R3" s="6" t="inlineStr">
        <is>
          <t>Day
Streak</t>
        </is>
      </c>
      <c r="S3" s="6" t="inlineStr">
        <is>
          <t>Perfect
Streak</t>
        </is>
      </c>
      <c r="T3" s="6" t="inlineStr">
        <is>
          <t>Logged on
(auto)</t>
        </is>
      </c>
    </row>
    <row r="4">
      <c r="A4" s="36">
        <f>Setup!$C$8</f>
        <v/>
      </c>
      <c r="B4" s="37">
        <f>IF(A4="","",TEXT(A4,"ddd"))</f>
        <v/>
      </c>
      <c r="C4" s="38" t="n">
        <v>6</v>
      </c>
      <c r="D4" s="38" t="n">
        <v>7</v>
      </c>
      <c r="E4" s="38" t="n">
        <v>26</v>
      </c>
      <c r="F4" s="38" t="n">
        <v>13</v>
      </c>
      <c r="G4" s="38" t="n">
        <v>7</v>
      </c>
      <c r="H4" s="38" t="n">
        <v>5</v>
      </c>
      <c r="I4" s="38" t="n">
        <v>1</v>
      </c>
      <c r="J4" s="38" t="n">
        <v>0</v>
      </c>
      <c r="K4" s="38" t="n">
        <v>0</v>
      </c>
      <c r="L4" s="39" t="n">
        <v>0</v>
      </c>
      <c r="M4" s="39" t="n">
        <v>0</v>
      </c>
      <c r="N4" s="38" t="n">
        <v>3205</v>
      </c>
      <c r="O4" s="40">
        <f>IF($Q4=0,"",IF(C4&gt;=C$2,1,0)+IF(D4&gt;=D$2,1,0)+IF(E4&gt;=E$2,1,0)+IF(F4&gt;=F$2,1,0))</f>
        <v/>
      </c>
      <c r="P4" s="41" t="inlineStr">
        <is>
          <t>First week — finding the rhythm</t>
        </is>
      </c>
      <c r="Q4" s="42">
        <f>IF(COUNT(C4:M4)&gt;0,1,0)</f>
        <v/>
      </c>
      <c r="R4" s="42">
        <f>IF(Q4=0,0,1)</f>
        <v/>
      </c>
      <c r="S4" s="42">
        <f>IF(O4="",0,IF(O4=4,1,0))</f>
        <v/>
      </c>
      <c r="T4" s="43">
        <f>IF(Q4=1,A4,"")</f>
        <v/>
      </c>
    </row>
    <row r="5">
      <c r="A5" s="36">
        <f>A4+1</f>
        <v/>
      </c>
      <c r="B5" s="37">
        <f>IF(A5="","",TEXT(A5,"ddd"))</f>
        <v/>
      </c>
      <c r="C5" s="38" t="n">
        <v>6</v>
      </c>
      <c r="D5" s="38" t="n">
        <v>7</v>
      </c>
      <c r="E5" s="38" t="n">
        <v>24</v>
      </c>
      <c r="F5" s="38" t="n">
        <v>11</v>
      </c>
      <c r="G5" s="38" t="n">
        <v>5</v>
      </c>
      <c r="H5" s="38" t="n">
        <v>2</v>
      </c>
      <c r="I5" s="38" t="n">
        <v>0</v>
      </c>
      <c r="J5" s="38" t="n">
        <v>0</v>
      </c>
      <c r="K5" s="38" t="n">
        <v>0</v>
      </c>
      <c r="L5" s="39" t="n">
        <v>0</v>
      </c>
      <c r="M5" s="39" t="n">
        <v>0</v>
      </c>
      <c r="N5" s="38" t="n">
        <v>3236</v>
      </c>
      <c r="O5" s="40">
        <f>IF($Q5=0,"",IF(C5&gt;=C$2,1,0)+IF(D5&gt;=D$2,1,0)+IF(E5&gt;=E$2,1,0)+IF(F5&gt;=F$2,1,0))</f>
        <v/>
      </c>
      <c r="P5" s="41" t="n"/>
      <c r="Q5" s="42">
        <f>IF(COUNT(C5:M5)&gt;0,1,0)</f>
        <v/>
      </c>
      <c r="R5" s="42">
        <f>IF(Q5=0,0,R4+1)</f>
        <v/>
      </c>
      <c r="S5" s="42">
        <f>IF(O5="",0,IF(O5=4,S4+1,0))</f>
        <v/>
      </c>
      <c r="T5" s="43">
        <f>IF(Q5=1,A5,"")</f>
        <v/>
      </c>
    </row>
    <row r="6">
      <c r="A6" s="36">
        <f>A5+1</f>
        <v/>
      </c>
      <c r="B6" s="37">
        <f>IF(A6="","",TEXT(A6,"ddd"))</f>
        <v/>
      </c>
      <c r="C6" s="38" t="n">
        <v>2</v>
      </c>
      <c r="D6" s="38" t="n">
        <v>2</v>
      </c>
      <c r="E6" s="38" t="n">
        <v>8</v>
      </c>
      <c r="F6" s="38" t="n">
        <v>5</v>
      </c>
      <c r="G6" s="38" t="n">
        <v>3</v>
      </c>
      <c r="H6" s="38" t="n">
        <v>2</v>
      </c>
      <c r="I6" s="38" t="n">
        <v>1</v>
      </c>
      <c r="J6" s="38" t="n">
        <v>0</v>
      </c>
      <c r="K6" s="38" t="n">
        <v>0</v>
      </c>
      <c r="L6" s="39" t="n">
        <v>0</v>
      </c>
      <c r="M6" s="39" t="n">
        <v>0</v>
      </c>
      <c r="N6" s="38" t="n">
        <v>3250</v>
      </c>
      <c r="O6" s="40">
        <f>IF($Q6=0,"",IF(C6&gt;=C$2,1,0)+IF(D6&gt;=D$2,1,0)+IF(E6&gt;=E$2,1,0)+IF(F6&gt;=F$2,1,0))</f>
        <v/>
      </c>
      <c r="P6" s="41" t="n"/>
      <c r="Q6" s="42">
        <f>IF(COUNT(C6:M6)&gt;0,1,0)</f>
        <v/>
      </c>
      <c r="R6" s="42">
        <f>IF(Q6=0,0,R5+1)</f>
        <v/>
      </c>
      <c r="S6" s="42">
        <f>IF(O6="",0,IF(O6=4,S5+1,0))</f>
        <v/>
      </c>
      <c r="T6" s="43">
        <f>IF(Q6=1,A6,"")</f>
        <v/>
      </c>
    </row>
    <row r="7">
      <c r="A7" s="36">
        <f>A6+1</f>
        <v/>
      </c>
      <c r="B7" s="37">
        <f>IF(A7="","",TEXT(A7,"ddd"))</f>
        <v/>
      </c>
      <c r="C7" s="38" t="n">
        <v>2</v>
      </c>
      <c r="D7" s="38" t="n">
        <v>2</v>
      </c>
      <c r="E7" s="38" t="n">
        <v>9</v>
      </c>
      <c r="F7" s="38" t="n">
        <v>4</v>
      </c>
      <c r="G7" s="38" t="n">
        <v>2</v>
      </c>
      <c r="H7" s="38" t="n">
        <v>1</v>
      </c>
      <c r="I7" s="38" t="n">
        <v>0</v>
      </c>
      <c r="J7" s="38" t="n">
        <v>1</v>
      </c>
      <c r="K7" s="38" t="n">
        <v>0</v>
      </c>
      <c r="L7" s="39" t="n">
        <v>0</v>
      </c>
      <c r="M7" s="39" t="n">
        <v>0</v>
      </c>
      <c r="N7" s="38" t="n">
        <v>3273</v>
      </c>
      <c r="O7" s="40">
        <f>IF($Q7=0,"",IF(C7&gt;=C$2,1,0)+IF(D7&gt;=D$2,1,0)+IF(E7&gt;=E$2,1,0)+IF(F7&gt;=F$2,1,0))</f>
        <v/>
      </c>
      <c r="P7" s="41" t="n"/>
      <c r="Q7" s="42">
        <f>IF(COUNT(C7:M7)&gt;0,1,0)</f>
        <v/>
      </c>
      <c r="R7" s="42">
        <f>IF(Q7=0,0,R6+1)</f>
        <v/>
      </c>
      <c r="S7" s="42">
        <f>IF(O7="",0,IF(O7=4,S6+1,0))</f>
        <v/>
      </c>
      <c r="T7" s="43">
        <f>IF(Q7=1,A7,"")</f>
        <v/>
      </c>
    </row>
    <row r="8">
      <c r="A8" s="36">
        <f>A7+1</f>
        <v/>
      </c>
      <c r="B8" s="37">
        <f>IF(A8="","",TEXT(A8,"ddd"))</f>
        <v/>
      </c>
      <c r="C8" s="38" t="n">
        <v>7</v>
      </c>
      <c r="D8" s="38" t="n">
        <v>5</v>
      </c>
      <c r="E8" s="38" t="n">
        <v>24</v>
      </c>
      <c r="F8" s="38" t="n">
        <v>11</v>
      </c>
      <c r="G8" s="38" t="n">
        <v>7</v>
      </c>
      <c r="H8" s="38" t="n">
        <v>4</v>
      </c>
      <c r="I8" s="38" t="n">
        <v>1</v>
      </c>
      <c r="J8" s="38" t="n">
        <v>0</v>
      </c>
      <c r="K8" s="38" t="n">
        <v>0</v>
      </c>
      <c r="L8" s="39" t="n">
        <v>0</v>
      </c>
      <c r="M8" s="39" t="n">
        <v>0</v>
      </c>
      <c r="N8" s="38" t="n">
        <v>3296</v>
      </c>
      <c r="O8" s="40">
        <f>IF($Q8=0,"",IF(C8&gt;=C$2,1,0)+IF(D8&gt;=D$2,1,0)+IF(E8&gt;=E$2,1,0)+IF(F8&gt;=F$2,1,0))</f>
        <v/>
      </c>
      <c r="P8" s="41" t="n"/>
      <c r="Q8" s="42">
        <f>IF(COUNT(C8:M8)&gt;0,1,0)</f>
        <v/>
      </c>
      <c r="R8" s="42">
        <f>IF(Q8=0,0,R7+1)</f>
        <v/>
      </c>
      <c r="S8" s="42">
        <f>IF(O8="",0,IF(O8=4,S7+1,0))</f>
        <v/>
      </c>
      <c r="T8" s="43">
        <f>IF(Q8=1,A8,"")</f>
        <v/>
      </c>
    </row>
    <row r="9">
      <c r="A9" s="36">
        <f>A8+1</f>
        <v/>
      </c>
      <c r="B9" s="37">
        <f>IF(A9="","",TEXT(A9,"ddd"))</f>
        <v/>
      </c>
      <c r="C9" s="38" t="n">
        <v>7</v>
      </c>
      <c r="D9" s="38" t="n">
        <v>6</v>
      </c>
      <c r="E9" s="38" t="n">
        <v>23</v>
      </c>
      <c r="F9" s="38" t="n">
        <v>10</v>
      </c>
      <c r="G9" s="38" t="n">
        <v>7</v>
      </c>
      <c r="H9" s="38" t="n">
        <v>3</v>
      </c>
      <c r="I9" s="38" t="n">
        <v>1</v>
      </c>
      <c r="J9" s="38" t="n">
        <v>1</v>
      </c>
      <c r="K9" s="38" t="n">
        <v>1</v>
      </c>
      <c r="L9" s="39" t="n">
        <v>1500</v>
      </c>
      <c r="M9" s="39" t="n">
        <v>1500</v>
      </c>
      <c r="N9" s="38" t="n">
        <v>3308</v>
      </c>
      <c r="O9" s="40">
        <f>IF($Q9=0,"",IF(C9&gt;=C$2,1,0)+IF(D9&gt;=D$2,1,0)+IF(E9&gt;=E$2,1,0)+IF(F9&gt;=F$2,1,0))</f>
        <v/>
      </c>
      <c r="P9" s="41" t="n"/>
      <c r="Q9" s="42">
        <f>IF(COUNT(C9:M9)&gt;0,1,0)</f>
        <v/>
      </c>
      <c r="R9" s="42">
        <f>IF(Q9=0,0,R8+1)</f>
        <v/>
      </c>
      <c r="S9" s="42">
        <f>IF(O9="",0,IF(O9=4,S8+1,0))</f>
        <v/>
      </c>
      <c r="T9" s="43">
        <f>IF(Q9=1,A9,"")</f>
        <v/>
      </c>
    </row>
    <row r="10">
      <c r="A10" s="36">
        <f>A9+1</f>
        <v/>
      </c>
      <c r="B10" s="37">
        <f>IF(A10="","",TEXT(A10,"ddd"))</f>
        <v/>
      </c>
      <c r="C10" s="38" t="n">
        <v>6</v>
      </c>
      <c r="D10" s="38" t="n">
        <v>6</v>
      </c>
      <c r="E10" s="38" t="n">
        <v>20</v>
      </c>
      <c r="F10" s="38" t="n">
        <v>10</v>
      </c>
      <c r="G10" s="38" t="n">
        <v>7</v>
      </c>
      <c r="H10" s="38" t="n">
        <v>3</v>
      </c>
      <c r="I10" s="38" t="n">
        <v>1</v>
      </c>
      <c r="J10" s="38" t="n">
        <v>0</v>
      </c>
      <c r="K10" s="38" t="n">
        <v>0</v>
      </c>
      <c r="L10" s="39" t="n">
        <v>0</v>
      </c>
      <c r="M10" s="39" t="n">
        <v>0</v>
      </c>
      <c r="N10" s="38" t="n">
        <v>3332</v>
      </c>
      <c r="O10" s="40">
        <f>IF($Q10=0,"",IF(C10&gt;=C$2,1,0)+IF(D10&gt;=D$2,1,0)+IF(E10&gt;=E$2,1,0)+IF(F10&gt;=F$2,1,0))</f>
        <v/>
      </c>
      <c r="P10" s="41" t="n"/>
      <c r="Q10" s="42">
        <f>IF(COUNT(C10:M10)&gt;0,1,0)</f>
        <v/>
      </c>
      <c r="R10" s="42">
        <f>IF(Q10=0,0,R9+1)</f>
        <v/>
      </c>
      <c r="S10" s="42">
        <f>IF(O10="",0,IF(O10=4,S9+1,0))</f>
        <v/>
      </c>
      <c r="T10" s="43">
        <f>IF(Q10=1,A10,"")</f>
        <v/>
      </c>
    </row>
    <row r="11">
      <c r="A11" s="36">
        <f>A10+1</f>
        <v/>
      </c>
      <c r="B11" s="37">
        <f>IF(A11="","",TEXT(A11,"ddd"))</f>
        <v/>
      </c>
      <c r="C11" s="38" t="n">
        <v>6</v>
      </c>
      <c r="D11" s="38" t="n">
        <v>7</v>
      </c>
      <c r="E11" s="38" t="n">
        <v>23</v>
      </c>
      <c r="F11" s="38" t="n">
        <v>13</v>
      </c>
      <c r="G11" s="38" t="n">
        <v>5</v>
      </c>
      <c r="H11" s="38" t="n">
        <v>3</v>
      </c>
      <c r="I11" s="38" t="n">
        <v>1</v>
      </c>
      <c r="J11" s="38" t="n">
        <v>1</v>
      </c>
      <c r="K11" s="38" t="n">
        <v>1</v>
      </c>
      <c r="L11" s="39" t="n">
        <v>2000</v>
      </c>
      <c r="M11" s="39" t="n">
        <v>2000</v>
      </c>
      <c r="N11" s="38" t="n">
        <v>3354</v>
      </c>
      <c r="O11" s="40">
        <f>IF($Q11=0,"",IF(C11&gt;=C$2,1,0)+IF(D11&gt;=D$2,1,0)+IF(E11&gt;=E$2,1,0)+IF(F11&gt;=F$2,1,0))</f>
        <v/>
      </c>
      <c r="P11" s="41" t="n"/>
      <c r="Q11" s="42">
        <f>IF(COUNT(C11:M11)&gt;0,1,0)</f>
        <v/>
      </c>
      <c r="R11" s="42">
        <f>IF(Q11=0,0,R10+1)</f>
        <v/>
      </c>
      <c r="S11" s="42">
        <f>IF(O11="",0,IF(O11=4,S10+1,0))</f>
        <v/>
      </c>
      <c r="T11" s="43">
        <f>IF(Q11=1,A11,"")</f>
        <v/>
      </c>
    </row>
    <row r="12">
      <c r="A12" s="36">
        <f>A11+1</f>
        <v/>
      </c>
      <c r="B12" s="37">
        <f>IF(A12="","",TEXT(A12,"ddd"))</f>
        <v/>
      </c>
      <c r="C12" s="38" t="n">
        <v>5</v>
      </c>
      <c r="D12" s="38" t="n">
        <v>5</v>
      </c>
      <c r="E12" s="38" t="n">
        <v>21</v>
      </c>
      <c r="F12" s="38" t="n">
        <v>10</v>
      </c>
      <c r="G12" s="38" t="n">
        <v>4</v>
      </c>
      <c r="H12" s="38" t="n">
        <v>2</v>
      </c>
      <c r="I12" s="38" t="n">
        <v>1</v>
      </c>
      <c r="J12" s="38" t="n">
        <v>1</v>
      </c>
      <c r="K12" s="38" t="n">
        <v>1</v>
      </c>
      <c r="L12" s="39" t="n">
        <v>2000</v>
      </c>
      <c r="M12" s="39" t="n">
        <v>3500</v>
      </c>
      <c r="N12" s="38" t="n">
        <v>3367</v>
      </c>
      <c r="O12" s="40">
        <f>IF($Q12=0,"",IF(C12&gt;=C$2,1,0)+IF(D12&gt;=D$2,1,0)+IF(E12&gt;=E$2,1,0)+IF(F12&gt;=F$2,1,0))</f>
        <v/>
      </c>
      <c r="P12" s="41" t="n"/>
      <c r="Q12" s="42">
        <f>IF(COUNT(C12:M12)&gt;0,1,0)</f>
        <v/>
      </c>
      <c r="R12" s="42">
        <f>IF(Q12=0,0,R11+1)</f>
        <v/>
      </c>
      <c r="S12" s="42">
        <f>IF(O12="",0,IF(O12=4,S11+1,0))</f>
        <v/>
      </c>
      <c r="T12" s="43">
        <f>IF(Q12=1,A12,"")</f>
        <v/>
      </c>
    </row>
    <row r="13">
      <c r="A13" s="36">
        <f>A12+1</f>
        <v/>
      </c>
      <c r="B13" s="37">
        <f>IF(A13="","",TEXT(A13,"ddd"))</f>
        <v/>
      </c>
      <c r="C13" s="38" t="n">
        <v>2</v>
      </c>
      <c r="D13" s="38" t="n">
        <v>2</v>
      </c>
      <c r="E13" s="38" t="n">
        <v>8</v>
      </c>
      <c r="F13" s="38" t="n">
        <v>4</v>
      </c>
      <c r="G13" s="38" t="n">
        <v>2</v>
      </c>
      <c r="H13" s="38" t="n">
        <v>1</v>
      </c>
      <c r="I13" s="38" t="n">
        <v>0</v>
      </c>
      <c r="J13" s="38" t="n">
        <v>0</v>
      </c>
      <c r="K13" s="38" t="n">
        <v>0</v>
      </c>
      <c r="L13" s="39" t="n">
        <v>0</v>
      </c>
      <c r="M13" s="39" t="n">
        <v>0</v>
      </c>
      <c r="N13" s="38" t="n">
        <v>3394</v>
      </c>
      <c r="O13" s="40">
        <f>IF($Q13=0,"",IF(C13&gt;=C$2,1,0)+IF(D13&gt;=D$2,1,0)+IF(E13&gt;=E$2,1,0)+IF(F13&gt;=F$2,1,0))</f>
        <v/>
      </c>
      <c r="P13" s="41" t="n"/>
      <c r="Q13" s="42">
        <f>IF(COUNT(C13:M13)&gt;0,1,0)</f>
        <v/>
      </c>
      <c r="R13" s="42">
        <f>IF(Q13=0,0,R12+1)</f>
        <v/>
      </c>
      <c r="S13" s="42">
        <f>IF(O13="",0,IF(O13=4,S12+1,0))</f>
        <v/>
      </c>
      <c r="T13" s="43">
        <f>IF(Q13=1,A13,"")</f>
        <v/>
      </c>
    </row>
    <row r="14">
      <c r="A14" s="36">
        <f>A13+1</f>
        <v/>
      </c>
      <c r="B14" s="37">
        <f>IF(A14="","",TEXT(A14,"ddd"))</f>
        <v/>
      </c>
      <c r="C14" s="38" t="n">
        <v>2</v>
      </c>
      <c r="D14" s="38" t="n">
        <v>2</v>
      </c>
      <c r="E14" s="38" t="n">
        <v>7</v>
      </c>
      <c r="F14" s="38" t="n">
        <v>4</v>
      </c>
      <c r="G14" s="38" t="n">
        <v>2</v>
      </c>
      <c r="H14" s="38" t="n">
        <v>1</v>
      </c>
      <c r="I14" s="38" t="n">
        <v>0</v>
      </c>
      <c r="J14" s="38" t="n">
        <v>0</v>
      </c>
      <c r="K14" s="38" t="n">
        <v>0</v>
      </c>
      <c r="L14" s="39" t="n">
        <v>0</v>
      </c>
      <c r="M14" s="39" t="n">
        <v>0</v>
      </c>
      <c r="N14" s="38" t="n">
        <v>3406</v>
      </c>
      <c r="O14" s="40">
        <f>IF($Q14=0,"",IF(C14&gt;=C$2,1,0)+IF(D14&gt;=D$2,1,0)+IF(E14&gt;=E$2,1,0)+IF(F14&gt;=F$2,1,0))</f>
        <v/>
      </c>
      <c r="P14" s="41" t="n"/>
      <c r="Q14" s="42">
        <f>IF(COUNT(C14:M14)&gt;0,1,0)</f>
        <v/>
      </c>
      <c r="R14" s="42">
        <f>IF(Q14=0,0,R13+1)</f>
        <v/>
      </c>
      <c r="S14" s="42">
        <f>IF(O14="",0,IF(O14=4,S13+1,0))</f>
        <v/>
      </c>
      <c r="T14" s="43">
        <f>IF(Q14=1,A14,"")</f>
        <v/>
      </c>
    </row>
    <row r="15">
      <c r="A15" s="36">
        <f>A14+1</f>
        <v/>
      </c>
      <c r="B15" s="37">
        <f>IF(A15="","",TEXT(A15,"ddd"))</f>
        <v/>
      </c>
      <c r="C15" s="38" t="n">
        <v>5</v>
      </c>
      <c r="D15" s="38" t="n">
        <v>5</v>
      </c>
      <c r="E15" s="38" t="n">
        <v>21</v>
      </c>
      <c r="F15" s="38" t="n">
        <v>13</v>
      </c>
      <c r="G15" s="38" t="n">
        <v>5</v>
      </c>
      <c r="H15" s="38" t="n">
        <v>3</v>
      </c>
      <c r="I15" s="38" t="n">
        <v>1</v>
      </c>
      <c r="J15" s="38" t="n">
        <v>0</v>
      </c>
      <c r="K15" s="38" t="n">
        <v>0</v>
      </c>
      <c r="L15" s="39" t="n">
        <v>0</v>
      </c>
      <c r="M15" s="39" t="n">
        <v>0</v>
      </c>
      <c r="N15" s="38" t="n">
        <v>3424</v>
      </c>
      <c r="O15" s="40">
        <f>IF($Q15=0,"",IF(C15&gt;=C$2,1,0)+IF(D15&gt;=D$2,1,0)+IF(E15&gt;=E$2,1,0)+IF(F15&gt;=F$2,1,0))</f>
        <v/>
      </c>
      <c r="P15" s="41" t="n"/>
      <c r="Q15" s="42">
        <f>IF(COUNT(C15:M15)&gt;0,1,0)</f>
        <v/>
      </c>
      <c r="R15" s="42">
        <f>IF(Q15=0,0,R14+1)</f>
        <v/>
      </c>
      <c r="S15" s="42">
        <f>IF(O15="",0,IF(O15=4,S14+1,0))</f>
        <v/>
      </c>
      <c r="T15" s="43">
        <f>IF(Q15=1,A15,"")</f>
        <v/>
      </c>
    </row>
    <row r="16">
      <c r="A16" s="36">
        <f>A15+1</f>
        <v/>
      </c>
      <c r="B16" s="37">
        <f>IF(A16="","",TEXT(A16,"ddd"))</f>
        <v/>
      </c>
      <c r="C16" s="38" t="n">
        <v>6</v>
      </c>
      <c r="D16" s="38" t="n">
        <v>5</v>
      </c>
      <c r="E16" s="38" t="n">
        <v>20</v>
      </c>
      <c r="F16" s="38" t="n">
        <v>10</v>
      </c>
      <c r="G16" s="38" t="n">
        <v>5</v>
      </c>
      <c r="H16" s="38" t="n">
        <v>3</v>
      </c>
      <c r="I16" s="38" t="n">
        <v>1</v>
      </c>
      <c r="J16" s="38" t="n">
        <v>1</v>
      </c>
      <c r="K16" s="38" t="n">
        <v>0</v>
      </c>
      <c r="L16" s="39" t="n">
        <v>0</v>
      </c>
      <c r="M16" s="39" t="n">
        <v>0</v>
      </c>
      <c r="N16" s="38" t="n">
        <v>3437</v>
      </c>
      <c r="O16" s="40">
        <f>IF($Q16=0,"",IF(C16&gt;=C$2,1,0)+IF(D16&gt;=D$2,1,0)+IF(E16&gt;=E$2,1,0)+IF(F16&gt;=F$2,1,0))</f>
        <v/>
      </c>
      <c r="P16" s="41" t="n"/>
      <c r="Q16" s="42">
        <f>IF(COUNT(C16:M16)&gt;0,1,0)</f>
        <v/>
      </c>
      <c r="R16" s="42">
        <f>IF(Q16=0,0,R15+1)</f>
        <v/>
      </c>
      <c r="S16" s="42">
        <f>IF(O16="",0,IF(O16=4,S15+1,0))</f>
        <v/>
      </c>
      <c r="T16" s="43">
        <f>IF(Q16=1,A16,"")</f>
        <v/>
      </c>
    </row>
    <row r="17">
      <c r="A17" s="36">
        <f>A16+1</f>
        <v/>
      </c>
      <c r="B17" s="37">
        <f>IF(A17="","",TEXT(A17,"ddd"))</f>
        <v/>
      </c>
      <c r="C17" s="38" t="n">
        <v>7</v>
      </c>
      <c r="D17" s="38" t="n">
        <v>6</v>
      </c>
      <c r="E17" s="38" t="n">
        <v>26</v>
      </c>
      <c r="F17" s="38" t="n">
        <v>11</v>
      </c>
      <c r="G17" s="38" t="n">
        <v>9</v>
      </c>
      <c r="H17" s="38" t="n">
        <v>4</v>
      </c>
      <c r="I17" s="38" t="n">
        <v>1</v>
      </c>
      <c r="J17" s="38" t="n">
        <v>0</v>
      </c>
      <c r="K17" s="38" t="n">
        <v>0</v>
      </c>
      <c r="L17" s="39" t="n">
        <v>0</v>
      </c>
      <c r="M17" s="39" t="n">
        <v>0</v>
      </c>
      <c r="N17" s="38" t="n">
        <v>3465</v>
      </c>
      <c r="O17" s="40">
        <f>IF($Q17=0,"",IF(C17&gt;=C$2,1,0)+IF(D17&gt;=D$2,1,0)+IF(E17&gt;=E$2,1,0)+IF(F17&gt;=F$2,1,0))</f>
        <v/>
      </c>
      <c r="P17" s="41" t="n"/>
      <c r="Q17" s="42">
        <f>IF(COUNT(C17:M17)&gt;0,1,0)</f>
        <v/>
      </c>
      <c r="R17" s="42">
        <f>IF(Q17=0,0,R16+1)</f>
        <v/>
      </c>
      <c r="S17" s="42">
        <f>IF(O17="",0,IF(O17=4,S16+1,0))</f>
        <v/>
      </c>
      <c r="T17" s="43">
        <f>IF(Q17=1,A17,"")</f>
        <v/>
      </c>
    </row>
    <row r="18">
      <c r="A18" s="36">
        <f>A17+1</f>
        <v/>
      </c>
      <c r="B18" s="37">
        <f>IF(A18="","",TEXT(A18,"ddd"))</f>
        <v/>
      </c>
      <c r="C18" s="38" t="n">
        <v>5</v>
      </c>
      <c r="D18" s="38" t="n">
        <v>7</v>
      </c>
      <c r="E18" s="38" t="n">
        <v>21</v>
      </c>
      <c r="F18" s="38" t="n">
        <v>11</v>
      </c>
      <c r="G18" s="38" t="n">
        <v>7</v>
      </c>
      <c r="H18" s="38" t="n">
        <v>5</v>
      </c>
      <c r="I18" s="38" t="n">
        <v>1</v>
      </c>
      <c r="J18" s="38" t="n">
        <v>0</v>
      </c>
      <c r="K18" s="38" t="n">
        <v>0</v>
      </c>
      <c r="L18" s="39" t="n">
        <v>0</v>
      </c>
      <c r="M18" s="39" t="n">
        <v>0</v>
      </c>
      <c r="N18" s="38" t="n">
        <v>3489</v>
      </c>
      <c r="O18" s="40">
        <f>IF($Q18=0,"",IF(C18&gt;=C$2,1,0)+IF(D18&gt;=D$2,1,0)+IF(E18&gt;=E$2,1,0)+IF(F18&gt;=F$2,1,0))</f>
        <v/>
      </c>
      <c r="P18" s="41" t="n"/>
      <c r="Q18" s="42">
        <f>IF(COUNT(C18:M18)&gt;0,1,0)</f>
        <v/>
      </c>
      <c r="R18" s="42">
        <f>IF(Q18=0,0,R17+1)</f>
        <v/>
      </c>
      <c r="S18" s="42">
        <f>IF(O18="",0,IF(O18=4,S17+1,0))</f>
        <v/>
      </c>
      <c r="T18" s="43">
        <f>IF(Q18=1,A18,"")</f>
        <v/>
      </c>
    </row>
    <row r="19">
      <c r="A19" s="36">
        <f>A18+1</f>
        <v/>
      </c>
      <c r="B19" s="37">
        <f>IF(A19="","",TEXT(A19,"ddd"))</f>
        <v/>
      </c>
      <c r="C19" s="38" t="n">
        <v>7</v>
      </c>
      <c r="D19" s="38" t="n">
        <v>5</v>
      </c>
      <c r="E19" s="38" t="n">
        <v>23</v>
      </c>
      <c r="F19" s="38" t="n">
        <v>10</v>
      </c>
      <c r="G19" s="38" t="n">
        <v>5</v>
      </c>
      <c r="H19" s="38" t="n">
        <v>2</v>
      </c>
      <c r="I19" s="38" t="n">
        <v>1</v>
      </c>
      <c r="J19" s="38" t="n">
        <v>1</v>
      </c>
      <c r="K19" s="38" t="n">
        <v>0</v>
      </c>
      <c r="L19" s="39" t="n">
        <v>0</v>
      </c>
      <c r="M19" s="39" t="n">
        <v>0</v>
      </c>
      <c r="N19" s="38" t="n">
        <v>3506</v>
      </c>
      <c r="O19" s="40">
        <f>IF($Q19=0,"",IF(C19&gt;=C$2,1,0)+IF(D19&gt;=D$2,1,0)+IF(E19&gt;=E$2,1,0)+IF(F19&gt;=F$2,1,0))</f>
        <v/>
      </c>
      <c r="P19" s="41" t="n"/>
      <c r="Q19" s="42">
        <f>IF(COUNT(C19:M19)&gt;0,1,0)</f>
        <v/>
      </c>
      <c r="R19" s="42">
        <f>IF(Q19=0,0,R18+1)</f>
        <v/>
      </c>
      <c r="S19" s="42">
        <f>IF(O19="",0,IF(O19=4,S18+1,0))</f>
        <v/>
      </c>
      <c r="T19" s="43">
        <f>IF(Q19=1,A19,"")</f>
        <v/>
      </c>
    </row>
    <row r="20">
      <c r="A20" s="36">
        <f>A19+1</f>
        <v/>
      </c>
      <c r="B20" s="37">
        <f>IF(A20="","",TEXT(A20,"ddd"))</f>
        <v/>
      </c>
      <c r="C20" s="38" t="n">
        <v>2</v>
      </c>
      <c r="D20" s="38" t="n">
        <v>2</v>
      </c>
      <c r="E20" s="38" t="n">
        <v>8</v>
      </c>
      <c r="F20" s="38" t="n">
        <v>4</v>
      </c>
      <c r="G20" s="38" t="n">
        <v>2</v>
      </c>
      <c r="H20" s="38" t="n">
        <v>1</v>
      </c>
      <c r="I20" s="38" t="n">
        <v>0</v>
      </c>
      <c r="J20" s="38" t="n">
        <v>1</v>
      </c>
      <c r="K20" s="38" t="n">
        <v>0</v>
      </c>
      <c r="L20" s="39" t="n">
        <v>0</v>
      </c>
      <c r="M20" s="39" t="n">
        <v>0</v>
      </c>
      <c r="N20" s="38" t="n">
        <v>3535</v>
      </c>
      <c r="O20" s="40">
        <f>IF($Q20=0,"",IF(C20&gt;=C$2,1,0)+IF(D20&gt;=D$2,1,0)+IF(E20&gt;=E$2,1,0)+IF(F20&gt;=F$2,1,0))</f>
        <v/>
      </c>
      <c r="P20" s="41" t="n"/>
      <c r="Q20" s="42">
        <f>IF(COUNT(C20:M20)&gt;0,1,0)</f>
        <v/>
      </c>
      <c r="R20" s="42">
        <f>IF(Q20=0,0,R19+1)</f>
        <v/>
      </c>
      <c r="S20" s="42">
        <f>IF(O20="",0,IF(O20=4,S19+1,0))</f>
        <v/>
      </c>
      <c r="T20" s="43">
        <f>IF(Q20=1,A20,"")</f>
        <v/>
      </c>
    </row>
    <row r="21">
      <c r="A21" s="36">
        <f>A20+1</f>
        <v/>
      </c>
      <c r="B21" s="37">
        <f>IF(A21="","",TEXT(A21,"ddd"))</f>
        <v/>
      </c>
      <c r="C21" s="38" t="n">
        <v>2</v>
      </c>
      <c r="D21" s="38" t="n">
        <v>2</v>
      </c>
      <c r="E21" s="38" t="n">
        <v>7</v>
      </c>
      <c r="F21" s="38" t="n">
        <v>4</v>
      </c>
      <c r="G21" s="38" t="n">
        <v>2</v>
      </c>
      <c r="H21" s="38" t="n">
        <v>1</v>
      </c>
      <c r="I21" s="38" t="n">
        <v>0</v>
      </c>
      <c r="J21" s="38" t="n">
        <v>0</v>
      </c>
      <c r="K21" s="38" t="n">
        <v>0</v>
      </c>
      <c r="L21" s="39" t="n">
        <v>0</v>
      </c>
      <c r="M21" s="39" t="n">
        <v>0</v>
      </c>
      <c r="N21" s="38" t="n">
        <v>3546</v>
      </c>
      <c r="O21" s="40">
        <f>IF($Q21=0,"",IF(C21&gt;=C$2,1,0)+IF(D21&gt;=D$2,1,0)+IF(E21&gt;=E$2,1,0)+IF(F21&gt;=F$2,1,0))</f>
        <v/>
      </c>
      <c r="P21" s="41" t="n"/>
      <c r="Q21" s="42">
        <f>IF(COUNT(C21:M21)&gt;0,1,0)</f>
        <v/>
      </c>
      <c r="R21" s="42">
        <f>IF(Q21=0,0,R20+1)</f>
        <v/>
      </c>
      <c r="S21" s="42">
        <f>IF(O21="",0,IF(O21=4,S20+1,0))</f>
        <v/>
      </c>
      <c r="T21" s="43">
        <f>IF(Q21=1,A21,"")</f>
        <v/>
      </c>
    </row>
    <row r="22">
      <c r="A22" s="36">
        <f>A21+1</f>
        <v/>
      </c>
      <c r="B22" s="37">
        <f>IF(A22="","",TEXT(A22,"ddd"))</f>
        <v/>
      </c>
      <c r="C22" s="38" t="n">
        <v>6</v>
      </c>
      <c r="D22" s="38" t="n">
        <v>6</v>
      </c>
      <c r="E22" s="38" t="n">
        <v>23</v>
      </c>
      <c r="F22" s="38" t="n">
        <v>11</v>
      </c>
      <c r="G22" s="38" t="n">
        <v>4</v>
      </c>
      <c r="H22" s="38" t="n">
        <v>2</v>
      </c>
      <c r="I22" s="38" t="n">
        <v>1</v>
      </c>
      <c r="J22" s="38" t="n">
        <v>0</v>
      </c>
      <c r="K22" s="38" t="n">
        <v>0</v>
      </c>
      <c r="L22" s="39" t="n">
        <v>0</v>
      </c>
      <c r="M22" s="39" t="n">
        <v>0</v>
      </c>
      <c r="N22" s="38" t="n">
        <v>3573</v>
      </c>
      <c r="O22" s="40">
        <f>IF($Q22=0,"",IF(C22&gt;=C$2,1,0)+IF(D22&gt;=D$2,1,0)+IF(E22&gt;=E$2,1,0)+IF(F22&gt;=F$2,1,0))</f>
        <v/>
      </c>
      <c r="P22" s="41" t="n"/>
      <c r="Q22" s="42">
        <f>IF(COUNT(C22:M22)&gt;0,1,0)</f>
        <v/>
      </c>
      <c r="R22" s="42">
        <f>IF(Q22=0,0,R21+1)</f>
        <v/>
      </c>
      <c r="S22" s="42">
        <f>IF(O22="",0,IF(O22=4,S21+1,0))</f>
        <v/>
      </c>
      <c r="T22" s="43">
        <f>IF(Q22=1,A22,"")</f>
        <v/>
      </c>
    </row>
    <row r="23">
      <c r="A23" s="36">
        <f>A22+1</f>
        <v/>
      </c>
      <c r="B23" s="37">
        <f>IF(A23="","",TEXT(A23,"ddd"))</f>
        <v/>
      </c>
      <c r="C23" s="38" t="n">
        <v>5</v>
      </c>
      <c r="D23" s="38" t="n">
        <v>5</v>
      </c>
      <c r="E23" s="38" t="n">
        <v>22</v>
      </c>
      <c r="F23" s="38" t="n">
        <v>11</v>
      </c>
      <c r="G23" s="38" t="n">
        <v>8</v>
      </c>
      <c r="H23" s="38" t="n">
        <v>6</v>
      </c>
      <c r="I23" s="38" t="n">
        <v>2</v>
      </c>
      <c r="J23" s="38" t="n">
        <v>1</v>
      </c>
      <c r="K23" s="38" t="n">
        <v>0</v>
      </c>
      <c r="L23" s="39" t="n">
        <v>0</v>
      </c>
      <c r="M23" s="39" t="n">
        <v>0</v>
      </c>
      <c r="N23" s="38" t="n">
        <v>3586</v>
      </c>
      <c r="O23" s="40">
        <f>IF($Q23=0,"",IF(C23&gt;=C$2,1,0)+IF(D23&gt;=D$2,1,0)+IF(E23&gt;=E$2,1,0)+IF(F23&gt;=F$2,1,0))</f>
        <v/>
      </c>
      <c r="P23" s="41" t="n"/>
      <c r="Q23" s="42">
        <f>IF(COUNT(C23:M23)&gt;0,1,0)</f>
        <v/>
      </c>
      <c r="R23" s="42">
        <f>IF(Q23=0,0,R22+1)</f>
        <v/>
      </c>
      <c r="S23" s="42">
        <f>IF(O23="",0,IF(O23=4,S22+1,0))</f>
        <v/>
      </c>
      <c r="T23" s="43">
        <f>IF(Q23=1,A23,"")</f>
        <v/>
      </c>
    </row>
    <row r="24">
      <c r="A24" s="36">
        <f>A23+1</f>
        <v/>
      </c>
      <c r="B24" s="37">
        <f>IF(A24="","",TEXT(A24,"ddd"))</f>
        <v/>
      </c>
      <c r="C24" s="38" t="n">
        <v>7</v>
      </c>
      <c r="D24" s="38" t="n">
        <v>5</v>
      </c>
      <c r="E24" s="38" t="n">
        <v>20</v>
      </c>
      <c r="F24" s="38" t="n">
        <v>13</v>
      </c>
      <c r="G24" s="38" t="n">
        <v>8</v>
      </c>
      <c r="H24" s="38" t="n">
        <v>5</v>
      </c>
      <c r="I24" s="38" t="n">
        <v>2</v>
      </c>
      <c r="J24" s="38" t="n">
        <v>2</v>
      </c>
      <c r="K24" s="38" t="n">
        <v>0</v>
      </c>
      <c r="L24" s="39" t="n">
        <v>0</v>
      </c>
      <c r="M24" s="39" t="n">
        <v>0</v>
      </c>
      <c r="N24" s="38" t="n">
        <v>3605</v>
      </c>
      <c r="O24" s="40">
        <f>IF($Q24=0,"",IF(C24&gt;=C$2,1,0)+IF(D24&gt;=D$2,1,0)+IF(E24&gt;=E$2,1,0)+IF(F24&gt;=F$2,1,0))</f>
        <v/>
      </c>
      <c r="P24" s="41" t="n"/>
      <c r="Q24" s="42">
        <f>IF(COUNT(C24:M24)&gt;0,1,0)</f>
        <v/>
      </c>
      <c r="R24" s="42">
        <f>IF(Q24=0,0,R23+1)</f>
        <v/>
      </c>
      <c r="S24" s="42">
        <f>IF(O24="",0,IF(O24=4,S23+1,0))</f>
        <v/>
      </c>
      <c r="T24" s="43">
        <f>IF(Q24=1,A24,"")</f>
        <v/>
      </c>
    </row>
    <row r="25">
      <c r="A25" s="36">
        <f>A24+1</f>
        <v/>
      </c>
      <c r="B25" s="37">
        <f>IF(A25="","",TEXT(A25,"ddd"))</f>
        <v/>
      </c>
      <c r="C25" s="38" t="n">
        <v>5</v>
      </c>
      <c r="D25" s="38" t="n">
        <v>5</v>
      </c>
      <c r="E25" s="38" t="n">
        <v>20</v>
      </c>
      <c r="F25" s="38" t="n">
        <v>13</v>
      </c>
      <c r="G25" s="38" t="n">
        <v>6</v>
      </c>
      <c r="H25" s="38" t="n">
        <v>4</v>
      </c>
      <c r="I25" s="38" t="n">
        <v>2</v>
      </c>
      <c r="J25" s="38" t="n">
        <v>2</v>
      </c>
      <c r="K25" s="38" t="n">
        <v>0</v>
      </c>
      <c r="L25" s="39" t="n">
        <v>0</v>
      </c>
      <c r="M25" s="39" t="n">
        <v>0</v>
      </c>
      <c r="N25" s="38" t="n">
        <v>3625</v>
      </c>
      <c r="O25" s="40">
        <f>IF($Q25=0,"",IF(C25&gt;=C$2,1,0)+IF(D25&gt;=D$2,1,0)+IF(E25&gt;=E$2,1,0)+IF(F25&gt;=F$2,1,0))</f>
        <v/>
      </c>
      <c r="P25" s="41" t="n"/>
      <c r="Q25" s="42">
        <f>IF(COUNT(C25:M25)&gt;0,1,0)</f>
        <v/>
      </c>
      <c r="R25" s="42">
        <f>IF(Q25=0,0,R24+1)</f>
        <v/>
      </c>
      <c r="S25" s="42">
        <f>IF(O25="",0,IF(O25=4,S24+1,0))</f>
        <v/>
      </c>
      <c r="T25" s="43">
        <f>IF(Q25=1,A25,"")</f>
        <v/>
      </c>
    </row>
    <row r="26">
      <c r="A26" s="36">
        <f>A25+1</f>
        <v/>
      </c>
      <c r="B26" s="37">
        <f>IF(A26="","",TEXT(A26,"ddd"))</f>
        <v/>
      </c>
      <c r="C26" s="38" t="n">
        <v>5</v>
      </c>
      <c r="D26" s="38" t="n">
        <v>7</v>
      </c>
      <c r="E26" s="38" t="n">
        <v>23</v>
      </c>
      <c r="F26" s="38" t="n">
        <v>10</v>
      </c>
      <c r="G26" s="38" t="n">
        <v>8</v>
      </c>
      <c r="H26" s="38" t="n">
        <v>4</v>
      </c>
      <c r="I26" s="38" t="n">
        <v>1</v>
      </c>
      <c r="J26" s="38" t="n">
        <v>1</v>
      </c>
      <c r="K26" s="38" t="n">
        <v>0</v>
      </c>
      <c r="L26" s="39" t="n">
        <v>0</v>
      </c>
      <c r="M26" s="39" t="n">
        <v>0</v>
      </c>
      <c r="N26" s="38" t="n">
        <v>3646</v>
      </c>
      <c r="O26" s="40">
        <f>IF($Q26=0,"",IF(C26&gt;=C$2,1,0)+IF(D26&gt;=D$2,1,0)+IF(E26&gt;=E$2,1,0)+IF(F26&gt;=F$2,1,0))</f>
        <v/>
      </c>
      <c r="P26" s="41" t="n"/>
      <c r="Q26" s="42">
        <f>IF(COUNT(C26:M26)&gt;0,1,0)</f>
        <v/>
      </c>
      <c r="R26" s="42">
        <f>IF(Q26=0,0,R25+1)</f>
        <v/>
      </c>
      <c r="S26" s="42">
        <f>IF(O26="",0,IF(O26=4,S25+1,0))</f>
        <v/>
      </c>
      <c r="T26" s="43">
        <f>IF(Q26=1,A26,"")</f>
        <v/>
      </c>
    </row>
    <row r="27">
      <c r="A27" s="36">
        <f>A26+1</f>
        <v/>
      </c>
      <c r="B27" s="37">
        <f>IF(A27="","",TEXT(A27,"ddd"))</f>
        <v/>
      </c>
      <c r="C27" s="38" t="n">
        <v>2</v>
      </c>
      <c r="D27" s="38" t="n">
        <v>2</v>
      </c>
      <c r="E27" s="38" t="n">
        <v>7</v>
      </c>
      <c r="F27" s="38" t="n">
        <v>4</v>
      </c>
      <c r="G27" s="38" t="n">
        <v>1</v>
      </c>
      <c r="H27" s="38" t="n">
        <v>1</v>
      </c>
      <c r="I27" s="38" t="n">
        <v>0</v>
      </c>
      <c r="J27" s="38" t="n">
        <v>0</v>
      </c>
      <c r="K27" s="38" t="n">
        <v>0</v>
      </c>
      <c r="L27" s="39" t="n">
        <v>0</v>
      </c>
      <c r="M27" s="39" t="n">
        <v>0</v>
      </c>
      <c r="N27" s="38" t="n">
        <v>3678</v>
      </c>
      <c r="O27" s="40">
        <f>IF($Q27=0,"",IF(C27&gt;=C$2,1,0)+IF(D27&gt;=D$2,1,0)+IF(E27&gt;=E$2,1,0)+IF(F27&gt;=F$2,1,0))</f>
        <v/>
      </c>
      <c r="P27" s="41" t="n"/>
      <c r="Q27" s="42">
        <f>IF(COUNT(C27:M27)&gt;0,1,0)</f>
        <v/>
      </c>
      <c r="R27" s="42">
        <f>IF(Q27=0,0,R26+1)</f>
        <v/>
      </c>
      <c r="S27" s="42">
        <f>IF(O27="",0,IF(O27=4,S26+1,0))</f>
        <v/>
      </c>
      <c r="T27" s="43">
        <f>IF(Q27=1,A27,"")</f>
        <v/>
      </c>
    </row>
    <row r="28">
      <c r="A28" s="36">
        <f>A27+1</f>
        <v/>
      </c>
      <c r="B28" s="37">
        <f>IF(A28="","",TEXT(A28,"ddd"))</f>
        <v/>
      </c>
      <c r="C28" s="38" t="n">
        <v>2</v>
      </c>
      <c r="D28" s="38" t="n">
        <v>2</v>
      </c>
      <c r="E28" s="38" t="n">
        <v>9</v>
      </c>
      <c r="F28" s="38" t="n">
        <v>5</v>
      </c>
      <c r="G28" s="38" t="n">
        <v>3</v>
      </c>
      <c r="H28" s="38" t="n">
        <v>2</v>
      </c>
      <c r="I28" s="38" t="n">
        <v>0</v>
      </c>
      <c r="J28" s="38" t="n">
        <v>0</v>
      </c>
      <c r="K28" s="38" t="n">
        <v>0</v>
      </c>
      <c r="L28" s="39" t="n">
        <v>0</v>
      </c>
      <c r="M28" s="39" t="n">
        <v>0</v>
      </c>
      <c r="N28" s="38" t="n">
        <v>3703</v>
      </c>
      <c r="O28" s="40">
        <f>IF($Q28=0,"",IF(C28&gt;=C$2,1,0)+IF(D28&gt;=D$2,1,0)+IF(E28&gt;=E$2,1,0)+IF(F28&gt;=F$2,1,0))</f>
        <v/>
      </c>
      <c r="P28" s="41" t="n"/>
      <c r="Q28" s="42">
        <f>IF(COUNT(C28:M28)&gt;0,1,0)</f>
        <v/>
      </c>
      <c r="R28" s="42">
        <f>IF(Q28=0,0,R27+1)</f>
        <v/>
      </c>
      <c r="S28" s="42">
        <f>IF(O28="",0,IF(O28=4,S27+1,0))</f>
        <v/>
      </c>
      <c r="T28" s="43">
        <f>IF(Q28=1,A28,"")</f>
        <v/>
      </c>
    </row>
    <row r="29">
      <c r="A29" s="36">
        <f>A28+1</f>
        <v/>
      </c>
      <c r="B29" s="37">
        <f>IF(A29="","",TEXT(A29,"ddd"))</f>
        <v/>
      </c>
      <c r="C29" s="38" t="n">
        <v>5</v>
      </c>
      <c r="D29" s="38" t="n">
        <v>6</v>
      </c>
      <c r="E29" s="38" t="n">
        <v>24</v>
      </c>
      <c r="F29" s="38" t="n">
        <v>10</v>
      </c>
      <c r="G29" s="38" t="n">
        <v>6</v>
      </c>
      <c r="H29" s="38" t="n">
        <v>3</v>
      </c>
      <c r="I29" s="38" t="n">
        <v>1</v>
      </c>
      <c r="J29" s="38" t="n">
        <v>0</v>
      </c>
      <c r="K29" s="38" t="n">
        <v>0</v>
      </c>
      <c r="L29" s="39" t="n">
        <v>0</v>
      </c>
      <c r="M29" s="39" t="n">
        <v>0</v>
      </c>
      <c r="N29" s="38" t="n">
        <v>3727</v>
      </c>
      <c r="O29" s="40">
        <f>IF($Q29=0,"",IF(C29&gt;=C$2,1,0)+IF(D29&gt;=D$2,1,0)+IF(E29&gt;=E$2,1,0)+IF(F29&gt;=F$2,1,0))</f>
        <v/>
      </c>
      <c r="P29" s="41" t="n"/>
      <c r="Q29" s="42">
        <f>IF(COUNT(C29:M29)&gt;0,1,0)</f>
        <v/>
      </c>
      <c r="R29" s="42">
        <f>IF(Q29=0,0,R28+1)</f>
        <v/>
      </c>
      <c r="S29" s="42">
        <f>IF(O29="",0,IF(O29=4,S28+1,0))</f>
        <v/>
      </c>
      <c r="T29" s="43">
        <f>IF(Q29=1,A29,"")</f>
        <v/>
      </c>
    </row>
    <row r="30">
      <c r="A30" s="36">
        <f>A29+1</f>
        <v/>
      </c>
      <c r="B30" s="37">
        <f>IF(A30="","",TEXT(A30,"ddd"))</f>
        <v/>
      </c>
      <c r="C30" s="38" t="n">
        <v>7</v>
      </c>
      <c r="D30" s="38" t="n">
        <v>7</v>
      </c>
      <c r="E30" s="38" t="n">
        <v>23</v>
      </c>
      <c r="F30" s="38" t="n">
        <v>12</v>
      </c>
      <c r="G30" s="38" t="n">
        <v>8</v>
      </c>
      <c r="H30" s="38" t="n">
        <v>4</v>
      </c>
      <c r="I30" s="38" t="n">
        <v>1</v>
      </c>
      <c r="J30" s="38" t="n">
        <v>1</v>
      </c>
      <c r="K30" s="38" t="n">
        <v>0</v>
      </c>
      <c r="L30" s="39" t="n">
        <v>0</v>
      </c>
      <c r="M30" s="39" t="n">
        <v>0</v>
      </c>
      <c r="N30" s="38" t="n">
        <v>3746</v>
      </c>
      <c r="O30" s="40">
        <f>IF($Q30=0,"",IF(C30&gt;=C$2,1,0)+IF(D30&gt;=D$2,1,0)+IF(E30&gt;=E$2,1,0)+IF(F30&gt;=F$2,1,0))</f>
        <v/>
      </c>
      <c r="P30" s="41" t="n"/>
      <c r="Q30" s="42">
        <f>IF(COUNT(C30:M30)&gt;0,1,0)</f>
        <v/>
      </c>
      <c r="R30" s="42">
        <f>IF(Q30=0,0,R29+1)</f>
        <v/>
      </c>
      <c r="S30" s="42">
        <f>IF(O30="",0,IF(O30=4,S29+1,0))</f>
        <v/>
      </c>
      <c r="T30" s="43">
        <f>IF(Q30=1,A30,"")</f>
        <v/>
      </c>
    </row>
    <row r="31">
      <c r="A31" s="36">
        <f>A30+1</f>
        <v/>
      </c>
      <c r="B31" s="37">
        <f>IF(A31="","",TEXT(A31,"ddd"))</f>
        <v/>
      </c>
      <c r="C31" s="38" t="n">
        <v>7</v>
      </c>
      <c r="D31" s="38" t="n">
        <v>6</v>
      </c>
      <c r="E31" s="38" t="n">
        <v>23</v>
      </c>
      <c r="F31" s="38" t="n">
        <v>11</v>
      </c>
      <c r="G31" s="38" t="n">
        <v>6</v>
      </c>
      <c r="H31" s="38" t="n">
        <v>4</v>
      </c>
      <c r="I31" s="38" t="n">
        <v>1</v>
      </c>
      <c r="J31" s="38" t="n">
        <v>1</v>
      </c>
      <c r="K31" s="38" t="n">
        <v>0</v>
      </c>
      <c r="L31" s="39" t="n">
        <v>0</v>
      </c>
      <c r="M31" s="39" t="n">
        <v>0</v>
      </c>
      <c r="N31" s="38" t="n">
        <v>3761</v>
      </c>
      <c r="O31" s="40">
        <f>IF($Q31=0,"",IF(C31&gt;=C$2,1,0)+IF(D31&gt;=D$2,1,0)+IF(E31&gt;=E$2,1,0)+IF(F31&gt;=F$2,1,0))</f>
        <v/>
      </c>
      <c r="P31" s="41" t="n"/>
      <c r="Q31" s="42">
        <f>IF(COUNT(C31:M31)&gt;0,1,0)</f>
        <v/>
      </c>
      <c r="R31" s="42">
        <f>IF(Q31=0,0,R30+1)</f>
        <v/>
      </c>
      <c r="S31" s="42">
        <f>IF(O31="",0,IF(O31=4,S30+1,0))</f>
        <v/>
      </c>
      <c r="T31" s="43">
        <f>IF(Q31=1,A31,"")</f>
        <v/>
      </c>
    </row>
    <row r="32">
      <c r="A32" s="36">
        <f>A31+1</f>
        <v/>
      </c>
      <c r="B32" s="37">
        <f>IF(A32="","",TEXT(A32,"ddd"))</f>
        <v/>
      </c>
      <c r="C32" s="38" t="n">
        <v>5</v>
      </c>
      <c r="D32" s="38" t="n">
        <v>6</v>
      </c>
      <c r="E32" s="38" t="n">
        <v>21</v>
      </c>
      <c r="F32" s="38" t="n">
        <v>12</v>
      </c>
      <c r="G32" s="38" t="n">
        <v>5</v>
      </c>
      <c r="H32" s="38" t="n">
        <v>2</v>
      </c>
      <c r="I32" s="38" t="n">
        <v>1</v>
      </c>
      <c r="J32" s="38" t="n">
        <v>0</v>
      </c>
      <c r="K32" s="38" t="n">
        <v>0</v>
      </c>
      <c r="L32" s="39" t="n">
        <v>0</v>
      </c>
      <c r="M32" s="39" t="n">
        <v>0</v>
      </c>
      <c r="N32" s="38" t="n">
        <v>3771</v>
      </c>
      <c r="O32" s="40">
        <f>IF($Q32=0,"",IF(C32&gt;=C$2,1,0)+IF(D32&gt;=D$2,1,0)+IF(E32&gt;=E$2,1,0)+IF(F32&gt;=F$2,1,0))</f>
        <v/>
      </c>
      <c r="P32" s="41" t="n"/>
      <c r="Q32" s="42">
        <f>IF(COUNT(C32:M32)&gt;0,1,0)</f>
        <v/>
      </c>
      <c r="R32" s="42">
        <f>IF(Q32=0,0,R31+1)</f>
        <v/>
      </c>
      <c r="S32" s="42">
        <f>IF(O32="",0,IF(O32=4,S31+1,0))</f>
        <v/>
      </c>
      <c r="T32" s="43">
        <f>IF(Q32=1,A32,"")</f>
        <v/>
      </c>
    </row>
    <row r="33">
      <c r="A33" s="36">
        <f>A32+1</f>
        <v/>
      </c>
      <c r="B33" s="37">
        <f>IF(A33="","",TEXT(A33,"ddd"))</f>
        <v/>
      </c>
      <c r="C33" s="38" t="n">
        <v>7</v>
      </c>
      <c r="D33" s="38" t="n">
        <v>5</v>
      </c>
      <c r="E33" s="38" t="n">
        <v>22</v>
      </c>
      <c r="F33" s="38" t="n">
        <v>11</v>
      </c>
      <c r="G33" s="38" t="n">
        <v>5</v>
      </c>
      <c r="H33" s="38" t="n">
        <v>3</v>
      </c>
      <c r="I33" s="38" t="n">
        <v>1</v>
      </c>
      <c r="J33" s="38" t="n">
        <v>0</v>
      </c>
      <c r="K33" s="38" t="n">
        <v>0</v>
      </c>
      <c r="L33" s="39" t="n">
        <v>0</v>
      </c>
      <c r="M33" s="39" t="n">
        <v>0</v>
      </c>
      <c r="N33" s="38" t="n">
        <v>3792</v>
      </c>
      <c r="O33" s="40">
        <f>IF($Q33=0,"",IF(C33&gt;=C$2,1,0)+IF(D33&gt;=D$2,1,0)+IF(E33&gt;=E$2,1,0)+IF(F33&gt;=F$2,1,0))</f>
        <v/>
      </c>
      <c r="P33" s="41" t="n"/>
      <c r="Q33" s="42">
        <f>IF(COUNT(C33:M33)&gt;0,1,0)</f>
        <v/>
      </c>
      <c r="R33" s="42">
        <f>IF(Q33=0,0,R32+1)</f>
        <v/>
      </c>
      <c r="S33" s="42">
        <f>IF(O33="",0,IF(O33=4,S32+1,0))</f>
        <v/>
      </c>
      <c r="T33" s="43">
        <f>IF(Q33=1,A33,"")</f>
        <v/>
      </c>
    </row>
    <row r="34">
      <c r="A34" s="36">
        <f>A33+1</f>
        <v/>
      </c>
      <c r="B34" s="37">
        <f>IF(A34="","",TEXT(A34,"ddd"))</f>
        <v/>
      </c>
      <c r="C34" s="38" t="n">
        <v>2</v>
      </c>
      <c r="D34" s="38" t="n">
        <v>2</v>
      </c>
      <c r="E34" s="38" t="n">
        <v>8</v>
      </c>
      <c r="F34" s="38" t="n">
        <v>4</v>
      </c>
      <c r="G34" s="38" t="n">
        <v>3</v>
      </c>
      <c r="H34" s="38" t="n">
        <v>2</v>
      </c>
      <c r="I34" s="38" t="n">
        <v>1</v>
      </c>
      <c r="J34" s="38" t="n">
        <v>1</v>
      </c>
      <c r="K34" s="38" t="n">
        <v>0</v>
      </c>
      <c r="L34" s="39" t="n">
        <v>0</v>
      </c>
      <c r="M34" s="39" t="n">
        <v>0</v>
      </c>
      <c r="N34" s="38" t="n">
        <v>3809</v>
      </c>
      <c r="O34" s="40">
        <f>IF($Q34=0,"",IF(C34&gt;=C$2,1,0)+IF(D34&gt;=D$2,1,0)+IF(E34&gt;=E$2,1,0)+IF(F34&gt;=F$2,1,0))</f>
        <v/>
      </c>
      <c r="P34" s="41" t="n"/>
      <c r="Q34" s="42">
        <f>IF(COUNT(C34:M34)&gt;0,1,0)</f>
        <v/>
      </c>
      <c r="R34" s="42">
        <f>IF(Q34=0,0,R33+1)</f>
        <v/>
      </c>
      <c r="S34" s="42">
        <f>IF(O34="",0,IF(O34=4,S33+1,0))</f>
        <v/>
      </c>
      <c r="T34" s="43">
        <f>IF(Q34=1,A34,"")</f>
        <v/>
      </c>
    </row>
    <row r="35">
      <c r="A35" s="36">
        <f>A34+1</f>
        <v/>
      </c>
      <c r="B35" s="37">
        <f>IF(A35="","",TEXT(A35,"ddd"))</f>
        <v/>
      </c>
      <c r="C35" s="38" t="n">
        <v>2</v>
      </c>
      <c r="D35" s="38" t="n">
        <v>2</v>
      </c>
      <c r="E35" s="38" t="n">
        <v>9</v>
      </c>
      <c r="F35" s="38" t="n">
        <v>4</v>
      </c>
      <c r="G35" s="38" t="n">
        <v>3</v>
      </c>
      <c r="H35" s="38" t="n">
        <v>1</v>
      </c>
      <c r="I35" s="38" t="n">
        <v>0</v>
      </c>
      <c r="J35" s="38" t="n">
        <v>1</v>
      </c>
      <c r="K35" s="38" t="n">
        <v>1</v>
      </c>
      <c r="L35" s="39" t="n">
        <v>3000</v>
      </c>
      <c r="M35" s="39" t="n">
        <v>3000</v>
      </c>
      <c r="N35" s="38" t="n">
        <v>3818</v>
      </c>
      <c r="O35" s="40">
        <f>IF($Q35=0,"",IF(C35&gt;=C$2,1,0)+IF(D35&gt;=D$2,1,0)+IF(E35&gt;=E$2,1,0)+IF(F35&gt;=F$2,1,0))</f>
        <v/>
      </c>
      <c r="P35" s="41" t="n"/>
      <c r="Q35" s="42">
        <f>IF(COUNT(C35:M35)&gt;0,1,0)</f>
        <v/>
      </c>
      <c r="R35" s="42">
        <f>IF(Q35=0,0,R34+1)</f>
        <v/>
      </c>
      <c r="S35" s="42">
        <f>IF(O35="",0,IF(O35=4,S34+1,0))</f>
        <v/>
      </c>
      <c r="T35" s="43">
        <f>IF(Q35=1,A35,"")</f>
        <v/>
      </c>
    </row>
    <row r="36">
      <c r="A36" s="36">
        <f>A35+1</f>
        <v/>
      </c>
      <c r="B36" s="37">
        <f>IF(A36="","",TEXT(A36,"ddd"))</f>
        <v/>
      </c>
      <c r="C36" s="38" t="n">
        <v>6</v>
      </c>
      <c r="D36" s="38" t="n">
        <v>5</v>
      </c>
      <c r="E36" s="38" t="n">
        <v>26</v>
      </c>
      <c r="F36" s="38" t="n">
        <v>11</v>
      </c>
      <c r="G36" s="38" t="n">
        <v>8</v>
      </c>
      <c r="H36" s="38" t="n">
        <v>6</v>
      </c>
      <c r="I36" s="38" t="n">
        <v>1</v>
      </c>
      <c r="J36" s="38" t="n">
        <v>0</v>
      </c>
      <c r="K36" s="38" t="n">
        <v>0</v>
      </c>
      <c r="L36" s="39" t="n">
        <v>0</v>
      </c>
      <c r="M36" s="39" t="n">
        <v>0</v>
      </c>
      <c r="N36" s="38" t="n">
        <v>3830</v>
      </c>
      <c r="O36" s="40">
        <f>IF($Q36=0,"",IF(C36&gt;=C$2,1,0)+IF(D36&gt;=D$2,1,0)+IF(E36&gt;=E$2,1,0)+IF(F36&gt;=F$2,1,0))</f>
        <v/>
      </c>
      <c r="P36" s="41" t="n"/>
      <c r="Q36" s="42">
        <f>IF(COUNT(C36:M36)&gt;0,1,0)</f>
        <v/>
      </c>
      <c r="R36" s="42">
        <f>IF(Q36=0,0,R35+1)</f>
        <v/>
      </c>
      <c r="S36" s="42">
        <f>IF(O36="",0,IF(O36=4,S35+1,0))</f>
        <v/>
      </c>
      <c r="T36" s="43">
        <f>IF(Q36=1,A36,"")</f>
        <v/>
      </c>
    </row>
    <row r="37">
      <c r="A37" s="36">
        <f>A36+1</f>
        <v/>
      </c>
      <c r="B37" s="37">
        <f>IF(A37="","",TEXT(A37,"ddd"))</f>
        <v/>
      </c>
      <c r="C37" s="38" t="n">
        <v>7</v>
      </c>
      <c r="D37" s="38" t="n">
        <v>7</v>
      </c>
      <c r="E37" s="38" t="n">
        <v>25</v>
      </c>
      <c r="F37" s="38" t="n">
        <v>12</v>
      </c>
      <c r="G37" s="38" t="n">
        <v>9</v>
      </c>
      <c r="H37" s="38" t="n">
        <v>6</v>
      </c>
      <c r="I37" s="38" t="n">
        <v>1</v>
      </c>
      <c r="J37" s="38" t="n">
        <v>1</v>
      </c>
      <c r="K37" s="38" t="n">
        <v>1</v>
      </c>
      <c r="L37" s="39" t="n">
        <v>1500</v>
      </c>
      <c r="M37" s="39" t="n">
        <v>1500</v>
      </c>
      <c r="N37" s="38" t="n">
        <v>3856</v>
      </c>
      <c r="O37" s="40">
        <f>IF($Q37=0,"",IF(C37&gt;=C$2,1,0)+IF(D37&gt;=D$2,1,0)+IF(E37&gt;=E$2,1,0)+IF(F37&gt;=F$2,1,0))</f>
        <v/>
      </c>
      <c r="P37" s="41" t="n"/>
      <c r="Q37" s="42">
        <f>IF(COUNT(C37:M37)&gt;0,1,0)</f>
        <v/>
      </c>
      <c r="R37" s="42">
        <f>IF(Q37=0,0,R36+1)</f>
        <v/>
      </c>
      <c r="S37" s="42">
        <f>IF(O37="",0,IF(O37=4,S36+1,0))</f>
        <v/>
      </c>
      <c r="T37" s="43">
        <f>IF(Q37=1,A37,"")</f>
        <v/>
      </c>
    </row>
    <row r="38">
      <c r="A38" s="36">
        <f>A37+1</f>
        <v/>
      </c>
      <c r="B38" s="37">
        <f>IF(A38="","",TEXT(A38,"ddd"))</f>
        <v/>
      </c>
      <c r="C38" s="38" t="n">
        <v>7</v>
      </c>
      <c r="D38" s="38" t="n">
        <v>5</v>
      </c>
      <c r="E38" s="38" t="n">
        <v>21</v>
      </c>
      <c r="F38" s="38" t="n">
        <v>11</v>
      </c>
      <c r="G38" s="38" t="n">
        <v>5</v>
      </c>
      <c r="H38" s="38" t="n">
        <v>2</v>
      </c>
      <c r="I38" s="38" t="n">
        <v>1</v>
      </c>
      <c r="J38" s="38" t="n">
        <v>1</v>
      </c>
      <c r="K38" s="38" t="n">
        <v>0</v>
      </c>
      <c r="L38" s="39" t="n">
        <v>0</v>
      </c>
      <c r="M38" s="39" t="n">
        <v>0</v>
      </c>
      <c r="N38" s="38" t="n">
        <v>3870</v>
      </c>
      <c r="O38" s="40">
        <f>IF($Q38=0,"",IF(C38&gt;=C$2,1,0)+IF(D38&gt;=D$2,1,0)+IF(E38&gt;=E$2,1,0)+IF(F38&gt;=F$2,1,0))</f>
        <v/>
      </c>
      <c r="P38" s="41" t="n"/>
      <c r="Q38" s="42">
        <f>IF(COUNT(C38:M38)&gt;0,1,0)</f>
        <v/>
      </c>
      <c r="R38" s="42">
        <f>IF(Q38=0,0,R37+1)</f>
        <v/>
      </c>
      <c r="S38" s="42">
        <f>IF(O38="",0,IF(O38=4,S37+1,0))</f>
        <v/>
      </c>
      <c r="T38" s="43">
        <f>IF(Q38=1,A38,"")</f>
        <v/>
      </c>
    </row>
    <row r="39">
      <c r="A39" s="36">
        <f>A38+1</f>
        <v/>
      </c>
      <c r="B39" s="37">
        <f>IF(A39="","",TEXT(A39,"ddd"))</f>
        <v/>
      </c>
      <c r="C39" s="38" t="n">
        <v>5</v>
      </c>
      <c r="D39" s="38" t="n">
        <v>5</v>
      </c>
      <c r="E39" s="38" t="n">
        <v>19</v>
      </c>
      <c r="F39" s="38" t="n">
        <v>1</v>
      </c>
      <c r="G39" s="38" t="n">
        <v>2</v>
      </c>
      <c r="H39" s="38" t="n">
        <v>1</v>
      </c>
      <c r="I39" s="38" t="n">
        <v>0</v>
      </c>
      <c r="J39" s="38" t="n">
        <v>1</v>
      </c>
      <c r="K39" s="38" t="n">
        <v>1</v>
      </c>
      <c r="L39" s="39" t="n">
        <v>1500</v>
      </c>
      <c r="M39" s="39" t="n">
        <v>1500</v>
      </c>
      <c r="N39" s="38" t="n">
        <v>3882</v>
      </c>
      <c r="O39" s="40">
        <f>IF($Q39=0,"",IF(C39&gt;=C$2,1,0)+IF(D39&gt;=D$2,1,0)+IF(E39&gt;=E$2,1,0)+IF(F39&gt;=F$2,1,0))</f>
        <v/>
      </c>
      <c r="P39" s="41" t="inlineStr">
        <is>
          <t>Slipping on follow-ups, got busy with delivery</t>
        </is>
      </c>
      <c r="Q39" s="42">
        <f>IF(COUNT(C39:M39)&gt;0,1,0)</f>
        <v/>
      </c>
      <c r="R39" s="42">
        <f>IF(Q39=0,0,R38+1)</f>
        <v/>
      </c>
      <c r="S39" s="42">
        <f>IF(O39="",0,IF(O39=4,S38+1,0))</f>
        <v/>
      </c>
      <c r="T39" s="43">
        <f>IF(Q39=1,A39,"")</f>
        <v/>
      </c>
    </row>
    <row r="40">
      <c r="A40" s="36">
        <f>A39+1</f>
        <v/>
      </c>
      <c r="B40" s="37">
        <f>IF(A40="","",TEXT(A40,"ddd"))</f>
        <v/>
      </c>
      <c r="C40" s="38" t="n">
        <v>6</v>
      </c>
      <c r="D40" s="38" t="n">
        <v>5</v>
      </c>
      <c r="E40" s="38" t="n">
        <v>22</v>
      </c>
      <c r="F40" s="38" t="n">
        <v>3</v>
      </c>
      <c r="G40" s="38" t="n">
        <v>3</v>
      </c>
      <c r="H40" s="38" t="n">
        <v>1</v>
      </c>
      <c r="I40" s="38" t="n">
        <v>0</v>
      </c>
      <c r="J40" s="38" t="n">
        <v>0</v>
      </c>
      <c r="K40" s="38" t="n">
        <v>0</v>
      </c>
      <c r="L40" s="39" t="n">
        <v>0</v>
      </c>
      <c r="M40" s="39" t="n">
        <v>0</v>
      </c>
      <c r="N40" s="38" t="n">
        <v>3896</v>
      </c>
      <c r="O40" s="40">
        <f>IF($Q40=0,"",IF(C40&gt;=C$2,1,0)+IF(D40&gt;=D$2,1,0)+IF(E40&gt;=E$2,1,0)+IF(F40&gt;=F$2,1,0))</f>
        <v/>
      </c>
      <c r="P40" s="41" t="n"/>
      <c r="Q40" s="42">
        <f>IF(COUNT(C40:M40)&gt;0,1,0)</f>
        <v/>
      </c>
      <c r="R40" s="42">
        <f>IF(Q40=0,0,R39+1)</f>
        <v/>
      </c>
      <c r="S40" s="42">
        <f>IF(O40="",0,IF(O40=4,S39+1,0))</f>
        <v/>
      </c>
      <c r="T40" s="43">
        <f>IF(Q40=1,A40,"")</f>
        <v/>
      </c>
    </row>
    <row r="41">
      <c r="A41" s="36">
        <f>A40+1</f>
        <v/>
      </c>
      <c r="B41" s="37">
        <f>IF(A41="","",TEXT(A41,"ddd"))</f>
        <v/>
      </c>
      <c r="C41" s="38" t="n">
        <v>2</v>
      </c>
      <c r="D41" s="38" t="n">
        <v>1</v>
      </c>
      <c r="E41" s="38" t="n">
        <v>7</v>
      </c>
      <c r="F41" s="38" t="n">
        <v>1</v>
      </c>
      <c r="G41" s="38" t="n">
        <v>1</v>
      </c>
      <c r="H41" s="38" t="n">
        <v>1</v>
      </c>
      <c r="I41" s="38" t="n">
        <v>0</v>
      </c>
      <c r="J41" s="38" t="n">
        <v>0</v>
      </c>
      <c r="K41" s="38" t="n">
        <v>0</v>
      </c>
      <c r="L41" s="39" t="n">
        <v>0</v>
      </c>
      <c r="M41" s="39" t="n">
        <v>0</v>
      </c>
      <c r="N41" s="38" t="n">
        <v>3908</v>
      </c>
      <c r="O41" s="40">
        <f>IF($Q41=0,"",IF(C41&gt;=C$2,1,0)+IF(D41&gt;=D$2,1,0)+IF(E41&gt;=E$2,1,0)+IF(F41&gt;=F$2,1,0))</f>
        <v/>
      </c>
      <c r="P41" s="41" t="n"/>
      <c r="Q41" s="42">
        <f>IF(COUNT(C41:M41)&gt;0,1,0)</f>
        <v/>
      </c>
      <c r="R41" s="42">
        <f>IF(Q41=0,0,R40+1)</f>
        <v/>
      </c>
      <c r="S41" s="42">
        <f>IF(O41="",0,IF(O41=4,S40+1,0))</f>
        <v/>
      </c>
      <c r="T41" s="43">
        <f>IF(Q41=1,A41,"")</f>
        <v/>
      </c>
    </row>
    <row r="42">
      <c r="A42" s="36">
        <f>A41+1</f>
        <v/>
      </c>
      <c r="B42" s="37">
        <f>IF(A42="","",TEXT(A42,"ddd"))</f>
        <v/>
      </c>
      <c r="C42" s="38" t="n">
        <v>0</v>
      </c>
      <c r="D42" s="38" t="n">
        <v>0</v>
      </c>
      <c r="E42" s="38" t="n">
        <v>0</v>
      </c>
      <c r="F42" s="38" t="n">
        <v>0</v>
      </c>
      <c r="G42" s="38" t="n">
        <v>0</v>
      </c>
      <c r="H42" s="38" t="n">
        <v>0</v>
      </c>
      <c r="I42" s="38" t="n">
        <v>0</v>
      </c>
      <c r="J42" s="38" t="n">
        <v>0</v>
      </c>
      <c r="K42" s="38" t="n">
        <v>0</v>
      </c>
      <c r="L42" s="39" t="n">
        <v>0</v>
      </c>
      <c r="M42" s="39" t="n">
        <v>0</v>
      </c>
      <c r="N42" s="38" t="n">
        <v>3908</v>
      </c>
      <c r="O42" s="40">
        <f>IF($Q42=0,"",IF(C42&gt;=C$2,1,0)+IF(D42&gt;=D$2,1,0)+IF(E42&gt;=E$2,1,0)+IF(F42&gt;=F$2,1,0))</f>
        <v/>
      </c>
      <c r="P42" s="41" t="inlineStr">
        <is>
          <t>Travel day, nothing done</t>
        </is>
      </c>
      <c r="Q42" s="42">
        <f>IF(COUNT(C42:M42)&gt;0,1,0)</f>
        <v/>
      </c>
      <c r="R42" s="42">
        <f>IF(Q42=0,0,R41+1)</f>
        <v/>
      </c>
      <c r="S42" s="42">
        <f>IF(O42="",0,IF(O42=4,S41+1,0))</f>
        <v/>
      </c>
      <c r="T42" s="43">
        <f>IF(Q42=1,A42,"")</f>
        <v/>
      </c>
    </row>
    <row r="43">
      <c r="A43" s="36">
        <f>A42+1</f>
        <v/>
      </c>
      <c r="B43" s="37">
        <f>IF(A43="","",TEXT(A43,"ddd"))</f>
        <v/>
      </c>
      <c r="C43" s="38" t="n">
        <v>5</v>
      </c>
      <c r="D43" s="38" t="n">
        <v>4</v>
      </c>
      <c r="E43" s="38" t="n">
        <v>23</v>
      </c>
      <c r="F43" s="38" t="n">
        <v>1</v>
      </c>
      <c r="G43" s="38" t="n">
        <v>2</v>
      </c>
      <c r="H43" s="38" t="n">
        <v>1</v>
      </c>
      <c r="I43" s="38" t="n">
        <v>0</v>
      </c>
      <c r="J43" s="38" t="n">
        <v>0</v>
      </c>
      <c r="K43" s="38" t="n">
        <v>0</v>
      </c>
      <c r="L43" s="39" t="n">
        <v>0</v>
      </c>
      <c r="M43" s="39" t="n">
        <v>0</v>
      </c>
      <c r="N43" s="38" t="n">
        <v>3920</v>
      </c>
      <c r="O43" s="40">
        <f>IF($Q43=0,"",IF(C43&gt;=C$2,1,0)+IF(D43&gt;=D$2,1,0)+IF(E43&gt;=E$2,1,0)+IF(F43&gt;=F$2,1,0))</f>
        <v/>
      </c>
      <c r="P43" s="41" t="n"/>
      <c r="Q43" s="42">
        <f>IF(COUNT(C43:M43)&gt;0,1,0)</f>
        <v/>
      </c>
      <c r="R43" s="42">
        <f>IF(Q43=0,0,R42+1)</f>
        <v/>
      </c>
      <c r="S43" s="42">
        <f>IF(O43="",0,IF(O43=4,S42+1,0))</f>
        <v/>
      </c>
      <c r="T43" s="43">
        <f>IF(Q43=1,A43,"")</f>
        <v/>
      </c>
    </row>
    <row r="44">
      <c r="A44" s="36">
        <f>A43+1</f>
        <v/>
      </c>
      <c r="B44" s="37">
        <f>IF(A44="","",TEXT(A44,"ddd"))</f>
        <v/>
      </c>
      <c r="C44" s="38" t="n">
        <v>5</v>
      </c>
      <c r="D44" s="38" t="n">
        <v>4</v>
      </c>
      <c r="E44" s="38" t="n">
        <v>21</v>
      </c>
      <c r="F44" s="38" t="n">
        <v>1</v>
      </c>
      <c r="G44" s="38" t="n">
        <v>2</v>
      </c>
      <c r="H44" s="38" t="n">
        <v>1</v>
      </c>
      <c r="I44" s="38" t="n">
        <v>0</v>
      </c>
      <c r="J44" s="38" t="n">
        <v>0</v>
      </c>
      <c r="K44" s="38" t="n">
        <v>0</v>
      </c>
      <c r="L44" s="39" t="n">
        <v>0</v>
      </c>
      <c r="M44" s="39" t="n">
        <v>0</v>
      </c>
      <c r="N44" s="38" t="n">
        <v>3924</v>
      </c>
      <c r="O44" s="40">
        <f>IF($Q44=0,"",IF(C44&gt;=C$2,1,0)+IF(D44&gt;=D$2,1,0)+IF(E44&gt;=E$2,1,0)+IF(F44&gt;=F$2,1,0))</f>
        <v/>
      </c>
      <c r="P44" s="41" t="n"/>
      <c r="Q44" s="42">
        <f>IF(COUNT(C44:M44)&gt;0,1,0)</f>
        <v/>
      </c>
      <c r="R44" s="42">
        <f>IF(Q44=0,0,R43+1)</f>
        <v/>
      </c>
      <c r="S44" s="42">
        <f>IF(O44="",0,IF(O44=4,S43+1,0))</f>
        <v/>
      </c>
      <c r="T44" s="43">
        <f>IF(Q44=1,A44,"")</f>
        <v/>
      </c>
    </row>
    <row r="45">
      <c r="A45" s="36">
        <f>A44+1</f>
        <v/>
      </c>
      <c r="B45" s="37">
        <f>IF(A45="","",TEXT(A45,"ddd"))</f>
        <v/>
      </c>
      <c r="C45" s="38" t="n">
        <v>4</v>
      </c>
      <c r="D45" s="38" t="n">
        <v>5</v>
      </c>
      <c r="E45" s="38" t="n">
        <v>20</v>
      </c>
      <c r="F45" s="38" t="n">
        <v>2</v>
      </c>
      <c r="G45" s="38" t="n">
        <v>2</v>
      </c>
      <c r="H45" s="38" t="n">
        <v>1</v>
      </c>
      <c r="I45" s="38" t="n">
        <v>0</v>
      </c>
      <c r="J45" s="38" t="n">
        <v>0</v>
      </c>
      <c r="K45" s="38" t="n">
        <v>0</v>
      </c>
      <c r="L45" s="39" t="n">
        <v>0</v>
      </c>
      <c r="M45" s="39" t="n">
        <v>0</v>
      </c>
      <c r="N45" s="38" t="n">
        <v>3936</v>
      </c>
      <c r="O45" s="40">
        <f>IF($Q45=0,"",IF(C45&gt;=C$2,1,0)+IF(D45&gt;=D$2,1,0)+IF(E45&gt;=E$2,1,0)+IF(F45&gt;=F$2,1,0))</f>
        <v/>
      </c>
      <c r="P45" s="41" t="n"/>
      <c r="Q45" s="42">
        <f>IF(COUNT(C45:M45)&gt;0,1,0)</f>
        <v/>
      </c>
      <c r="R45" s="42">
        <f>IF(Q45=0,0,R44+1)</f>
        <v/>
      </c>
      <c r="S45" s="42">
        <f>IF(O45="",0,IF(O45=4,S44+1,0))</f>
        <v/>
      </c>
      <c r="T45" s="43">
        <f>IF(Q45=1,A45,"")</f>
        <v/>
      </c>
    </row>
    <row r="46">
      <c r="A46" s="36">
        <f>A45+1</f>
        <v/>
      </c>
      <c r="B46" s="37">
        <f>IF(A46="","",TEXT(A46,"ddd"))</f>
        <v/>
      </c>
      <c r="C46" s="38" t="n">
        <v>6</v>
      </c>
      <c r="D46" s="38" t="n">
        <v>5</v>
      </c>
      <c r="E46" s="38" t="n">
        <v>21</v>
      </c>
      <c r="F46" s="38" t="n">
        <v>4</v>
      </c>
      <c r="G46" s="38" t="n">
        <v>3</v>
      </c>
      <c r="H46" s="38" t="n">
        <v>1</v>
      </c>
      <c r="I46" s="38" t="n">
        <v>0</v>
      </c>
      <c r="J46" s="38" t="n">
        <v>0</v>
      </c>
      <c r="K46" s="38" t="n">
        <v>0</v>
      </c>
      <c r="L46" s="39" t="n">
        <v>0</v>
      </c>
      <c r="M46" s="39" t="n">
        <v>0</v>
      </c>
      <c r="N46" s="38" t="n">
        <v>3947</v>
      </c>
      <c r="O46" s="40">
        <f>IF($Q46=0,"",IF(C46&gt;=C$2,1,0)+IF(D46&gt;=D$2,1,0)+IF(E46&gt;=E$2,1,0)+IF(F46&gt;=F$2,1,0))</f>
        <v/>
      </c>
      <c r="P46" s="41" t="n"/>
      <c r="Q46" s="42">
        <f>IF(COUNT(C46:M46)&gt;0,1,0)</f>
        <v/>
      </c>
      <c r="R46" s="42">
        <f>IF(Q46=0,0,R45+1)</f>
        <v/>
      </c>
      <c r="S46" s="42">
        <f>IF(O46="",0,IF(O46=4,S45+1,0))</f>
        <v/>
      </c>
      <c r="T46" s="43">
        <f>IF(Q46=1,A46,"")</f>
        <v/>
      </c>
    </row>
    <row r="47">
      <c r="A47" s="36">
        <f>A46+1</f>
        <v/>
      </c>
      <c r="B47" s="37">
        <f>IF(A47="","",TEXT(A47,"ddd"))</f>
        <v/>
      </c>
      <c r="C47" s="38" t="n">
        <v>6</v>
      </c>
      <c r="D47" s="38" t="n">
        <v>5</v>
      </c>
      <c r="E47" s="38" t="n">
        <v>20</v>
      </c>
      <c r="F47" s="38" t="n">
        <v>2</v>
      </c>
      <c r="G47" s="38" t="n">
        <v>2</v>
      </c>
      <c r="H47" s="38" t="n">
        <v>1</v>
      </c>
      <c r="I47" s="38" t="n">
        <v>0</v>
      </c>
      <c r="J47" s="38" t="n">
        <v>0</v>
      </c>
      <c r="K47" s="38" t="n">
        <v>0</v>
      </c>
      <c r="L47" s="39" t="n">
        <v>0</v>
      </c>
      <c r="M47" s="39" t="n">
        <v>0</v>
      </c>
      <c r="N47" s="38" t="n">
        <v>3955</v>
      </c>
      <c r="O47" s="40">
        <f>IF($Q47=0,"",IF(C47&gt;=C$2,1,0)+IF(D47&gt;=D$2,1,0)+IF(E47&gt;=E$2,1,0)+IF(F47&gt;=F$2,1,0))</f>
        <v/>
      </c>
      <c r="P47" s="41" t="n"/>
      <c r="Q47" s="42">
        <f>IF(COUNT(C47:M47)&gt;0,1,0)</f>
        <v/>
      </c>
      <c r="R47" s="42">
        <f>IF(Q47=0,0,R46+1)</f>
        <v/>
      </c>
      <c r="S47" s="42">
        <f>IF(O47="",0,IF(O47=4,S46+1,0))</f>
        <v/>
      </c>
      <c r="T47" s="43">
        <f>IF(Q47=1,A47,"")</f>
        <v/>
      </c>
    </row>
    <row r="48">
      <c r="A48" s="36">
        <f>A47+1</f>
        <v/>
      </c>
      <c r="B48" s="37">
        <f>IF(A48="","",TEXT(A48,"ddd"))</f>
        <v/>
      </c>
      <c r="C48" s="38" t="n">
        <v>2</v>
      </c>
      <c r="D48" s="38" t="n">
        <v>1</v>
      </c>
      <c r="E48" s="38" t="n">
        <v>8</v>
      </c>
      <c r="F48" s="38" t="n">
        <v>1</v>
      </c>
      <c r="G48" s="38" t="n">
        <v>1</v>
      </c>
      <c r="H48" s="38" t="n">
        <v>0</v>
      </c>
      <c r="I48" s="38" t="n">
        <v>0</v>
      </c>
      <c r="J48" s="38" t="n">
        <v>0</v>
      </c>
      <c r="K48" s="38" t="n">
        <v>0</v>
      </c>
      <c r="L48" s="39" t="n">
        <v>0</v>
      </c>
      <c r="M48" s="39" t="n">
        <v>0</v>
      </c>
      <c r="N48" s="38" t="n">
        <v>3963</v>
      </c>
      <c r="O48" s="40">
        <f>IF($Q48=0,"",IF(C48&gt;=C$2,1,0)+IF(D48&gt;=D$2,1,0)+IF(E48&gt;=E$2,1,0)+IF(F48&gt;=F$2,1,0))</f>
        <v/>
      </c>
      <c r="P48" s="41" t="n"/>
      <c r="Q48" s="42">
        <f>IF(COUNT(C48:M48)&gt;0,1,0)</f>
        <v/>
      </c>
      <c r="R48" s="42">
        <f>IF(Q48=0,0,R47+1)</f>
        <v/>
      </c>
      <c r="S48" s="42">
        <f>IF(O48="",0,IF(O48=4,S47+1,0))</f>
        <v/>
      </c>
      <c r="T48" s="43">
        <f>IF(Q48=1,A48,"")</f>
        <v/>
      </c>
    </row>
    <row r="49">
      <c r="A49" s="36">
        <f>A48+1</f>
        <v/>
      </c>
      <c r="B49" s="37">
        <f>IF(A49="","",TEXT(A49,"ddd"))</f>
        <v/>
      </c>
      <c r="C49" s="38" t="n">
        <v>2</v>
      </c>
      <c r="D49" s="38" t="n">
        <v>1</v>
      </c>
      <c r="E49" s="38" t="n">
        <v>7</v>
      </c>
      <c r="F49" s="38" t="n">
        <v>1</v>
      </c>
      <c r="G49" s="38" t="n">
        <v>1</v>
      </c>
      <c r="H49" s="38" t="n">
        <v>0</v>
      </c>
      <c r="I49" s="38" t="n">
        <v>0</v>
      </c>
      <c r="J49" s="38" t="n">
        <v>0</v>
      </c>
      <c r="K49" s="38" t="n">
        <v>0</v>
      </c>
      <c r="L49" s="39" t="n">
        <v>0</v>
      </c>
      <c r="M49" s="39" t="n">
        <v>0</v>
      </c>
      <c r="N49" s="38" t="n">
        <v>3967</v>
      </c>
      <c r="O49" s="40">
        <f>IF($Q49=0,"",IF(C49&gt;=C$2,1,0)+IF(D49&gt;=D$2,1,0)+IF(E49&gt;=E$2,1,0)+IF(F49&gt;=F$2,1,0))</f>
        <v/>
      </c>
      <c r="P49" s="41" t="n"/>
      <c r="Q49" s="42">
        <f>IF(COUNT(C49:M49)&gt;0,1,0)</f>
        <v/>
      </c>
      <c r="R49" s="42">
        <f>IF(Q49=0,0,R48+1)</f>
        <v/>
      </c>
      <c r="S49" s="42">
        <f>IF(O49="",0,IF(O49=4,S48+1,0))</f>
        <v/>
      </c>
      <c r="T49" s="43">
        <f>IF(Q49=1,A49,"")</f>
        <v/>
      </c>
    </row>
    <row r="50">
      <c r="A50" s="36">
        <f>A49+1</f>
        <v/>
      </c>
      <c r="B50" s="37">
        <f>IF(A50="","",TEXT(A50,"ddd"))</f>
        <v/>
      </c>
      <c r="C50" s="38" t="n">
        <v>6</v>
      </c>
      <c r="D50" s="38" t="n">
        <v>3</v>
      </c>
      <c r="E50" s="38" t="n">
        <v>22</v>
      </c>
      <c r="F50" s="38" t="n">
        <v>4</v>
      </c>
      <c r="G50" s="38" t="n">
        <v>3</v>
      </c>
      <c r="H50" s="38" t="n">
        <v>2</v>
      </c>
      <c r="I50" s="38" t="n">
        <v>0</v>
      </c>
      <c r="J50" s="38" t="n">
        <v>0</v>
      </c>
      <c r="K50" s="38" t="n">
        <v>0</v>
      </c>
      <c r="L50" s="39" t="n">
        <v>0</v>
      </c>
      <c r="M50" s="39" t="n">
        <v>0</v>
      </c>
      <c r="N50" s="38" t="n">
        <v>3972</v>
      </c>
      <c r="O50" s="40">
        <f>IF($Q50=0,"",IF(C50&gt;=C$2,1,0)+IF(D50&gt;=D$2,1,0)+IF(E50&gt;=E$2,1,0)+IF(F50&gt;=F$2,1,0))</f>
        <v/>
      </c>
      <c r="P50" s="41" t="n"/>
      <c r="Q50" s="42">
        <f>IF(COUNT(C50:M50)&gt;0,1,0)</f>
        <v/>
      </c>
      <c r="R50" s="42">
        <f>IF(Q50=0,0,R49+1)</f>
        <v/>
      </c>
      <c r="S50" s="42">
        <f>IF(O50="",0,IF(O50=4,S49+1,0))</f>
        <v/>
      </c>
      <c r="T50" s="43">
        <f>IF(Q50=1,A50,"")</f>
        <v/>
      </c>
    </row>
    <row r="51">
      <c r="A51" s="36">
        <f>A50+1</f>
        <v/>
      </c>
      <c r="B51" s="37">
        <f>IF(A51="","",TEXT(A51,"ddd"))</f>
        <v/>
      </c>
      <c r="C51" s="38" t="n">
        <v>6</v>
      </c>
      <c r="D51" s="38" t="n">
        <v>3</v>
      </c>
      <c r="E51" s="38" t="n">
        <v>18</v>
      </c>
      <c r="F51" s="38" t="n">
        <v>4</v>
      </c>
      <c r="G51" s="38" t="n">
        <v>2</v>
      </c>
      <c r="H51" s="38" t="n">
        <v>1</v>
      </c>
      <c r="I51" s="38" t="n">
        <v>0</v>
      </c>
      <c r="J51" s="38" t="n">
        <v>0</v>
      </c>
      <c r="K51" s="38" t="n">
        <v>0</v>
      </c>
      <c r="L51" s="39" t="n">
        <v>0</v>
      </c>
      <c r="M51" s="39" t="n">
        <v>0</v>
      </c>
      <c r="N51" s="38" t="n">
        <v>3980</v>
      </c>
      <c r="O51" s="40">
        <f>IF($Q51=0,"",IF(C51&gt;=C$2,1,0)+IF(D51&gt;=D$2,1,0)+IF(E51&gt;=E$2,1,0)+IF(F51&gt;=F$2,1,0))</f>
        <v/>
      </c>
      <c r="P51" s="41" t="n"/>
      <c r="Q51" s="42">
        <f>IF(COUNT(C51:M51)&gt;0,1,0)</f>
        <v/>
      </c>
      <c r="R51" s="42">
        <f>IF(Q51=0,0,R50+1)</f>
        <v/>
      </c>
      <c r="S51" s="42">
        <f>IF(O51="",0,IF(O51=4,S50+1,0))</f>
        <v/>
      </c>
      <c r="T51" s="43">
        <f>IF(Q51=1,A51,"")</f>
        <v/>
      </c>
    </row>
    <row r="52">
      <c r="A52" s="36">
        <f>A51+1</f>
        <v/>
      </c>
      <c r="B52" s="37">
        <f>IF(A52="","",TEXT(A52,"ddd"))</f>
        <v/>
      </c>
      <c r="C52" s="38" t="n">
        <v>4</v>
      </c>
      <c r="D52" s="38" t="n">
        <v>4</v>
      </c>
      <c r="E52" s="38" t="n">
        <v>21</v>
      </c>
      <c r="F52" s="38" t="n">
        <v>2</v>
      </c>
      <c r="G52" s="38" t="n">
        <v>2</v>
      </c>
      <c r="H52" s="38" t="n">
        <v>1</v>
      </c>
      <c r="I52" s="38" t="n">
        <v>0</v>
      </c>
      <c r="J52" s="38" t="n">
        <v>0</v>
      </c>
      <c r="K52" s="38" t="n">
        <v>0</v>
      </c>
      <c r="L52" s="39" t="n">
        <v>0</v>
      </c>
      <c r="M52" s="39" t="n">
        <v>0</v>
      </c>
      <c r="N52" s="38" t="n">
        <v>3991</v>
      </c>
      <c r="O52" s="40">
        <f>IF($Q52=0,"",IF(C52&gt;=C$2,1,0)+IF(D52&gt;=D$2,1,0)+IF(E52&gt;=E$2,1,0)+IF(F52&gt;=F$2,1,0))</f>
        <v/>
      </c>
      <c r="P52" s="41" t="n"/>
      <c r="Q52" s="42">
        <f>IF(COUNT(C52:M52)&gt;0,1,0)</f>
        <v/>
      </c>
      <c r="R52" s="42">
        <f>IF(Q52=0,0,R51+1)</f>
        <v/>
      </c>
      <c r="S52" s="42">
        <f>IF(O52="",0,IF(O52=4,S51+1,0))</f>
        <v/>
      </c>
      <c r="T52" s="43">
        <f>IF(Q52=1,A52,"")</f>
        <v/>
      </c>
    </row>
    <row r="53">
      <c r="A53" s="36">
        <f>A52+1</f>
        <v/>
      </c>
      <c r="B53" s="37">
        <f>IF(A53="","",TEXT(A53,"ddd"))</f>
        <v/>
      </c>
      <c r="C53" s="38" t="n">
        <v>6</v>
      </c>
      <c r="D53" s="38" t="n">
        <v>4</v>
      </c>
      <c r="E53" s="38" t="n">
        <v>18</v>
      </c>
      <c r="F53" s="38" t="n">
        <v>2</v>
      </c>
      <c r="G53" s="38" t="n">
        <v>2</v>
      </c>
      <c r="H53" s="38" t="n">
        <v>1</v>
      </c>
      <c r="I53" s="38" t="n">
        <v>0</v>
      </c>
      <c r="J53" s="38" t="n">
        <v>0</v>
      </c>
      <c r="K53" s="38" t="n">
        <v>0</v>
      </c>
      <c r="L53" s="39" t="n">
        <v>0</v>
      </c>
      <c r="M53" s="39" t="n">
        <v>0</v>
      </c>
      <c r="N53" s="38" t="n">
        <v>3995</v>
      </c>
      <c r="O53" s="40">
        <f>IF($Q53=0,"",IF(C53&gt;=C$2,1,0)+IF(D53&gt;=D$2,1,0)+IF(E53&gt;=E$2,1,0)+IF(F53&gt;=F$2,1,0))</f>
        <v/>
      </c>
      <c r="P53" s="41" t="n"/>
      <c r="Q53" s="42">
        <f>IF(COUNT(C53:M53)&gt;0,1,0)</f>
        <v/>
      </c>
      <c r="R53" s="42">
        <f>IF(Q53=0,0,R52+1)</f>
        <v/>
      </c>
      <c r="S53" s="42">
        <f>IF(O53="",0,IF(O53=4,S52+1,0))</f>
        <v/>
      </c>
      <c r="T53" s="43">
        <f>IF(Q53=1,A53,"")</f>
        <v/>
      </c>
    </row>
    <row r="54">
      <c r="A54" s="36">
        <f>A53+1</f>
        <v/>
      </c>
      <c r="B54" s="37">
        <f>IF(A54="","",TEXT(A54,"ddd"))</f>
        <v/>
      </c>
      <c r="C54" s="38" t="n">
        <v>4</v>
      </c>
      <c r="D54" s="38" t="n">
        <v>3</v>
      </c>
      <c r="E54" s="38" t="n">
        <v>19</v>
      </c>
      <c r="F54" s="38" t="n">
        <v>2</v>
      </c>
      <c r="G54" s="38" t="n">
        <v>2</v>
      </c>
      <c r="H54" s="38" t="n">
        <v>1</v>
      </c>
      <c r="I54" s="38" t="n">
        <v>0</v>
      </c>
      <c r="J54" s="38" t="n">
        <v>0</v>
      </c>
      <c r="K54" s="38" t="n">
        <v>0</v>
      </c>
      <c r="L54" s="39" t="n">
        <v>0</v>
      </c>
      <c r="M54" s="39" t="n">
        <v>0</v>
      </c>
      <c r="N54" s="38" t="n">
        <v>4002</v>
      </c>
      <c r="O54" s="40">
        <f>IF($Q54=0,"",IF(C54&gt;=C$2,1,0)+IF(D54&gt;=D$2,1,0)+IF(E54&gt;=E$2,1,0)+IF(F54&gt;=F$2,1,0))</f>
        <v/>
      </c>
      <c r="P54" s="41" t="n"/>
      <c r="Q54" s="42">
        <f>IF(COUNT(C54:M54)&gt;0,1,0)</f>
        <v/>
      </c>
      <c r="R54" s="42">
        <f>IF(Q54=0,0,R53+1)</f>
        <v/>
      </c>
      <c r="S54" s="42">
        <f>IF(O54="",0,IF(O54=4,S53+1,0))</f>
        <v/>
      </c>
      <c r="T54" s="43">
        <f>IF(Q54=1,A54,"")</f>
        <v/>
      </c>
    </row>
    <row r="55">
      <c r="A55" s="36">
        <f>A54+1</f>
        <v/>
      </c>
      <c r="B55" s="37">
        <f>IF(A55="","",TEXT(A55,"ddd"))</f>
        <v/>
      </c>
      <c r="C55" s="38" t="n">
        <v>2</v>
      </c>
      <c r="D55" s="38" t="n">
        <v>1</v>
      </c>
      <c r="E55" s="38" t="n">
        <v>6</v>
      </c>
      <c r="F55" s="38" t="n">
        <v>1</v>
      </c>
      <c r="G55" s="38" t="n">
        <v>1</v>
      </c>
      <c r="H55" s="38" t="n">
        <v>0</v>
      </c>
      <c r="I55" s="38" t="n">
        <v>0</v>
      </c>
      <c r="J55" s="38" t="n">
        <v>0</v>
      </c>
      <c r="K55" s="38" t="n">
        <v>0</v>
      </c>
      <c r="L55" s="39" t="n">
        <v>0</v>
      </c>
      <c r="M55" s="39" t="n">
        <v>0</v>
      </c>
      <c r="N55" s="38" t="n">
        <v>4010</v>
      </c>
      <c r="O55" s="40">
        <f>IF($Q55=0,"",IF(C55&gt;=C$2,1,0)+IF(D55&gt;=D$2,1,0)+IF(E55&gt;=E$2,1,0)+IF(F55&gt;=F$2,1,0))</f>
        <v/>
      </c>
      <c r="P55" s="41" t="n"/>
      <c r="Q55" s="42">
        <f>IF(COUNT(C55:M55)&gt;0,1,0)</f>
        <v/>
      </c>
      <c r="R55" s="42">
        <f>IF(Q55=0,0,R54+1)</f>
        <v/>
      </c>
      <c r="S55" s="42">
        <f>IF(O55="",0,IF(O55=4,S54+1,0))</f>
        <v/>
      </c>
      <c r="T55" s="43">
        <f>IF(Q55=1,A55,"")</f>
        <v/>
      </c>
    </row>
    <row r="56">
      <c r="A56" s="36">
        <f>A55+1</f>
        <v/>
      </c>
      <c r="B56" s="37">
        <f>IF(A56="","",TEXT(A56,"ddd"))</f>
        <v/>
      </c>
      <c r="C56" s="38" t="n">
        <v>2</v>
      </c>
      <c r="D56" s="38" t="n">
        <v>1</v>
      </c>
      <c r="E56" s="38" t="n">
        <v>8</v>
      </c>
      <c r="F56" s="38" t="n">
        <v>1</v>
      </c>
      <c r="G56" s="38" t="n">
        <v>1</v>
      </c>
      <c r="H56" s="38" t="n">
        <v>0</v>
      </c>
      <c r="I56" s="38" t="n">
        <v>0</v>
      </c>
      <c r="J56" s="38" t="n">
        <v>0</v>
      </c>
      <c r="K56" s="38" t="n">
        <v>0</v>
      </c>
      <c r="L56" s="39" t="n">
        <v>0</v>
      </c>
      <c r="M56" s="39" t="n">
        <v>0</v>
      </c>
      <c r="N56" s="38" t="n">
        <v>4023</v>
      </c>
      <c r="O56" s="40">
        <f>IF($Q56=0,"",IF(C56&gt;=C$2,1,0)+IF(D56&gt;=D$2,1,0)+IF(E56&gt;=E$2,1,0)+IF(F56&gt;=F$2,1,0))</f>
        <v/>
      </c>
      <c r="P56" s="41" t="n"/>
      <c r="Q56" s="42">
        <f>IF(COUNT(C56:M56)&gt;0,1,0)</f>
        <v/>
      </c>
      <c r="R56" s="42">
        <f>IF(Q56=0,0,R55+1)</f>
        <v/>
      </c>
      <c r="S56" s="42">
        <f>IF(O56="",0,IF(O56=4,S55+1,0))</f>
        <v/>
      </c>
      <c r="T56" s="43">
        <f>IF(Q56=1,A56,"")</f>
        <v/>
      </c>
    </row>
    <row r="57">
      <c r="A57" s="36">
        <f>A56+1</f>
        <v/>
      </c>
      <c r="B57" s="37">
        <f>IF(A57="","",TEXT(A57,"ddd"))</f>
        <v/>
      </c>
      <c r="C57" s="38" t="n">
        <v>4</v>
      </c>
      <c r="D57" s="38" t="n">
        <v>5</v>
      </c>
      <c r="E57" s="38" t="n">
        <v>19</v>
      </c>
      <c r="F57" s="38" t="n">
        <v>2</v>
      </c>
      <c r="G57" s="38" t="n">
        <v>2</v>
      </c>
      <c r="H57" s="38" t="n">
        <v>1</v>
      </c>
      <c r="I57" s="38" t="n">
        <v>0</v>
      </c>
      <c r="J57" s="38" t="n">
        <v>0</v>
      </c>
      <c r="K57" s="38" t="n">
        <v>0</v>
      </c>
      <c r="L57" s="39" t="n">
        <v>0</v>
      </c>
      <c r="M57" s="39" t="n">
        <v>0</v>
      </c>
      <c r="N57" s="38" t="n">
        <v>4029</v>
      </c>
      <c r="O57" s="40">
        <f>IF($Q57=0,"",IF(C57&gt;=C$2,1,0)+IF(D57&gt;=D$2,1,0)+IF(E57&gt;=E$2,1,0)+IF(F57&gt;=F$2,1,0))</f>
        <v/>
      </c>
      <c r="P57" s="41" t="n"/>
      <c r="Q57" s="42">
        <f>IF(COUNT(C57:M57)&gt;0,1,0)</f>
        <v/>
      </c>
      <c r="R57" s="42">
        <f>IF(Q57=0,0,R56+1)</f>
        <v/>
      </c>
      <c r="S57" s="42">
        <f>IF(O57="",0,IF(O57=4,S56+1,0))</f>
        <v/>
      </c>
      <c r="T57" s="43">
        <f>IF(Q57=1,A57,"")</f>
        <v/>
      </c>
    </row>
    <row r="58">
      <c r="A58" s="36">
        <f>A57+1</f>
        <v/>
      </c>
      <c r="B58" s="37">
        <f>IF(A58="","",TEXT(A58,"ddd"))</f>
        <v/>
      </c>
      <c r="C58" s="38" t="n">
        <v>4</v>
      </c>
      <c r="D58" s="38" t="n">
        <v>5</v>
      </c>
      <c r="E58" s="38" t="n">
        <v>23</v>
      </c>
      <c r="F58" s="38" t="n">
        <v>3</v>
      </c>
      <c r="G58" s="38" t="n">
        <v>4</v>
      </c>
      <c r="H58" s="38" t="n">
        <v>2</v>
      </c>
      <c r="I58" s="38" t="n">
        <v>0</v>
      </c>
      <c r="J58" s="38" t="n">
        <v>0</v>
      </c>
      <c r="K58" s="38" t="n">
        <v>0</v>
      </c>
      <c r="L58" s="39" t="n">
        <v>0</v>
      </c>
      <c r="M58" s="39" t="n">
        <v>0</v>
      </c>
      <c r="N58" s="38" t="n">
        <v>4036</v>
      </c>
      <c r="O58" s="40">
        <f>IF($Q58=0,"",IF(C58&gt;=C$2,1,0)+IF(D58&gt;=D$2,1,0)+IF(E58&gt;=E$2,1,0)+IF(F58&gt;=F$2,1,0))</f>
        <v/>
      </c>
      <c r="P58" s="41" t="n"/>
      <c r="Q58" s="42">
        <f>IF(COUNT(C58:M58)&gt;0,1,0)</f>
        <v/>
      </c>
      <c r="R58" s="42">
        <f>IF(Q58=0,0,R57+1)</f>
        <v/>
      </c>
      <c r="S58" s="42">
        <f>IF(O58="",0,IF(O58=4,S57+1,0))</f>
        <v/>
      </c>
      <c r="T58" s="43">
        <f>IF(Q58=1,A58,"")</f>
        <v/>
      </c>
    </row>
    <row r="59">
      <c r="A59" s="36">
        <f>A58+1</f>
        <v/>
      </c>
      <c r="B59" s="37">
        <f>IF(A59="","",TEXT(A59,"ddd"))</f>
        <v/>
      </c>
      <c r="C59" s="38" t="n">
        <v>4</v>
      </c>
      <c r="D59" s="38" t="n">
        <v>3</v>
      </c>
      <c r="E59" s="38" t="n">
        <v>18</v>
      </c>
      <c r="F59" s="38" t="n">
        <v>2</v>
      </c>
      <c r="G59" s="38" t="n">
        <v>3</v>
      </c>
      <c r="H59" s="38" t="n">
        <v>1</v>
      </c>
      <c r="I59" s="38" t="n">
        <v>0</v>
      </c>
      <c r="J59" s="38" t="n">
        <v>0</v>
      </c>
      <c r="K59" s="38" t="n">
        <v>0</v>
      </c>
      <c r="L59" s="39" t="n">
        <v>0</v>
      </c>
      <c r="M59" s="39" t="n">
        <v>0</v>
      </c>
      <c r="N59" s="38" t="n">
        <v>4046</v>
      </c>
      <c r="O59" s="40">
        <f>IF($Q59=0,"",IF(C59&gt;=C$2,1,0)+IF(D59&gt;=D$2,1,0)+IF(E59&gt;=E$2,1,0)+IF(F59&gt;=F$2,1,0))</f>
        <v/>
      </c>
      <c r="P59" s="41" t="n"/>
      <c r="Q59" s="42">
        <f>IF(COUNT(C59:M59)&gt;0,1,0)</f>
        <v/>
      </c>
      <c r="R59" s="42">
        <f>IF(Q59=0,0,R58+1)</f>
        <v/>
      </c>
      <c r="S59" s="42">
        <f>IF(O59="",0,IF(O59=4,S58+1,0))</f>
        <v/>
      </c>
      <c r="T59" s="43">
        <f>IF(Q59=1,A59,"")</f>
        <v/>
      </c>
    </row>
    <row r="60">
      <c r="A60" s="36">
        <f>A59+1</f>
        <v/>
      </c>
      <c r="B60" s="37">
        <f>IF(A60="","",TEXT(A60,"ddd"))</f>
        <v/>
      </c>
      <c r="C60" s="38" t="n">
        <v>4</v>
      </c>
      <c r="D60" s="38" t="n">
        <v>4</v>
      </c>
      <c r="E60" s="38" t="n">
        <v>24</v>
      </c>
      <c r="F60" s="38" t="n">
        <v>4</v>
      </c>
      <c r="G60" s="38" t="n">
        <v>3</v>
      </c>
      <c r="H60" s="38" t="n">
        <v>2</v>
      </c>
      <c r="I60" s="38" t="n">
        <v>0</v>
      </c>
      <c r="J60" s="38" t="n">
        <v>0</v>
      </c>
      <c r="K60" s="38" t="n">
        <v>0</v>
      </c>
      <c r="L60" s="39" t="n">
        <v>0</v>
      </c>
      <c r="M60" s="39" t="n">
        <v>0</v>
      </c>
      <c r="N60" s="38" t="n">
        <v>4060</v>
      </c>
      <c r="O60" s="40">
        <f>IF($Q60=0,"",IF(C60&gt;=C$2,1,0)+IF(D60&gt;=D$2,1,0)+IF(E60&gt;=E$2,1,0)+IF(F60&gt;=F$2,1,0))</f>
        <v/>
      </c>
      <c r="P60" s="41" t="n"/>
      <c r="Q60" s="42">
        <f>IF(COUNT(C60:M60)&gt;0,1,0)</f>
        <v/>
      </c>
      <c r="R60" s="42">
        <f>IF(Q60=0,0,R59+1)</f>
        <v/>
      </c>
      <c r="S60" s="42">
        <f>IF(O60="",0,IF(O60=4,S59+1,0))</f>
        <v/>
      </c>
      <c r="T60" s="43">
        <f>IF(Q60=1,A60,"")</f>
        <v/>
      </c>
    </row>
    <row r="61">
      <c r="A61" s="36">
        <f>A60+1</f>
        <v/>
      </c>
      <c r="B61" s="37">
        <f>IF(A61="","",TEXT(A61,"ddd"))</f>
        <v/>
      </c>
      <c r="C61" s="38" t="n">
        <v>6</v>
      </c>
      <c r="D61" s="38" t="n">
        <v>3</v>
      </c>
      <c r="E61" s="38" t="n">
        <v>18</v>
      </c>
      <c r="F61" s="38" t="n">
        <v>2</v>
      </c>
      <c r="G61" s="38" t="n">
        <v>2</v>
      </c>
      <c r="H61" s="38" t="n">
        <v>1</v>
      </c>
      <c r="I61" s="38" t="n">
        <v>0</v>
      </c>
      <c r="J61" s="38" t="n">
        <v>0</v>
      </c>
      <c r="K61" s="38" t="n">
        <v>0</v>
      </c>
      <c r="L61" s="39" t="n">
        <v>0</v>
      </c>
      <c r="M61" s="39" t="n">
        <v>0</v>
      </c>
      <c r="N61" s="38" t="n">
        <v>4069</v>
      </c>
      <c r="O61" s="40">
        <f>IF($Q61=0,"",IF(C61&gt;=C$2,1,0)+IF(D61&gt;=D$2,1,0)+IF(E61&gt;=E$2,1,0)+IF(F61&gt;=F$2,1,0))</f>
        <v/>
      </c>
      <c r="P61" s="41" t="n"/>
      <c r="Q61" s="42">
        <f>IF(COUNT(C61:M61)&gt;0,1,0)</f>
        <v/>
      </c>
      <c r="R61" s="42">
        <f>IF(Q61=0,0,R60+1)</f>
        <v/>
      </c>
      <c r="S61" s="42">
        <f>IF(O61="",0,IF(O61=4,S60+1,0))</f>
        <v/>
      </c>
      <c r="T61" s="43">
        <f>IF(Q61=1,A61,"")</f>
        <v/>
      </c>
    </row>
    <row r="62">
      <c r="A62" s="36">
        <f>A61+1</f>
        <v/>
      </c>
      <c r="B62" s="37">
        <f>IF(A62="","",TEXT(A62,"ddd"))</f>
        <v/>
      </c>
      <c r="C62" s="38" t="n">
        <v>1</v>
      </c>
      <c r="D62" s="38" t="n">
        <v>2</v>
      </c>
      <c r="E62" s="38" t="n">
        <v>8</v>
      </c>
      <c r="F62" s="38" t="n">
        <v>1</v>
      </c>
      <c r="G62" s="38" t="n">
        <v>1</v>
      </c>
      <c r="H62" s="38" t="n">
        <v>0</v>
      </c>
      <c r="I62" s="38" t="n">
        <v>0</v>
      </c>
      <c r="J62" s="38" t="n">
        <v>0</v>
      </c>
      <c r="K62" s="38" t="n">
        <v>0</v>
      </c>
      <c r="L62" s="39" t="n">
        <v>0</v>
      </c>
      <c r="M62" s="39" t="n">
        <v>0</v>
      </c>
      <c r="N62" s="38" t="n">
        <v>4074</v>
      </c>
      <c r="O62" s="40">
        <f>IF($Q62=0,"",IF(C62&gt;=C$2,1,0)+IF(D62&gt;=D$2,1,0)+IF(E62&gt;=E$2,1,0)+IF(F62&gt;=F$2,1,0))</f>
        <v/>
      </c>
      <c r="P62" s="41" t="n"/>
      <c r="Q62" s="42">
        <f>IF(COUNT(C62:M62)&gt;0,1,0)</f>
        <v/>
      </c>
      <c r="R62" s="42">
        <f>IF(Q62=0,0,R61+1)</f>
        <v/>
      </c>
      <c r="S62" s="42">
        <f>IF(O62="",0,IF(O62=4,S61+1,0))</f>
        <v/>
      </c>
      <c r="T62" s="43">
        <f>IF(Q62=1,A62,"")</f>
        <v/>
      </c>
    </row>
    <row r="63">
      <c r="A63" s="36">
        <f>A62+1</f>
        <v/>
      </c>
      <c r="B63" s="37">
        <f>IF(A63="","",TEXT(A63,"ddd"))</f>
        <v/>
      </c>
      <c r="C63" s="38" t="n">
        <v>2</v>
      </c>
      <c r="D63" s="38" t="n">
        <v>1</v>
      </c>
      <c r="E63" s="38" t="n">
        <v>6</v>
      </c>
      <c r="F63" s="38" t="n">
        <v>0</v>
      </c>
      <c r="G63" s="38" t="n">
        <v>1</v>
      </c>
      <c r="H63" s="38" t="n">
        <v>0</v>
      </c>
      <c r="I63" s="38" t="n">
        <v>0</v>
      </c>
      <c r="J63" s="38" t="n">
        <v>0</v>
      </c>
      <c r="K63" s="38" t="n">
        <v>0</v>
      </c>
      <c r="L63" s="39" t="n">
        <v>0</v>
      </c>
      <c r="M63" s="39" t="n">
        <v>0</v>
      </c>
      <c r="N63" s="38" t="n">
        <v>4085</v>
      </c>
      <c r="O63" s="40">
        <f>IF($Q63=0,"",IF(C63&gt;=C$2,1,0)+IF(D63&gt;=D$2,1,0)+IF(E63&gt;=E$2,1,0)+IF(F63&gt;=F$2,1,0))</f>
        <v/>
      </c>
      <c r="P63" s="41" t="n"/>
      <c r="Q63" s="42">
        <f>IF(COUNT(C63:M63)&gt;0,1,0)</f>
        <v/>
      </c>
      <c r="R63" s="42">
        <f>IF(Q63=0,0,R62+1)</f>
        <v/>
      </c>
      <c r="S63" s="42">
        <f>IF(O63="",0,IF(O63=4,S62+1,0))</f>
        <v/>
      </c>
      <c r="T63" s="43">
        <f>IF(Q63=1,A63,"")</f>
        <v/>
      </c>
    </row>
    <row r="64">
      <c r="A64" s="36">
        <f>A63+1</f>
        <v/>
      </c>
      <c r="B64" s="37">
        <f>IF(A64="","",TEXT(A64,"ddd"))</f>
        <v/>
      </c>
      <c r="C64" s="38" t="n">
        <v>4</v>
      </c>
      <c r="D64" s="38" t="n">
        <v>3</v>
      </c>
      <c r="E64" s="38" t="n">
        <v>19</v>
      </c>
      <c r="F64" s="38" t="n">
        <v>1</v>
      </c>
      <c r="G64" s="38" t="n">
        <v>2</v>
      </c>
      <c r="H64" s="38" t="n">
        <v>1</v>
      </c>
      <c r="I64" s="38" t="n">
        <v>0</v>
      </c>
      <c r="J64" s="38" t="n">
        <v>0</v>
      </c>
      <c r="K64" s="38" t="n">
        <v>0</v>
      </c>
      <c r="L64" s="39" t="n">
        <v>0</v>
      </c>
      <c r="M64" s="39" t="n">
        <v>0</v>
      </c>
      <c r="N64" s="38" t="n">
        <v>4099</v>
      </c>
      <c r="O64" s="40">
        <f>IF($Q64=0,"",IF(C64&gt;=C$2,1,0)+IF(D64&gt;=D$2,1,0)+IF(E64&gt;=E$2,1,0)+IF(F64&gt;=F$2,1,0))</f>
        <v/>
      </c>
      <c r="P64" s="41" t="n"/>
      <c r="Q64" s="42">
        <f>IF(COUNT(C64:M64)&gt;0,1,0)</f>
        <v/>
      </c>
      <c r="R64" s="42">
        <f>IF(Q64=0,0,R63+1)</f>
        <v/>
      </c>
      <c r="S64" s="42">
        <f>IF(O64="",0,IF(O64=4,S63+1,0))</f>
        <v/>
      </c>
      <c r="T64" s="43">
        <f>IF(Q64=1,A64,"")</f>
        <v/>
      </c>
    </row>
    <row r="65">
      <c r="A65" s="36">
        <f>A64+1</f>
        <v/>
      </c>
      <c r="B65" s="37">
        <f>IF(A65="","",TEXT(A65,"ddd"))</f>
        <v/>
      </c>
      <c r="C65" s="38" t="n">
        <v>4</v>
      </c>
      <c r="D65" s="38" t="n">
        <v>5</v>
      </c>
      <c r="E65" s="38" t="n">
        <v>18</v>
      </c>
      <c r="F65" s="38" t="n">
        <v>2</v>
      </c>
      <c r="G65" s="38" t="n">
        <v>3</v>
      </c>
      <c r="H65" s="38" t="n">
        <v>1</v>
      </c>
      <c r="I65" s="38" t="n">
        <v>0</v>
      </c>
      <c r="J65" s="38" t="n">
        <v>0</v>
      </c>
      <c r="K65" s="38" t="n">
        <v>0</v>
      </c>
      <c r="L65" s="39" t="n">
        <v>0</v>
      </c>
      <c r="M65" s="39" t="n">
        <v>0</v>
      </c>
      <c r="N65" s="38" t="n">
        <v>4108</v>
      </c>
      <c r="O65" s="40">
        <f>IF($Q65=0,"",IF(C65&gt;=C$2,1,0)+IF(D65&gt;=D$2,1,0)+IF(E65&gt;=E$2,1,0)+IF(F65&gt;=F$2,1,0))</f>
        <v/>
      </c>
      <c r="P65" s="41" t="n"/>
      <c r="Q65" s="42">
        <f>IF(COUNT(C65:M65)&gt;0,1,0)</f>
        <v/>
      </c>
      <c r="R65" s="42">
        <f>IF(Q65=0,0,R64+1)</f>
        <v/>
      </c>
      <c r="S65" s="42">
        <f>IF(O65="",0,IF(O65=4,S64+1,0))</f>
        <v/>
      </c>
      <c r="T65" s="43">
        <f>IF(Q65=1,A65,"")</f>
        <v/>
      </c>
    </row>
    <row r="66">
      <c r="A66" s="36">
        <f>A65+1</f>
        <v/>
      </c>
      <c r="B66" s="37">
        <f>IF(A66="","",TEXT(A66,"ddd"))</f>
        <v/>
      </c>
      <c r="C66" s="38" t="n">
        <v>5</v>
      </c>
      <c r="D66" s="38" t="n">
        <v>4</v>
      </c>
      <c r="E66" s="38" t="n">
        <v>21</v>
      </c>
      <c r="F66" s="38" t="n">
        <v>3</v>
      </c>
      <c r="G66" s="38" t="n">
        <v>3</v>
      </c>
      <c r="H66" s="38" t="n">
        <v>1</v>
      </c>
      <c r="I66" s="38" t="n">
        <v>0</v>
      </c>
      <c r="J66" s="38" t="n">
        <v>0</v>
      </c>
      <c r="K66" s="38" t="n">
        <v>0</v>
      </c>
      <c r="L66" s="39" t="n">
        <v>0</v>
      </c>
      <c r="M66" s="39" t="n">
        <v>0</v>
      </c>
      <c r="N66" s="38" t="n">
        <v>4112</v>
      </c>
      <c r="O66" s="40">
        <f>IF($Q66=0,"",IF(C66&gt;=C$2,1,0)+IF(D66&gt;=D$2,1,0)+IF(E66&gt;=E$2,1,0)+IF(F66&gt;=F$2,1,0))</f>
        <v/>
      </c>
      <c r="P66" s="41" t="n"/>
      <c r="Q66" s="42">
        <f>IF(COUNT(C66:M66)&gt;0,1,0)</f>
        <v/>
      </c>
      <c r="R66" s="42">
        <f>IF(Q66=0,0,R65+1)</f>
        <v/>
      </c>
      <c r="S66" s="42">
        <f>IF(O66="",0,IF(O66=4,S65+1,0))</f>
        <v/>
      </c>
      <c r="T66" s="43">
        <f>IF(Q66=1,A66,"")</f>
        <v/>
      </c>
    </row>
    <row r="67">
      <c r="A67" s="36">
        <f>A66+1</f>
        <v/>
      </c>
      <c r="B67" s="37">
        <f>IF(A67="","",TEXT(A67,"ddd"))</f>
        <v/>
      </c>
      <c r="C67" s="38" t="n">
        <v>5</v>
      </c>
      <c r="D67" s="38" t="n">
        <v>4</v>
      </c>
      <c r="E67" s="38" t="n">
        <v>23</v>
      </c>
      <c r="F67" s="38" t="n">
        <v>9</v>
      </c>
      <c r="G67" s="38" t="n">
        <v>4</v>
      </c>
      <c r="H67" s="38" t="n">
        <v>2</v>
      </c>
      <c r="I67" s="38" t="n">
        <v>1</v>
      </c>
      <c r="J67" s="38" t="n">
        <v>0</v>
      </c>
      <c r="K67" s="38" t="n">
        <v>0</v>
      </c>
      <c r="L67" s="39" t="n">
        <v>0</v>
      </c>
      <c r="M67" s="39" t="n">
        <v>0</v>
      </c>
      <c r="N67" s="38" t="n">
        <v>4140</v>
      </c>
      <c r="O67" s="40">
        <f>IF($Q67=0,"",IF(C67&gt;=C$2,1,0)+IF(D67&gt;=D$2,1,0)+IF(E67&gt;=E$2,1,0)+IF(F67&gt;=F$2,1,0))</f>
        <v/>
      </c>
      <c r="P67" s="41" t="n"/>
      <c r="Q67" s="42">
        <f>IF(COUNT(C67:M67)&gt;0,1,0)</f>
        <v/>
      </c>
      <c r="R67" s="42">
        <f>IF(Q67=0,0,R66+1)</f>
        <v/>
      </c>
      <c r="S67" s="42">
        <f>IF(O67="",0,IF(O67=4,S66+1,0))</f>
        <v/>
      </c>
      <c r="T67" s="43">
        <f>IF(Q67=1,A67,"")</f>
        <v/>
      </c>
    </row>
    <row r="68">
      <c r="A68" s="36">
        <f>A67+1</f>
        <v/>
      </c>
      <c r="B68" s="37">
        <f>IF(A68="","",TEXT(A68,"ddd"))</f>
        <v/>
      </c>
      <c r="C68" s="38" t="n">
        <v>5</v>
      </c>
      <c r="D68" s="38" t="n">
        <v>4</v>
      </c>
      <c r="E68" s="38" t="n">
        <v>24</v>
      </c>
      <c r="F68" s="38" t="n">
        <v>6</v>
      </c>
      <c r="G68" s="38" t="n">
        <v>4</v>
      </c>
      <c r="H68" s="38" t="n">
        <v>1</v>
      </c>
      <c r="I68" s="38" t="n">
        <v>0</v>
      </c>
      <c r="J68" s="38" t="n">
        <v>0</v>
      </c>
      <c r="K68" s="38" t="n">
        <v>0</v>
      </c>
      <c r="L68" s="39" t="n">
        <v>0</v>
      </c>
      <c r="M68" s="39" t="n">
        <v>0</v>
      </c>
      <c r="N68" s="38" t="n">
        <v>4169</v>
      </c>
      <c r="O68" s="40">
        <f>IF($Q68=0,"",IF(C68&gt;=C$2,1,0)+IF(D68&gt;=D$2,1,0)+IF(E68&gt;=E$2,1,0)+IF(F68&gt;=F$2,1,0))</f>
        <v/>
      </c>
      <c r="P68" s="41" t="n"/>
      <c r="Q68" s="42">
        <f>IF(COUNT(C68:M68)&gt;0,1,0)</f>
        <v/>
      </c>
      <c r="R68" s="42">
        <f>IF(Q68=0,0,R67+1)</f>
        <v/>
      </c>
      <c r="S68" s="42">
        <f>IF(O68="",0,IF(O68=4,S67+1,0))</f>
        <v/>
      </c>
      <c r="T68" s="43">
        <f>IF(Q68=1,A68,"")</f>
        <v/>
      </c>
    </row>
    <row r="69">
      <c r="A69" s="36">
        <f>A68+1</f>
        <v/>
      </c>
      <c r="B69" s="37">
        <f>IF(A69="","",TEXT(A69,"ddd"))</f>
        <v/>
      </c>
      <c r="C69" s="38" t="n">
        <v>2</v>
      </c>
      <c r="D69" s="38" t="n">
        <v>2</v>
      </c>
      <c r="E69" s="38" t="n">
        <v>8</v>
      </c>
      <c r="F69" s="38" t="n">
        <v>2</v>
      </c>
      <c r="G69" s="38" t="n">
        <v>2</v>
      </c>
      <c r="H69" s="38" t="n">
        <v>1</v>
      </c>
      <c r="I69" s="38" t="n">
        <v>0</v>
      </c>
      <c r="J69" s="38" t="n">
        <v>0</v>
      </c>
      <c r="K69" s="38" t="n">
        <v>0</v>
      </c>
      <c r="L69" s="39" t="n">
        <v>0</v>
      </c>
      <c r="M69" s="39" t="n">
        <v>0</v>
      </c>
      <c r="N69" s="38" t="n">
        <v>4186</v>
      </c>
      <c r="O69" s="40">
        <f>IF($Q69=0,"",IF(C69&gt;=C$2,1,0)+IF(D69&gt;=D$2,1,0)+IF(E69&gt;=E$2,1,0)+IF(F69&gt;=F$2,1,0))</f>
        <v/>
      </c>
      <c r="P69" s="41" t="n"/>
      <c r="Q69" s="42">
        <f>IF(COUNT(C69:M69)&gt;0,1,0)</f>
        <v/>
      </c>
      <c r="R69" s="42">
        <f>IF(Q69=0,0,R68+1)</f>
        <v/>
      </c>
      <c r="S69" s="42">
        <f>IF(O69="",0,IF(O69=4,S68+1,0))</f>
        <v/>
      </c>
      <c r="T69" s="43">
        <f>IF(Q69=1,A69,"")</f>
        <v/>
      </c>
    </row>
    <row r="70">
      <c r="A70" s="36">
        <f>A69+1</f>
        <v/>
      </c>
      <c r="B70" s="37">
        <f>IF(A70="","",TEXT(A70,"ddd"))</f>
        <v/>
      </c>
      <c r="C70" s="38" t="n">
        <v>2</v>
      </c>
      <c r="D70" s="38" t="n">
        <v>1</v>
      </c>
      <c r="E70" s="38" t="n">
        <v>9</v>
      </c>
      <c r="F70" s="38" t="n">
        <v>2</v>
      </c>
      <c r="G70" s="38" t="n">
        <v>2</v>
      </c>
      <c r="H70" s="38" t="n">
        <v>1</v>
      </c>
      <c r="I70" s="38" t="n">
        <v>0</v>
      </c>
      <c r="J70" s="38" t="n">
        <v>0</v>
      </c>
      <c r="K70" s="38" t="n">
        <v>0</v>
      </c>
      <c r="L70" s="39" t="n">
        <v>0</v>
      </c>
      <c r="M70" s="39" t="n">
        <v>0</v>
      </c>
      <c r="N70" s="38" t="n">
        <v>4212</v>
      </c>
      <c r="O70" s="40">
        <f>IF($Q70=0,"",IF(C70&gt;=C$2,1,0)+IF(D70&gt;=D$2,1,0)+IF(E70&gt;=E$2,1,0)+IF(F70&gt;=F$2,1,0))</f>
        <v/>
      </c>
      <c r="P70" s="41" t="n"/>
      <c r="Q70" s="42">
        <f>IF(COUNT(C70:M70)&gt;0,1,0)</f>
        <v/>
      </c>
      <c r="R70" s="42">
        <f>IF(Q70=0,0,R69+1)</f>
        <v/>
      </c>
      <c r="S70" s="42">
        <f>IF(O70="",0,IF(O70=4,S69+1,0))</f>
        <v/>
      </c>
      <c r="T70" s="43">
        <f>IF(Q70=1,A70,"")</f>
        <v/>
      </c>
    </row>
    <row r="71">
      <c r="A71" s="36">
        <f>A70+1</f>
        <v/>
      </c>
      <c r="B71" s="37">
        <f>IF(A71="","",TEXT(A71,"ddd"))</f>
        <v/>
      </c>
      <c r="C71" s="38" t="n">
        <v>7</v>
      </c>
      <c r="D71" s="38" t="n">
        <v>5</v>
      </c>
      <c r="E71" s="38" t="n">
        <v>23</v>
      </c>
      <c r="F71" s="38" t="n">
        <v>7</v>
      </c>
      <c r="G71" s="38" t="n">
        <v>4</v>
      </c>
      <c r="H71" s="38" t="n">
        <v>2</v>
      </c>
      <c r="I71" s="38" t="n">
        <v>0</v>
      </c>
      <c r="J71" s="38" t="n">
        <v>0</v>
      </c>
      <c r="K71" s="38" t="n">
        <v>0</v>
      </c>
      <c r="L71" s="39" t="n">
        <v>0</v>
      </c>
      <c r="M71" s="39" t="n">
        <v>0</v>
      </c>
      <c r="N71" s="38" t="n">
        <v>4231</v>
      </c>
      <c r="O71" s="40">
        <f>IF($Q71=0,"",IF(C71&gt;=C$2,1,0)+IF(D71&gt;=D$2,1,0)+IF(E71&gt;=E$2,1,0)+IF(F71&gt;=F$2,1,0))</f>
        <v/>
      </c>
      <c r="P71" s="41" t="n"/>
      <c r="Q71" s="42">
        <f>IF(COUNT(C71:M71)&gt;0,1,0)</f>
        <v/>
      </c>
      <c r="R71" s="42">
        <f>IF(Q71=0,0,R70+1)</f>
        <v/>
      </c>
      <c r="S71" s="42">
        <f>IF(O71="",0,IF(O71=4,S70+1,0))</f>
        <v/>
      </c>
      <c r="T71" s="43">
        <f>IF(Q71=1,A71,"")</f>
        <v/>
      </c>
    </row>
    <row r="72">
      <c r="A72" s="36">
        <f>A71+1</f>
        <v/>
      </c>
      <c r="B72" s="37">
        <f>IF(A72="","",TEXT(A72,"ddd"))</f>
        <v/>
      </c>
      <c r="C72" s="38" t="n">
        <v>6</v>
      </c>
      <c r="D72" s="38" t="n">
        <v>5</v>
      </c>
      <c r="E72" s="38" t="n">
        <v>20</v>
      </c>
      <c r="F72" s="38" t="n">
        <v>6</v>
      </c>
      <c r="G72" s="38" t="n">
        <v>5</v>
      </c>
      <c r="H72" s="38" t="n">
        <v>3</v>
      </c>
      <c r="I72" s="38" t="n">
        <v>1</v>
      </c>
      <c r="J72" s="38" t="n">
        <v>0</v>
      </c>
      <c r="K72" s="38" t="n">
        <v>0</v>
      </c>
      <c r="L72" s="39" t="n">
        <v>0</v>
      </c>
      <c r="M72" s="39" t="n">
        <v>0</v>
      </c>
      <c r="N72" s="38" t="n">
        <v>4241</v>
      </c>
      <c r="O72" s="40">
        <f>IF($Q72=0,"",IF(C72&gt;=C$2,1,0)+IF(D72&gt;=D$2,1,0)+IF(E72&gt;=E$2,1,0)+IF(F72&gt;=F$2,1,0))</f>
        <v/>
      </c>
      <c r="P72" s="41" t="n"/>
      <c r="Q72" s="42">
        <f>IF(COUNT(C72:M72)&gt;0,1,0)</f>
        <v/>
      </c>
      <c r="R72" s="42">
        <f>IF(Q72=0,0,R71+1)</f>
        <v/>
      </c>
      <c r="S72" s="42">
        <f>IF(O72="",0,IF(O72=4,S71+1,0))</f>
        <v/>
      </c>
      <c r="T72" s="43">
        <f>IF(Q72=1,A72,"")</f>
        <v/>
      </c>
    </row>
    <row r="73">
      <c r="A73" s="36">
        <f>A72+1</f>
        <v/>
      </c>
      <c r="B73" s="37">
        <f>IF(A73="","",TEXT(A73,"ddd"))</f>
        <v/>
      </c>
      <c r="C73" s="38" t="n">
        <v>5</v>
      </c>
      <c r="D73" s="38" t="n">
        <v>5</v>
      </c>
      <c r="E73" s="38" t="n">
        <v>25</v>
      </c>
      <c r="F73" s="38" t="n">
        <v>8</v>
      </c>
      <c r="G73" s="38" t="n">
        <v>4</v>
      </c>
      <c r="H73" s="38" t="n">
        <v>2</v>
      </c>
      <c r="I73" s="38" t="n">
        <v>1</v>
      </c>
      <c r="J73" s="38" t="n">
        <v>1</v>
      </c>
      <c r="K73" s="38" t="n">
        <v>0</v>
      </c>
      <c r="L73" s="39" t="n">
        <v>0</v>
      </c>
      <c r="M73" s="39" t="n">
        <v>0</v>
      </c>
      <c r="N73" s="38" t="n">
        <v>4265</v>
      </c>
      <c r="O73" s="40">
        <f>IF($Q73=0,"",IF(C73&gt;=C$2,1,0)+IF(D73&gt;=D$2,1,0)+IF(E73&gt;=E$2,1,0)+IF(F73&gt;=F$2,1,0))</f>
        <v/>
      </c>
      <c r="P73" s="41" t="n"/>
      <c r="Q73" s="42">
        <f>IF(COUNT(C73:M73)&gt;0,1,0)</f>
        <v/>
      </c>
      <c r="R73" s="42">
        <f>IF(Q73=0,0,R72+1)</f>
        <v/>
      </c>
      <c r="S73" s="42">
        <f>IF(O73="",0,IF(O73=4,S72+1,0))</f>
        <v/>
      </c>
      <c r="T73" s="43">
        <f>IF(Q73=1,A73,"")</f>
        <v/>
      </c>
    </row>
    <row r="74">
      <c r="A74" s="36">
        <f>A73+1</f>
        <v/>
      </c>
      <c r="B74" s="37">
        <f>IF(A74="","",TEXT(A74,"ddd"))</f>
        <v/>
      </c>
      <c r="C74" s="38" t="n">
        <v>7</v>
      </c>
      <c r="D74" s="38" t="n">
        <v>4</v>
      </c>
      <c r="E74" s="38" t="n">
        <v>25</v>
      </c>
      <c r="F74" s="38" t="n">
        <v>6</v>
      </c>
      <c r="G74" s="38" t="n">
        <v>6</v>
      </c>
      <c r="H74" s="38" t="n">
        <v>4</v>
      </c>
      <c r="I74" s="38" t="n">
        <v>1</v>
      </c>
      <c r="J74" s="38" t="n">
        <v>1</v>
      </c>
      <c r="K74" s="38" t="n">
        <v>0</v>
      </c>
      <c r="L74" s="39" t="n">
        <v>0</v>
      </c>
      <c r="M74" s="39" t="n">
        <v>0</v>
      </c>
      <c r="N74" s="38" t="n">
        <v>4282</v>
      </c>
      <c r="O74" s="40">
        <f>IF($Q74=0,"",IF(C74&gt;=C$2,1,0)+IF(D74&gt;=D$2,1,0)+IF(E74&gt;=E$2,1,0)+IF(F74&gt;=F$2,1,0))</f>
        <v/>
      </c>
      <c r="P74" s="41" t="inlineStr">
        <is>
          <t>Coach flagged follow-ups on our call — fixing it</t>
        </is>
      </c>
      <c r="Q74" s="42">
        <f>IF(COUNT(C74:M74)&gt;0,1,0)</f>
        <v/>
      </c>
      <c r="R74" s="42">
        <f>IF(Q74=0,0,R73+1)</f>
        <v/>
      </c>
      <c r="S74" s="42">
        <f>IF(O74="",0,IF(O74=4,S73+1,0))</f>
        <v/>
      </c>
      <c r="T74" s="43">
        <f>IF(Q74=1,A74,"")</f>
        <v/>
      </c>
    </row>
    <row r="75">
      <c r="A75" s="36">
        <f>A74+1</f>
        <v/>
      </c>
      <c r="B75" s="37">
        <f>IF(A75="","",TEXT(A75,"ddd"))</f>
        <v/>
      </c>
      <c r="C75" s="38" t="n">
        <v>6</v>
      </c>
      <c r="D75" s="38" t="n">
        <v>5</v>
      </c>
      <c r="E75" s="38" t="n">
        <v>24</v>
      </c>
      <c r="F75" s="38" t="n">
        <v>6</v>
      </c>
      <c r="G75" s="38" t="n">
        <v>5</v>
      </c>
      <c r="H75" s="38" t="n">
        <v>3</v>
      </c>
      <c r="I75" s="38" t="n">
        <v>1</v>
      </c>
      <c r="J75" s="38" t="n">
        <v>1</v>
      </c>
      <c r="K75" s="38" t="n">
        <v>0</v>
      </c>
      <c r="L75" s="39" t="n">
        <v>0</v>
      </c>
      <c r="M75" s="39" t="n">
        <v>0</v>
      </c>
      <c r="N75" s="38" t="n">
        <v>4301</v>
      </c>
      <c r="O75" s="40">
        <f>IF($Q75=0,"",IF(C75&gt;=C$2,1,0)+IF(D75&gt;=D$2,1,0)+IF(E75&gt;=E$2,1,0)+IF(F75&gt;=F$2,1,0))</f>
        <v/>
      </c>
      <c r="P75" s="41" t="n"/>
      <c r="Q75" s="42">
        <f>IF(COUNT(C75:M75)&gt;0,1,0)</f>
        <v/>
      </c>
      <c r="R75" s="42">
        <f>IF(Q75=0,0,R74+1)</f>
        <v/>
      </c>
      <c r="S75" s="42">
        <f>IF(O75="",0,IF(O75=4,S74+1,0))</f>
        <v/>
      </c>
      <c r="T75" s="43">
        <f>IF(Q75=1,A75,"")</f>
        <v/>
      </c>
    </row>
    <row r="76">
      <c r="A76" s="36">
        <f>A75+1</f>
        <v/>
      </c>
      <c r="B76" s="37">
        <f>IF(A76="","",TEXT(A76,"ddd"))</f>
        <v/>
      </c>
      <c r="C76" s="38" t="n">
        <v>2</v>
      </c>
      <c r="D76" s="38" t="n">
        <v>2</v>
      </c>
      <c r="E76" s="38" t="n">
        <v>8</v>
      </c>
      <c r="F76" s="38" t="n">
        <v>3</v>
      </c>
      <c r="G76" s="38" t="n">
        <v>2</v>
      </c>
      <c r="H76" s="38" t="n">
        <v>1</v>
      </c>
      <c r="I76" s="38" t="n">
        <v>0</v>
      </c>
      <c r="J76" s="38" t="n">
        <v>1</v>
      </c>
      <c r="K76" s="38" t="n">
        <v>0</v>
      </c>
      <c r="L76" s="39" t="n">
        <v>0</v>
      </c>
      <c r="M76" s="39" t="n">
        <v>0</v>
      </c>
      <c r="N76" s="38" t="n">
        <v>4312</v>
      </c>
      <c r="O76" s="40">
        <f>IF($Q76=0,"",IF(C76&gt;=C$2,1,0)+IF(D76&gt;=D$2,1,0)+IF(E76&gt;=E$2,1,0)+IF(F76&gt;=F$2,1,0))</f>
        <v/>
      </c>
      <c r="P76" s="41" t="n"/>
      <c r="Q76" s="42">
        <f>IF(COUNT(C76:M76)&gt;0,1,0)</f>
        <v/>
      </c>
      <c r="R76" s="42">
        <f>IF(Q76=0,0,R75+1)</f>
        <v/>
      </c>
      <c r="S76" s="42">
        <f>IF(O76="",0,IF(O76=4,S75+1,0))</f>
        <v/>
      </c>
      <c r="T76" s="43">
        <f>IF(Q76=1,A76,"")</f>
        <v/>
      </c>
    </row>
    <row r="77">
      <c r="A77" s="36">
        <f>A76+1</f>
        <v/>
      </c>
      <c r="B77" s="37">
        <f>IF(A77="","",TEXT(A77,"ddd"))</f>
        <v/>
      </c>
      <c r="C77" s="38" t="n">
        <v>0</v>
      </c>
      <c r="D77" s="38" t="n">
        <v>0</v>
      </c>
      <c r="E77" s="38" t="n">
        <v>0</v>
      </c>
      <c r="F77" s="38" t="n">
        <v>0</v>
      </c>
      <c r="G77" s="38" t="n">
        <v>0</v>
      </c>
      <c r="H77" s="38" t="n">
        <v>0</v>
      </c>
      <c r="I77" s="38" t="n">
        <v>0</v>
      </c>
      <c r="J77" s="38" t="n">
        <v>0</v>
      </c>
      <c r="K77" s="38" t="n">
        <v>0</v>
      </c>
      <c r="L77" s="39" t="n">
        <v>0</v>
      </c>
      <c r="M77" s="39" t="n">
        <v>0</v>
      </c>
      <c r="N77" s="38" t="n">
        <v>4312</v>
      </c>
      <c r="O77" s="40">
        <f>IF($Q77=0,"",IF(C77&gt;=C$2,1,0)+IF(D77&gt;=D$2,1,0)+IF(E77&gt;=E$2,1,0)+IF(F77&gt;=F$2,1,0))</f>
        <v/>
      </c>
      <c r="P77" s="41" t="n"/>
      <c r="Q77" s="42">
        <f>IF(COUNT(C77:M77)&gt;0,1,0)</f>
        <v/>
      </c>
      <c r="R77" s="42">
        <f>IF(Q77=0,0,R76+1)</f>
        <v/>
      </c>
      <c r="S77" s="42">
        <f>IF(O77="",0,IF(O77=4,S76+1,0))</f>
        <v/>
      </c>
      <c r="T77" s="43">
        <f>IF(Q77=1,A77,"")</f>
        <v/>
      </c>
    </row>
    <row r="78">
      <c r="A78" s="36">
        <f>A77+1</f>
        <v/>
      </c>
      <c r="B78" s="37">
        <f>IF(A78="","",TEXT(A78,"ddd"))</f>
        <v/>
      </c>
      <c r="C78" s="38" t="n">
        <v>7</v>
      </c>
      <c r="D78" s="38" t="n">
        <v>6</v>
      </c>
      <c r="E78" s="38" t="n">
        <v>25</v>
      </c>
      <c r="F78" s="38" t="n">
        <v>6</v>
      </c>
      <c r="G78" s="38" t="n">
        <v>4</v>
      </c>
      <c r="H78" s="38" t="n">
        <v>3</v>
      </c>
      <c r="I78" s="38" t="n">
        <v>1</v>
      </c>
      <c r="J78" s="38" t="n">
        <v>0</v>
      </c>
      <c r="K78" s="38" t="n">
        <v>0</v>
      </c>
      <c r="L78" s="39" t="n">
        <v>0</v>
      </c>
      <c r="M78" s="39" t="n">
        <v>0</v>
      </c>
      <c r="N78" s="38" t="n">
        <v>4326</v>
      </c>
      <c r="O78" s="40">
        <f>IF($Q78=0,"",IF(C78&gt;=C$2,1,0)+IF(D78&gt;=D$2,1,0)+IF(E78&gt;=E$2,1,0)+IF(F78&gt;=F$2,1,0))</f>
        <v/>
      </c>
      <c r="P78" s="41" t="n"/>
      <c r="Q78" s="42">
        <f>IF(COUNT(C78:M78)&gt;0,1,0)</f>
        <v/>
      </c>
      <c r="R78" s="42">
        <f>IF(Q78=0,0,R77+1)</f>
        <v/>
      </c>
      <c r="S78" s="42">
        <f>IF(O78="",0,IF(O78=4,S77+1,0))</f>
        <v/>
      </c>
      <c r="T78" s="43">
        <f>IF(Q78=1,A78,"")</f>
        <v/>
      </c>
    </row>
    <row r="79">
      <c r="A79" s="36">
        <f>A78+1</f>
        <v/>
      </c>
      <c r="B79" s="37">
        <f>IF(A79="","",TEXT(A79,"ddd"))</f>
        <v/>
      </c>
      <c r="C79" s="38" t="n">
        <v>6</v>
      </c>
      <c r="D79" s="38" t="n">
        <v>6</v>
      </c>
      <c r="E79" s="38" t="n">
        <v>24</v>
      </c>
      <c r="F79" s="38" t="n">
        <v>6</v>
      </c>
      <c r="G79" s="38" t="n">
        <v>4</v>
      </c>
      <c r="H79" s="38" t="n">
        <v>2</v>
      </c>
      <c r="I79" s="38" t="n">
        <v>0</v>
      </c>
      <c r="J79" s="38" t="n">
        <v>1</v>
      </c>
      <c r="K79" s="38" t="n">
        <v>0</v>
      </c>
      <c r="L79" s="39" t="n">
        <v>0</v>
      </c>
      <c r="M79" s="39" t="n">
        <v>0</v>
      </c>
      <c r="N79" s="38" t="n">
        <v>4351</v>
      </c>
      <c r="O79" s="40">
        <f>IF($Q79=0,"",IF(C79&gt;=C$2,1,0)+IF(D79&gt;=D$2,1,0)+IF(E79&gt;=E$2,1,0)+IF(F79&gt;=F$2,1,0))</f>
        <v/>
      </c>
      <c r="P79" s="41" t="n"/>
      <c r="Q79" s="42">
        <f>IF(COUNT(C79:M79)&gt;0,1,0)</f>
        <v/>
      </c>
      <c r="R79" s="42">
        <f>IF(Q79=0,0,R78+1)</f>
        <v/>
      </c>
      <c r="S79" s="42">
        <f>IF(O79="",0,IF(O79=4,S78+1,0))</f>
        <v/>
      </c>
      <c r="T79" s="43">
        <f>IF(Q79=1,A79,"")</f>
        <v/>
      </c>
    </row>
    <row r="80">
      <c r="A80" s="36">
        <f>A79+1</f>
        <v/>
      </c>
      <c r="B80" s="37">
        <f>IF(A80="","",TEXT(A80,"ddd"))</f>
        <v/>
      </c>
      <c r="C80" s="38" t="n">
        <v>6</v>
      </c>
      <c r="D80" s="38" t="n">
        <v>5</v>
      </c>
      <c r="E80" s="38" t="n">
        <v>25</v>
      </c>
      <c r="F80" s="38" t="n">
        <v>8</v>
      </c>
      <c r="G80" s="38" t="n">
        <v>5</v>
      </c>
      <c r="H80" s="38" t="n">
        <v>2</v>
      </c>
      <c r="I80" s="38" t="n">
        <v>1</v>
      </c>
      <c r="J80" s="38" t="n">
        <v>0</v>
      </c>
      <c r="K80" s="38" t="n">
        <v>0</v>
      </c>
      <c r="L80" s="39" t="n">
        <v>0</v>
      </c>
      <c r="M80" s="39" t="n">
        <v>0</v>
      </c>
      <c r="N80" s="38" t="n">
        <v>4369</v>
      </c>
      <c r="O80" s="40">
        <f>IF($Q80=0,"",IF(C80&gt;=C$2,1,0)+IF(D80&gt;=D$2,1,0)+IF(E80&gt;=E$2,1,0)+IF(F80&gt;=F$2,1,0))</f>
        <v/>
      </c>
      <c r="P80" s="41" t="n"/>
      <c r="Q80" s="42">
        <f>IF(COUNT(C80:M80)&gt;0,1,0)</f>
        <v/>
      </c>
      <c r="R80" s="42">
        <f>IF(Q80=0,0,R79+1)</f>
        <v/>
      </c>
      <c r="S80" s="42">
        <f>IF(O80="",0,IF(O80=4,S79+1,0))</f>
        <v/>
      </c>
      <c r="T80" s="43">
        <f>IF(Q80=1,A80,"")</f>
        <v/>
      </c>
    </row>
    <row r="81">
      <c r="A81" s="36">
        <f>A80+1</f>
        <v/>
      </c>
      <c r="B81" s="37">
        <f>IF(A81="","",TEXT(A81,"ddd"))</f>
        <v/>
      </c>
      <c r="C81" s="38" t="n">
        <v>6</v>
      </c>
      <c r="D81" s="38" t="n">
        <v>5</v>
      </c>
      <c r="E81" s="38" t="n">
        <v>29</v>
      </c>
      <c r="F81" s="38" t="n">
        <v>12</v>
      </c>
      <c r="G81" s="38" t="n">
        <v>9</v>
      </c>
      <c r="H81" s="38" t="n">
        <v>6</v>
      </c>
      <c r="I81" s="38" t="n">
        <v>2</v>
      </c>
      <c r="J81" s="38" t="n">
        <v>1</v>
      </c>
      <c r="K81" s="38" t="n">
        <v>1</v>
      </c>
      <c r="L81" s="39" t="n">
        <v>2000</v>
      </c>
      <c r="M81" s="39" t="n">
        <v>3500</v>
      </c>
      <c r="N81" s="38" t="n">
        <v>4390</v>
      </c>
      <c r="O81" s="40">
        <f>IF($Q81=0,"",IF(C81&gt;=C$2,1,0)+IF(D81&gt;=D$2,1,0)+IF(E81&gt;=E$2,1,0)+IF(F81&gt;=F$2,1,0))</f>
        <v/>
      </c>
      <c r="P81" s="41" t="n"/>
      <c r="Q81" s="42">
        <f>IF(COUNT(C81:M81)&gt;0,1,0)</f>
        <v/>
      </c>
      <c r="R81" s="42">
        <f>IF(Q81=0,0,R80+1)</f>
        <v/>
      </c>
      <c r="S81" s="42">
        <f>IF(O81="",0,IF(O81=4,S80+1,0))</f>
        <v/>
      </c>
      <c r="T81" s="43">
        <f>IF(Q81=1,A81,"")</f>
        <v/>
      </c>
    </row>
    <row r="82">
      <c r="A82" s="36">
        <f>A81+1</f>
        <v/>
      </c>
      <c r="B82" s="37">
        <f>IF(A82="","",TEXT(A82,"ddd"))</f>
        <v/>
      </c>
      <c r="C82" s="38" t="n">
        <v>6</v>
      </c>
      <c r="D82" s="38" t="n">
        <v>7</v>
      </c>
      <c r="E82" s="38" t="n">
        <v>28</v>
      </c>
      <c r="F82" s="38" t="n">
        <v>13</v>
      </c>
      <c r="G82" s="38" t="n">
        <v>6</v>
      </c>
      <c r="H82" s="38" t="n">
        <v>5</v>
      </c>
      <c r="I82" s="38" t="n">
        <v>2</v>
      </c>
      <c r="J82" s="38" t="n">
        <v>1</v>
      </c>
      <c r="K82" s="38" t="n">
        <v>1</v>
      </c>
      <c r="L82" s="39" t="n">
        <v>1500</v>
      </c>
      <c r="M82" s="39" t="n">
        <v>3000</v>
      </c>
      <c r="N82" s="38" t="n">
        <v>4413</v>
      </c>
      <c r="O82" s="40">
        <f>IF($Q82=0,"",IF(C82&gt;=C$2,1,0)+IF(D82&gt;=D$2,1,0)+IF(E82&gt;=E$2,1,0)+IF(F82&gt;=F$2,1,0))</f>
        <v/>
      </c>
      <c r="P82" s="41" t="n"/>
      <c r="Q82" s="42">
        <f>IF(COUNT(C82:M82)&gt;0,1,0)</f>
        <v/>
      </c>
      <c r="R82" s="42">
        <f>IF(Q82=0,0,R81+1)</f>
        <v/>
      </c>
      <c r="S82" s="42">
        <f>IF(O82="",0,IF(O82=4,S81+1,0))</f>
        <v/>
      </c>
      <c r="T82" s="43">
        <f>IF(Q82=1,A82,"")</f>
        <v/>
      </c>
    </row>
    <row r="83">
      <c r="A83" s="36">
        <f>A82+1</f>
        <v/>
      </c>
      <c r="B83" s="37">
        <f>IF(A83="","",TEXT(A83,"ddd"))</f>
        <v/>
      </c>
      <c r="C83" s="38" t="n">
        <v>2</v>
      </c>
      <c r="D83" s="38" t="n">
        <v>2</v>
      </c>
      <c r="E83" s="38" t="n">
        <v>9</v>
      </c>
      <c r="F83" s="38" t="n">
        <v>4</v>
      </c>
      <c r="G83" s="38" t="n">
        <v>2</v>
      </c>
      <c r="H83" s="38" t="n">
        <v>1</v>
      </c>
      <c r="I83" s="38" t="n">
        <v>0</v>
      </c>
      <c r="J83" s="38" t="n">
        <v>1</v>
      </c>
      <c r="K83" s="38" t="n">
        <v>1</v>
      </c>
      <c r="L83" s="39" t="n">
        <v>2000</v>
      </c>
      <c r="M83" s="39" t="n">
        <v>2000</v>
      </c>
      <c r="N83" s="38" t="n">
        <v>4426</v>
      </c>
      <c r="O83" s="40">
        <f>IF($Q83=0,"",IF(C83&gt;=C$2,1,0)+IF(D83&gt;=D$2,1,0)+IF(E83&gt;=E$2,1,0)+IF(F83&gt;=F$2,1,0))</f>
        <v/>
      </c>
      <c r="P83" s="41" t="n"/>
      <c r="Q83" s="42">
        <f>IF(COUNT(C83:M83)&gt;0,1,0)</f>
        <v/>
      </c>
      <c r="R83" s="42">
        <f>IF(Q83=0,0,R82+1)</f>
        <v/>
      </c>
      <c r="S83" s="42">
        <f>IF(O83="",0,IF(O83=4,S82+1,0))</f>
        <v/>
      </c>
      <c r="T83" s="43">
        <f>IF(Q83=1,A83,"")</f>
        <v/>
      </c>
    </row>
    <row r="84">
      <c r="A84" s="36">
        <f>A83+1</f>
        <v/>
      </c>
      <c r="B84" s="37">
        <f>IF(A84="","",TEXT(A84,"ddd"))</f>
        <v/>
      </c>
      <c r="C84" s="38" t="n">
        <v>3</v>
      </c>
      <c r="D84" s="38" t="n">
        <v>2</v>
      </c>
      <c r="E84" s="38" t="n">
        <v>9</v>
      </c>
      <c r="F84" s="38" t="n">
        <v>5</v>
      </c>
      <c r="G84" s="38" t="n">
        <v>2</v>
      </c>
      <c r="H84" s="38" t="n">
        <v>1</v>
      </c>
      <c r="I84" s="38" t="n">
        <v>0</v>
      </c>
      <c r="J84" s="38" t="n">
        <v>0</v>
      </c>
      <c r="K84" s="38" t="n">
        <v>0</v>
      </c>
      <c r="L84" s="39" t="n">
        <v>0</v>
      </c>
      <c r="M84" s="39" t="n">
        <v>0</v>
      </c>
      <c r="N84" s="38" t="n">
        <v>4458</v>
      </c>
      <c r="O84" s="40">
        <f>IF($Q84=0,"",IF(C84&gt;=C$2,1,0)+IF(D84&gt;=D$2,1,0)+IF(E84&gt;=E$2,1,0)+IF(F84&gt;=F$2,1,0))</f>
        <v/>
      </c>
      <c r="P84" s="41" t="n"/>
      <c r="Q84" s="42">
        <f>IF(COUNT(C84:M84)&gt;0,1,0)</f>
        <v/>
      </c>
      <c r="R84" s="42">
        <f>IF(Q84=0,0,R83+1)</f>
        <v/>
      </c>
      <c r="S84" s="42">
        <f>IF(O84="",0,IF(O84=4,S83+1,0))</f>
        <v/>
      </c>
      <c r="T84" s="43">
        <f>IF(Q84=1,A84,"")</f>
        <v/>
      </c>
    </row>
    <row r="85">
      <c r="A85" s="36">
        <f>A84+1</f>
        <v/>
      </c>
      <c r="B85" s="37">
        <f>IF(A85="","",TEXT(A85,"ddd"))</f>
        <v/>
      </c>
      <c r="C85" s="38" t="n">
        <v>8</v>
      </c>
      <c r="D85" s="38" t="n">
        <v>5</v>
      </c>
      <c r="E85" s="38" t="n">
        <v>25</v>
      </c>
      <c r="F85" s="38" t="n">
        <v>12</v>
      </c>
      <c r="G85" s="38" t="n">
        <v>6</v>
      </c>
      <c r="H85" s="38" t="n">
        <v>3</v>
      </c>
      <c r="I85" s="38" t="n">
        <v>1</v>
      </c>
      <c r="J85" s="38" t="n">
        <v>0</v>
      </c>
      <c r="K85" s="38" t="n">
        <v>0</v>
      </c>
      <c r="L85" s="39" t="n">
        <v>0</v>
      </c>
      <c r="M85" s="39" t="n">
        <v>0</v>
      </c>
      <c r="N85" s="38" t="n">
        <v>4483</v>
      </c>
      <c r="O85" s="40">
        <f>IF($Q85=0,"",IF(C85&gt;=C$2,1,0)+IF(D85&gt;=D$2,1,0)+IF(E85&gt;=E$2,1,0)+IF(F85&gt;=F$2,1,0))</f>
        <v/>
      </c>
      <c r="P85" s="41" t="n"/>
      <c r="Q85" s="42">
        <f>IF(COUNT(C85:M85)&gt;0,1,0)</f>
        <v/>
      </c>
      <c r="R85" s="42">
        <f>IF(Q85=0,0,R84+1)</f>
        <v/>
      </c>
      <c r="S85" s="42">
        <f>IF(O85="",0,IF(O85=4,S84+1,0))</f>
        <v/>
      </c>
      <c r="T85" s="43">
        <f>IF(Q85=1,A85,"")</f>
        <v/>
      </c>
    </row>
    <row r="86">
      <c r="A86" s="36">
        <f>A85+1</f>
        <v/>
      </c>
      <c r="B86" s="37">
        <f>IF(A86="","",TEXT(A86,"ddd"))</f>
        <v/>
      </c>
      <c r="C86" s="38" t="n">
        <v>8</v>
      </c>
      <c r="D86" s="38" t="n">
        <v>6</v>
      </c>
      <c r="E86" s="38" t="n">
        <v>25</v>
      </c>
      <c r="F86" s="38" t="n">
        <v>13</v>
      </c>
      <c r="G86" s="38" t="n">
        <v>9</v>
      </c>
      <c r="H86" s="38" t="n">
        <v>6</v>
      </c>
      <c r="I86" s="38" t="n">
        <v>2</v>
      </c>
      <c r="J86" s="38" t="n">
        <v>1</v>
      </c>
      <c r="K86" s="38" t="n">
        <v>1</v>
      </c>
      <c r="L86" s="39" t="n">
        <v>2000</v>
      </c>
      <c r="M86" s="39" t="n">
        <v>2000</v>
      </c>
      <c r="N86" s="38" t="n">
        <v>4499</v>
      </c>
      <c r="O86" s="40">
        <f>IF($Q86=0,"",IF(C86&gt;=C$2,1,0)+IF(D86&gt;=D$2,1,0)+IF(E86&gt;=E$2,1,0)+IF(F86&gt;=F$2,1,0))</f>
        <v/>
      </c>
      <c r="P86" s="41" t="n"/>
      <c r="Q86" s="42">
        <f>IF(COUNT(C86:M86)&gt;0,1,0)</f>
        <v/>
      </c>
      <c r="R86" s="42">
        <f>IF(Q86=0,0,R85+1)</f>
        <v/>
      </c>
      <c r="S86" s="42">
        <f>IF(O86="",0,IF(O86=4,S85+1,0))</f>
        <v/>
      </c>
      <c r="T86" s="43">
        <f>IF(Q86=1,A86,"")</f>
        <v/>
      </c>
    </row>
    <row r="87">
      <c r="A87" s="36">
        <f>A86+1</f>
        <v/>
      </c>
      <c r="B87" s="37">
        <f>IF(A87="","",TEXT(A87,"ddd"))</f>
        <v/>
      </c>
      <c r="C87" s="38" t="n">
        <v>8</v>
      </c>
      <c r="D87" s="38" t="n">
        <v>7</v>
      </c>
      <c r="E87" s="38" t="n">
        <v>24</v>
      </c>
      <c r="F87" s="38" t="n">
        <v>11</v>
      </c>
      <c r="G87" s="38" t="n">
        <v>8</v>
      </c>
      <c r="H87" s="38" t="n">
        <v>3</v>
      </c>
      <c r="I87" s="38" t="n">
        <v>1</v>
      </c>
      <c r="J87" s="38" t="n">
        <v>2</v>
      </c>
      <c r="K87" s="38" t="n">
        <v>1</v>
      </c>
      <c r="L87" s="39" t="n">
        <v>2000</v>
      </c>
      <c r="M87" s="39" t="n">
        <v>2000</v>
      </c>
      <c r="N87" s="38" t="n">
        <v>4529</v>
      </c>
      <c r="O87" s="40">
        <f>IF($Q87=0,"",IF(C87&gt;=C$2,1,0)+IF(D87&gt;=D$2,1,0)+IF(E87&gt;=E$2,1,0)+IF(F87&gt;=F$2,1,0))</f>
        <v/>
      </c>
      <c r="P87" s="41" t="n"/>
      <c r="Q87" s="42">
        <f>IF(COUNT(C87:M87)&gt;0,1,0)</f>
        <v/>
      </c>
      <c r="R87" s="42">
        <f>IF(Q87=0,0,R86+1)</f>
        <v/>
      </c>
      <c r="S87" s="42">
        <f>IF(O87="",0,IF(O87=4,S86+1,0))</f>
        <v/>
      </c>
      <c r="T87" s="43">
        <f>IF(Q87=1,A87,"")</f>
        <v/>
      </c>
    </row>
    <row r="88">
      <c r="A88" s="36">
        <f>A87+1</f>
        <v/>
      </c>
      <c r="B88" s="37">
        <f>IF(A88="","",TEXT(A88,"ddd"))</f>
        <v/>
      </c>
      <c r="C88" s="38" t="n">
        <v>6</v>
      </c>
      <c r="D88" s="38" t="n">
        <v>7</v>
      </c>
      <c r="E88" s="38" t="n">
        <v>24</v>
      </c>
      <c r="F88" s="38" t="n">
        <v>13</v>
      </c>
      <c r="G88" s="38" t="n">
        <v>8</v>
      </c>
      <c r="H88" s="38" t="n">
        <v>4</v>
      </c>
      <c r="I88" s="38" t="n">
        <v>1</v>
      </c>
      <c r="J88" s="38" t="n">
        <v>1</v>
      </c>
      <c r="K88" s="38" t="n">
        <v>1</v>
      </c>
      <c r="L88" s="39" t="n">
        <v>1500</v>
      </c>
      <c r="M88" s="39" t="n">
        <v>1500</v>
      </c>
      <c r="N88" s="38" t="n">
        <v>4552</v>
      </c>
      <c r="O88" s="40">
        <f>IF($Q88=0,"",IF(C88&gt;=C$2,1,0)+IF(D88&gt;=D$2,1,0)+IF(E88&gt;=E$2,1,0)+IF(F88&gt;=F$2,1,0))</f>
        <v/>
      </c>
      <c r="P88" s="41" t="inlineStr">
        <is>
          <t>Back on follow-ups properly this week</t>
        </is>
      </c>
      <c r="Q88" s="42">
        <f>IF(COUNT(C88:M88)&gt;0,1,0)</f>
        <v/>
      </c>
      <c r="R88" s="42">
        <f>IF(Q88=0,0,R87+1)</f>
        <v/>
      </c>
      <c r="S88" s="42">
        <f>IF(O88="",0,IF(O88=4,S87+1,0))</f>
        <v/>
      </c>
      <c r="T88" s="43">
        <f>IF(Q88=1,A88,"")</f>
        <v/>
      </c>
    </row>
    <row r="89">
      <c r="A89" s="36">
        <f>A88+1</f>
        <v/>
      </c>
      <c r="B89" s="37">
        <f>IF(A89="","",TEXT(A89,"ddd"))</f>
        <v/>
      </c>
      <c r="C89" s="38" t="n">
        <v>8</v>
      </c>
      <c r="D89" s="38" t="n">
        <v>5</v>
      </c>
      <c r="E89" s="38" t="n">
        <v>26</v>
      </c>
      <c r="F89" s="38" t="n">
        <v>14</v>
      </c>
      <c r="G89" s="38" t="n">
        <v>10</v>
      </c>
      <c r="H89" s="38" t="n">
        <v>5</v>
      </c>
      <c r="I89" s="38" t="n">
        <v>1</v>
      </c>
      <c r="J89" s="38" t="n">
        <v>1</v>
      </c>
      <c r="K89" s="38" t="n">
        <v>0</v>
      </c>
      <c r="L89" s="39" t="n">
        <v>0</v>
      </c>
      <c r="M89" s="39" t="n">
        <v>0</v>
      </c>
      <c r="N89" s="38" t="n">
        <v>4580</v>
      </c>
      <c r="O89" s="40">
        <f>IF($Q89=0,"",IF(C89&gt;=C$2,1,0)+IF(D89&gt;=D$2,1,0)+IF(E89&gt;=E$2,1,0)+IF(F89&gt;=F$2,1,0))</f>
        <v/>
      </c>
      <c r="P89" s="41" t="n"/>
      <c r="Q89" s="42">
        <f>IF(COUNT(C89:M89)&gt;0,1,0)</f>
        <v/>
      </c>
      <c r="R89" s="42">
        <f>IF(Q89=0,0,R88+1)</f>
        <v/>
      </c>
      <c r="S89" s="42">
        <f>IF(O89="",0,IF(O89=4,S88+1,0))</f>
        <v/>
      </c>
      <c r="T89" s="43">
        <f>IF(Q89=1,A89,"")</f>
        <v/>
      </c>
    </row>
    <row r="90">
      <c r="A90" s="36">
        <f>A89+1</f>
        <v/>
      </c>
      <c r="B90" s="37">
        <f>IF(A90="","",TEXT(A90,"ddd"))</f>
        <v/>
      </c>
      <c r="C90" s="38" t="n">
        <v>2</v>
      </c>
      <c r="D90" s="38" t="n">
        <v>2</v>
      </c>
      <c r="E90" s="38" t="n">
        <v>9</v>
      </c>
      <c r="F90" s="38" t="n">
        <v>4</v>
      </c>
      <c r="G90" s="38" t="n">
        <v>3</v>
      </c>
      <c r="H90" s="38" t="n">
        <v>2</v>
      </c>
      <c r="I90" s="38" t="n">
        <v>1</v>
      </c>
      <c r="J90" s="38" t="n">
        <v>0</v>
      </c>
      <c r="K90" s="38" t="n">
        <v>0</v>
      </c>
      <c r="L90" s="39" t="n">
        <v>0</v>
      </c>
      <c r="M90" s="39" t="n">
        <v>0</v>
      </c>
      <c r="N90" s="38" t="n">
        <v>4591</v>
      </c>
      <c r="O90" s="40">
        <f>IF($Q90=0,"",IF(C90&gt;=C$2,1,0)+IF(D90&gt;=D$2,1,0)+IF(E90&gt;=E$2,1,0)+IF(F90&gt;=F$2,1,0))</f>
        <v/>
      </c>
      <c r="P90" s="41" t="n"/>
      <c r="Q90" s="42">
        <f>IF(COUNT(C90:M90)&gt;0,1,0)</f>
        <v/>
      </c>
      <c r="R90" s="42">
        <f>IF(Q90=0,0,R89+1)</f>
        <v/>
      </c>
      <c r="S90" s="42">
        <f>IF(O90="",0,IF(O90=4,S89+1,0))</f>
        <v/>
      </c>
      <c r="T90" s="43">
        <f>IF(Q90=1,A90,"")</f>
        <v/>
      </c>
    </row>
    <row r="91">
      <c r="A91" s="36">
        <f>A90+1</f>
        <v/>
      </c>
      <c r="B91" s="37">
        <f>IF(A91="","",TEXT(A91,"ddd"))</f>
        <v/>
      </c>
      <c r="C91" s="38" t="n">
        <v>3</v>
      </c>
      <c r="D91" s="38" t="n">
        <v>2</v>
      </c>
      <c r="E91" s="38" t="n">
        <v>9</v>
      </c>
      <c r="F91" s="38" t="n">
        <v>5</v>
      </c>
      <c r="G91" s="38" t="n">
        <v>3</v>
      </c>
      <c r="H91" s="38" t="n">
        <v>2</v>
      </c>
      <c r="I91" s="38" t="n">
        <v>1</v>
      </c>
      <c r="J91" s="38" t="n">
        <v>0</v>
      </c>
      <c r="K91" s="38" t="n">
        <v>0</v>
      </c>
      <c r="L91" s="39" t="n">
        <v>0</v>
      </c>
      <c r="M91" s="39" t="n">
        <v>0</v>
      </c>
      <c r="N91" s="38" t="n">
        <v>4600</v>
      </c>
      <c r="O91" s="40">
        <f>IF($Q91=0,"",IF(C91&gt;=C$2,1,0)+IF(D91&gt;=D$2,1,0)+IF(E91&gt;=E$2,1,0)+IF(F91&gt;=F$2,1,0))</f>
        <v/>
      </c>
      <c r="P91" s="41" t="n"/>
      <c r="Q91" s="42">
        <f>IF(COUNT(C91:M91)&gt;0,1,0)</f>
        <v/>
      </c>
      <c r="R91" s="42">
        <f>IF(Q91=0,0,R90+1)</f>
        <v/>
      </c>
      <c r="S91" s="42">
        <f>IF(O91="",0,IF(O91=4,S90+1,0))</f>
        <v/>
      </c>
      <c r="T91" s="43">
        <f>IF(Q91=1,A91,"")</f>
        <v/>
      </c>
    </row>
    <row r="92">
      <c r="A92" s="36">
        <f>A91+1</f>
        <v/>
      </c>
      <c r="B92" s="37">
        <f>IF(A92="","",TEXT(A92,"ddd"))</f>
        <v/>
      </c>
      <c r="C92" s="38" t="n">
        <v>6</v>
      </c>
      <c r="D92" s="38" t="n">
        <v>6</v>
      </c>
      <c r="E92" s="38" t="n">
        <v>24</v>
      </c>
      <c r="F92" s="38" t="n">
        <v>15</v>
      </c>
      <c r="G92" s="38" t="n">
        <v>6</v>
      </c>
      <c r="H92" s="38" t="n">
        <v>3</v>
      </c>
      <c r="I92" s="38" t="n">
        <v>1</v>
      </c>
      <c r="J92" s="38" t="n">
        <v>1</v>
      </c>
      <c r="K92" s="38" t="n">
        <v>1</v>
      </c>
      <c r="L92" s="39" t="n">
        <v>2000</v>
      </c>
      <c r="M92" s="39" t="n">
        <v>2000</v>
      </c>
      <c r="N92" s="38" t="n">
        <v>4620</v>
      </c>
      <c r="O92" s="40">
        <f>IF($Q92=0,"",IF(C92&gt;=C$2,1,0)+IF(D92&gt;=D$2,1,0)+IF(E92&gt;=E$2,1,0)+IF(F92&gt;=F$2,1,0))</f>
        <v/>
      </c>
      <c r="P92" s="41" t="n"/>
      <c r="Q92" s="42">
        <f>IF(COUNT(C92:M92)&gt;0,1,0)</f>
        <v/>
      </c>
      <c r="R92" s="42">
        <f>IF(Q92=0,0,R91+1)</f>
        <v/>
      </c>
      <c r="S92" s="42">
        <f>IF(O92="",0,IF(O92=4,S91+1,0))</f>
        <v/>
      </c>
      <c r="T92" s="43">
        <f>IF(Q92=1,A92,"")</f>
        <v/>
      </c>
    </row>
    <row r="93">
      <c r="A93" s="36">
        <f>A92+1</f>
        <v/>
      </c>
      <c r="B93" s="37">
        <f>IF(A93="","",TEXT(A93,"ddd"))</f>
        <v/>
      </c>
      <c r="C93" s="38" t="n">
        <v>8</v>
      </c>
      <c r="D93" s="38" t="n">
        <v>7</v>
      </c>
      <c r="E93" s="38" t="n">
        <v>25</v>
      </c>
      <c r="F93" s="38" t="n">
        <v>13</v>
      </c>
      <c r="G93" s="38" t="n">
        <v>10</v>
      </c>
      <c r="H93" s="38" t="n">
        <v>5</v>
      </c>
      <c r="I93" s="38" t="n">
        <v>2</v>
      </c>
      <c r="J93" s="38" t="n">
        <v>1</v>
      </c>
      <c r="K93" s="38" t="n">
        <v>0</v>
      </c>
      <c r="L93" s="39" t="n">
        <v>0</v>
      </c>
      <c r="M93" s="39" t="n">
        <v>0</v>
      </c>
      <c r="N93" s="38" t="n">
        <v>4650</v>
      </c>
      <c r="O93" s="40">
        <f>IF($Q93=0,"",IF(C93&gt;=C$2,1,0)+IF(D93&gt;=D$2,1,0)+IF(E93&gt;=E$2,1,0)+IF(F93&gt;=F$2,1,0))</f>
        <v/>
      </c>
      <c r="P93" s="41" t="n"/>
      <c r="Q93" s="42">
        <f>IF(COUNT(C93:M93)&gt;0,1,0)</f>
        <v/>
      </c>
      <c r="R93" s="42">
        <f>IF(Q93=0,0,R92+1)</f>
        <v/>
      </c>
      <c r="S93" s="42">
        <f>IF(O93="",0,IF(O93=4,S92+1,0))</f>
        <v/>
      </c>
      <c r="T93" s="43">
        <f>IF(Q93=1,A93,"")</f>
        <v/>
      </c>
    </row>
    <row r="94">
      <c r="A94" s="36">
        <f>A93+1</f>
        <v/>
      </c>
      <c r="B94" s="37">
        <f>IF(A94="","",TEXT(A94,"ddd"))</f>
        <v/>
      </c>
      <c r="C94" s="38" t="n">
        <v>7</v>
      </c>
      <c r="D94" s="38" t="n">
        <v>6</v>
      </c>
      <c r="E94" s="38" t="n">
        <v>27</v>
      </c>
      <c r="F94" s="38" t="n">
        <v>13</v>
      </c>
      <c r="G94" s="38" t="n">
        <v>8</v>
      </c>
      <c r="H94" s="38" t="n">
        <v>4</v>
      </c>
      <c r="I94" s="38" t="n">
        <v>2</v>
      </c>
      <c r="J94" s="38" t="n">
        <v>2</v>
      </c>
      <c r="K94" s="38" t="n">
        <v>1</v>
      </c>
      <c r="L94" s="39" t="n">
        <v>2000</v>
      </c>
      <c r="M94" s="39" t="n">
        <v>2000</v>
      </c>
      <c r="N94" s="38" t="n">
        <v>4671</v>
      </c>
      <c r="O94" s="40">
        <f>IF($Q94=0,"",IF(C94&gt;=C$2,1,0)+IF(D94&gt;=D$2,1,0)+IF(E94&gt;=E$2,1,0)+IF(F94&gt;=F$2,1,0))</f>
        <v/>
      </c>
      <c r="P94" s="41" t="n"/>
      <c r="Q94" s="42">
        <f>IF(COUNT(C94:M94)&gt;0,1,0)</f>
        <v/>
      </c>
      <c r="R94" s="42">
        <f>IF(Q94=0,0,R93+1)</f>
        <v/>
      </c>
      <c r="S94" s="42">
        <f>IF(O94="",0,IF(O94=4,S93+1,0))</f>
        <v/>
      </c>
      <c r="T94" s="43">
        <f>IF(Q94=1,A94,"")</f>
        <v/>
      </c>
    </row>
    <row r="95">
      <c r="A95" s="36">
        <f>A94+1</f>
        <v/>
      </c>
      <c r="B95" s="37">
        <f>IF(A95="","",TEXT(A95,"ddd"))</f>
        <v/>
      </c>
      <c r="C95" s="38" t="n">
        <v>8</v>
      </c>
      <c r="D95" s="38" t="n">
        <v>6</v>
      </c>
      <c r="E95" s="38" t="n">
        <v>29</v>
      </c>
      <c r="F95" s="38" t="n">
        <v>12</v>
      </c>
      <c r="G95" s="38" t="n">
        <v>10</v>
      </c>
      <c r="H95" s="38" t="n">
        <v>5</v>
      </c>
      <c r="I95" s="38" t="n">
        <v>2</v>
      </c>
      <c r="J95" s="38" t="n">
        <v>2</v>
      </c>
      <c r="K95" s="38" t="n">
        <v>1</v>
      </c>
      <c r="L95" s="39" t="n">
        <v>1500</v>
      </c>
      <c r="M95" s="39" t="n">
        <v>1500</v>
      </c>
      <c r="N95" s="38" t="n">
        <v>4689</v>
      </c>
      <c r="O95" s="40">
        <f>IF($Q95=0,"",IF(C95&gt;=C$2,1,0)+IF(D95&gt;=D$2,1,0)+IF(E95&gt;=E$2,1,0)+IF(F95&gt;=F$2,1,0))</f>
        <v/>
      </c>
      <c r="P95" s="41" t="n"/>
      <c r="Q95" s="42">
        <f>IF(COUNT(C95:M95)&gt;0,1,0)</f>
        <v/>
      </c>
      <c r="R95" s="42">
        <f>IF(Q95=0,0,R94+1)</f>
        <v/>
      </c>
      <c r="S95" s="42">
        <f>IF(O95="",0,IF(O95=4,S94+1,0))</f>
        <v/>
      </c>
      <c r="T95" s="43">
        <f>IF(Q95=1,A95,"")</f>
        <v/>
      </c>
    </row>
    <row r="96">
      <c r="A96" s="36">
        <f>A95+1</f>
        <v/>
      </c>
      <c r="B96" s="37">
        <f>IF(A96="","",TEXT(A96,"ddd"))</f>
        <v/>
      </c>
      <c r="C96" s="38" t="n">
        <v>6</v>
      </c>
      <c r="D96" s="38" t="n">
        <v>5</v>
      </c>
      <c r="E96" s="38" t="n">
        <v>27</v>
      </c>
      <c r="F96" s="38" t="n">
        <v>11</v>
      </c>
      <c r="G96" s="38" t="n">
        <v>8</v>
      </c>
      <c r="H96" s="38" t="n">
        <v>5</v>
      </c>
      <c r="I96" s="38" t="n">
        <v>2</v>
      </c>
      <c r="J96" s="38" t="n">
        <v>1</v>
      </c>
      <c r="K96" s="38" t="n">
        <v>1</v>
      </c>
      <c r="L96" s="39" t="n">
        <v>2000</v>
      </c>
      <c r="M96" s="39" t="n">
        <v>3500</v>
      </c>
      <c r="N96" s="38" t="n">
        <v>4700</v>
      </c>
      <c r="O96" s="40">
        <f>IF($Q96=0,"",IF(C96&gt;=C$2,1,0)+IF(D96&gt;=D$2,1,0)+IF(E96&gt;=E$2,1,0)+IF(F96&gt;=F$2,1,0))</f>
        <v/>
      </c>
      <c r="P96" s="41" t="n"/>
      <c r="Q96" s="42">
        <f>IF(COUNT(C96:M96)&gt;0,1,0)</f>
        <v/>
      </c>
      <c r="R96" s="42">
        <f>IF(Q96=0,0,R95+1)</f>
        <v/>
      </c>
      <c r="S96" s="42">
        <f>IF(O96="",0,IF(O96=4,S95+1,0))</f>
        <v/>
      </c>
      <c r="T96" s="43">
        <f>IF(Q96=1,A96,"")</f>
        <v/>
      </c>
    </row>
    <row r="97">
      <c r="A97" s="36">
        <f>A96+1</f>
        <v/>
      </c>
      <c r="B97" s="37">
        <f>IF(A97="","",TEXT(A97,"ddd"))</f>
        <v/>
      </c>
      <c r="C97" s="38" t="n">
        <v>2</v>
      </c>
      <c r="D97" s="38" t="n">
        <v>2</v>
      </c>
      <c r="E97" s="38" t="n">
        <v>9</v>
      </c>
      <c r="F97" s="38" t="n">
        <v>4</v>
      </c>
      <c r="G97" s="38" t="n">
        <v>3</v>
      </c>
      <c r="H97" s="38" t="n">
        <v>1</v>
      </c>
      <c r="I97" s="38" t="n">
        <v>0</v>
      </c>
      <c r="J97" s="38" t="n">
        <v>2</v>
      </c>
      <c r="K97" s="38" t="n">
        <v>1</v>
      </c>
      <c r="L97" s="39" t="n">
        <v>2000</v>
      </c>
      <c r="M97" s="39" t="n">
        <v>2000</v>
      </c>
      <c r="N97" s="38" t="n">
        <v>4725</v>
      </c>
      <c r="O97" s="40">
        <f>IF($Q97=0,"",IF(C97&gt;=C$2,1,0)+IF(D97&gt;=D$2,1,0)+IF(E97&gt;=E$2,1,0)+IF(F97&gt;=F$2,1,0))</f>
        <v/>
      </c>
      <c r="P97" s="41" t="n"/>
      <c r="Q97" s="42">
        <f>IF(COUNT(C97:M97)&gt;0,1,0)</f>
        <v/>
      </c>
      <c r="R97" s="42">
        <f>IF(Q97=0,0,R96+1)</f>
        <v/>
      </c>
      <c r="S97" s="42">
        <f>IF(O97="",0,IF(O97=4,S96+1,0))</f>
        <v/>
      </c>
      <c r="T97" s="43">
        <f>IF(Q97=1,A97,"")</f>
        <v/>
      </c>
    </row>
    <row r="98">
      <c r="A98" s="36">
        <f>A97+1</f>
        <v/>
      </c>
      <c r="B98" s="37">
        <f>IF(A98="","",TEXT(A98,"ddd"))</f>
        <v/>
      </c>
      <c r="C98" s="38" t="n">
        <v>2</v>
      </c>
      <c r="D98" s="38" t="n">
        <v>2</v>
      </c>
      <c r="E98" s="38" t="n">
        <v>9</v>
      </c>
      <c r="F98" s="38" t="n">
        <v>5</v>
      </c>
      <c r="G98" s="38" t="n">
        <v>3</v>
      </c>
      <c r="H98" s="38" t="n">
        <v>2</v>
      </c>
      <c r="I98" s="38" t="n">
        <v>1</v>
      </c>
      <c r="J98" s="38" t="n">
        <v>0</v>
      </c>
      <c r="K98" s="38" t="n">
        <v>0</v>
      </c>
      <c r="L98" s="39" t="n">
        <v>0</v>
      </c>
      <c r="M98" s="39" t="n">
        <v>0</v>
      </c>
      <c r="N98" s="38" t="n">
        <v>4749</v>
      </c>
      <c r="O98" s="40">
        <f>IF($Q98=0,"",IF(C98&gt;=C$2,1,0)+IF(D98&gt;=D$2,1,0)+IF(E98&gt;=E$2,1,0)+IF(F98&gt;=F$2,1,0))</f>
        <v/>
      </c>
      <c r="P98" s="41" t="n"/>
      <c r="Q98" s="42">
        <f>IF(COUNT(C98:M98)&gt;0,1,0)</f>
        <v/>
      </c>
      <c r="R98" s="42">
        <f>IF(Q98=0,0,R97+1)</f>
        <v/>
      </c>
      <c r="S98" s="42">
        <f>IF(O98="",0,IF(O98=4,S97+1,0))</f>
        <v/>
      </c>
      <c r="T98" s="43">
        <f>IF(Q98=1,A98,"")</f>
        <v/>
      </c>
    </row>
    <row r="99">
      <c r="A99" s="36">
        <f>A98+1</f>
        <v/>
      </c>
      <c r="B99" s="37">
        <f>IF(A99="","",TEXT(A99,"ddd"))</f>
        <v/>
      </c>
      <c r="C99" s="38" t="n">
        <v>7</v>
      </c>
      <c r="D99" s="38" t="n">
        <v>7</v>
      </c>
      <c r="E99" s="38" t="n">
        <v>29</v>
      </c>
      <c r="F99" s="38" t="n">
        <v>11</v>
      </c>
      <c r="G99" s="38" t="n">
        <v>10</v>
      </c>
      <c r="H99" s="38" t="n">
        <v>8</v>
      </c>
      <c r="I99" s="38" t="n">
        <v>3</v>
      </c>
      <c r="J99" s="38" t="n">
        <v>0</v>
      </c>
      <c r="K99" s="38" t="n">
        <v>0</v>
      </c>
      <c r="L99" s="39" t="n">
        <v>0</v>
      </c>
      <c r="M99" s="39" t="n">
        <v>0</v>
      </c>
      <c r="N99" s="38" t="n">
        <v>4779</v>
      </c>
      <c r="O99" s="40">
        <f>IF($Q99=0,"",IF(C99&gt;=C$2,1,0)+IF(D99&gt;=D$2,1,0)+IF(E99&gt;=E$2,1,0)+IF(F99&gt;=F$2,1,0))</f>
        <v/>
      </c>
      <c r="P99" s="41" t="n"/>
      <c r="Q99" s="42">
        <f>IF(COUNT(C99:M99)&gt;0,1,0)</f>
        <v/>
      </c>
      <c r="R99" s="42">
        <f>IF(Q99=0,0,R98+1)</f>
        <v/>
      </c>
      <c r="S99" s="42">
        <f>IF(O99="",0,IF(O99=4,S98+1,0))</f>
        <v/>
      </c>
      <c r="T99" s="43">
        <f>IF(Q99=1,A99,"")</f>
        <v/>
      </c>
    </row>
    <row r="100">
      <c r="A100" s="36">
        <f>A99+1</f>
        <v/>
      </c>
      <c r="B100" s="37">
        <f>IF(A100="","",TEXT(A100,"ddd"))</f>
        <v/>
      </c>
      <c r="C100" s="38" t="n">
        <v>7</v>
      </c>
      <c r="D100" s="38" t="n">
        <v>5</v>
      </c>
      <c r="E100" s="38" t="n">
        <v>29</v>
      </c>
      <c r="F100" s="38" t="n">
        <v>14</v>
      </c>
      <c r="G100" s="38" t="n">
        <v>11</v>
      </c>
      <c r="H100" s="38" t="n">
        <v>8</v>
      </c>
      <c r="I100" s="38" t="n">
        <v>4</v>
      </c>
      <c r="J100" s="38" t="n">
        <v>3</v>
      </c>
      <c r="K100" s="38" t="n">
        <v>0</v>
      </c>
      <c r="L100" s="39" t="n">
        <v>0</v>
      </c>
      <c r="M100" s="39" t="n">
        <v>0</v>
      </c>
      <c r="N100" s="38" t="n">
        <v>4792</v>
      </c>
      <c r="O100" s="40">
        <f>IF($Q100=0,"",IF(C100&gt;=C$2,1,0)+IF(D100&gt;=D$2,1,0)+IF(E100&gt;=E$2,1,0)+IF(F100&gt;=F$2,1,0))</f>
        <v/>
      </c>
      <c r="P100" s="41" t="n"/>
      <c r="Q100" s="42">
        <f>IF(COUNT(C100:M100)&gt;0,1,0)</f>
        <v/>
      </c>
      <c r="R100" s="42">
        <f>IF(Q100=0,0,R99+1)</f>
        <v/>
      </c>
      <c r="S100" s="42">
        <f>IF(O100="",0,IF(O100=4,S99+1,0))</f>
        <v/>
      </c>
      <c r="T100" s="43">
        <f>IF(Q100=1,A100,"")</f>
        <v/>
      </c>
    </row>
    <row r="101">
      <c r="A101" s="36">
        <f>A100+1</f>
        <v/>
      </c>
      <c r="B101" s="37">
        <f>IF(A101="","",TEXT(A101,"ddd"))</f>
        <v/>
      </c>
      <c r="C101" s="38" t="n">
        <v>6</v>
      </c>
      <c r="D101" s="38" t="n">
        <v>7</v>
      </c>
      <c r="E101" s="38" t="n">
        <v>24</v>
      </c>
      <c r="F101" s="38" t="n">
        <v>14</v>
      </c>
      <c r="G101" s="38" t="n">
        <v>9</v>
      </c>
      <c r="H101" s="38" t="n">
        <v>5</v>
      </c>
      <c r="I101" s="38" t="n">
        <v>2</v>
      </c>
      <c r="J101" s="38" t="n">
        <v>3</v>
      </c>
      <c r="K101" s="38" t="n">
        <v>1</v>
      </c>
      <c r="L101" s="39" t="n">
        <v>2000</v>
      </c>
      <c r="M101" s="39" t="n">
        <v>2000</v>
      </c>
      <c r="N101" s="38" t="n">
        <v>4815</v>
      </c>
      <c r="O101" s="40">
        <f>IF($Q101=0,"",IF(C101&gt;=C$2,1,0)+IF(D101&gt;=D$2,1,0)+IF(E101&gt;=E$2,1,0)+IF(F101&gt;=F$2,1,0))</f>
        <v/>
      </c>
      <c r="P101" s="41" t="n"/>
      <c r="Q101" s="42">
        <f>IF(COUNT(C101:M101)&gt;0,1,0)</f>
        <v/>
      </c>
      <c r="R101" s="42">
        <f>IF(Q101=0,0,R100+1)</f>
        <v/>
      </c>
      <c r="S101" s="42">
        <f>IF(O101="",0,IF(O101=4,S100+1,0))</f>
        <v/>
      </c>
      <c r="T101" s="43">
        <f>IF(Q101=1,A101,"")</f>
        <v/>
      </c>
    </row>
    <row r="102">
      <c r="A102" s="36">
        <f>A101+1</f>
        <v/>
      </c>
      <c r="B102" s="37">
        <f>IF(A102="","",TEXT(A102,"ddd"))</f>
        <v/>
      </c>
      <c r="C102" s="38" t="n">
        <v>6</v>
      </c>
      <c r="D102" s="38" t="n">
        <v>7</v>
      </c>
      <c r="E102" s="38" t="n">
        <v>26</v>
      </c>
      <c r="F102" s="38" t="n">
        <v>11</v>
      </c>
      <c r="G102" s="38" t="n">
        <v>7</v>
      </c>
      <c r="H102" s="38" t="n">
        <v>3</v>
      </c>
      <c r="I102" s="38" t="n">
        <v>1</v>
      </c>
      <c r="J102" s="38" t="n">
        <v>2</v>
      </c>
      <c r="K102" s="38" t="n">
        <v>0</v>
      </c>
      <c r="L102" s="39" t="n">
        <v>0</v>
      </c>
      <c r="M102" s="39" t="n">
        <v>0</v>
      </c>
      <c r="N102" s="38" t="n">
        <v>4838</v>
      </c>
      <c r="O102" s="40">
        <f>IF($Q102=0,"",IF(C102&gt;=C$2,1,0)+IF(D102&gt;=D$2,1,0)+IF(E102&gt;=E$2,1,0)+IF(F102&gt;=F$2,1,0))</f>
        <v/>
      </c>
      <c r="P102" s="41" t="n"/>
      <c r="Q102" s="42">
        <f>IF(COUNT(C102:M102)&gt;0,1,0)</f>
        <v/>
      </c>
      <c r="R102" s="42">
        <f>IF(Q102=0,0,R101+1)</f>
        <v/>
      </c>
      <c r="S102" s="42">
        <f>IF(O102="",0,IF(O102=4,S101+1,0))</f>
        <v/>
      </c>
      <c r="T102" s="43">
        <f>IF(Q102=1,A102,"")</f>
        <v/>
      </c>
    </row>
    <row r="103">
      <c r="A103" s="36">
        <f>A102+1</f>
        <v/>
      </c>
      <c r="B103" s="37">
        <f>IF(A103="","",TEXT(A103,"ddd"))</f>
        <v/>
      </c>
      <c r="C103" s="38" t="n">
        <v>6</v>
      </c>
      <c r="D103" s="38" t="n">
        <v>6</v>
      </c>
      <c r="E103" s="38" t="n">
        <v>26</v>
      </c>
      <c r="F103" s="38" t="n">
        <v>12</v>
      </c>
      <c r="G103" s="38" t="n">
        <v>10</v>
      </c>
      <c r="H103" s="38" t="n">
        <v>8</v>
      </c>
      <c r="I103" s="38" t="n">
        <v>3</v>
      </c>
      <c r="J103" s="38" t="n">
        <v>0</v>
      </c>
      <c r="K103" s="38" t="n">
        <v>0</v>
      </c>
      <c r="L103" s="39" t="n">
        <v>0</v>
      </c>
      <c r="M103" s="39" t="n">
        <v>0</v>
      </c>
      <c r="N103" s="38" t="n">
        <v>4864</v>
      </c>
      <c r="O103" s="40">
        <f>IF($Q103=0,"",IF(C103&gt;=C$2,1,0)+IF(D103&gt;=D$2,1,0)+IF(E103&gt;=E$2,1,0)+IF(F103&gt;=F$2,1,0))</f>
        <v/>
      </c>
      <c r="P103" s="41" t="n"/>
      <c r="Q103" s="42">
        <f>IF(COUNT(C103:M103)&gt;0,1,0)</f>
        <v/>
      </c>
      <c r="R103" s="42">
        <f>IF(Q103=0,0,R102+1)</f>
        <v/>
      </c>
      <c r="S103" s="42">
        <f>IF(O103="",0,IF(O103=4,S102+1,0))</f>
        <v/>
      </c>
      <c r="T103" s="43">
        <f>IF(Q103=1,A103,"")</f>
        <v/>
      </c>
    </row>
    <row r="104">
      <c r="A104" s="36">
        <f>A103+1</f>
        <v/>
      </c>
      <c r="B104" s="37">
        <f>IF(A104="","",TEXT(A104,"ddd"))</f>
        <v/>
      </c>
      <c r="C104" s="38" t="n">
        <v>2</v>
      </c>
      <c r="D104" s="38" t="n">
        <v>2</v>
      </c>
      <c r="E104" s="38" t="n">
        <v>9</v>
      </c>
      <c r="F104" s="38" t="n">
        <v>5</v>
      </c>
      <c r="G104" s="38" t="n">
        <v>4</v>
      </c>
      <c r="H104" s="38" t="n">
        <v>2</v>
      </c>
      <c r="I104" s="38" t="n">
        <v>1</v>
      </c>
      <c r="J104" s="38" t="n">
        <v>2</v>
      </c>
      <c r="K104" s="38" t="n">
        <v>1</v>
      </c>
      <c r="L104" s="39" t="n">
        <v>2000</v>
      </c>
      <c r="M104" s="39" t="n">
        <v>2000</v>
      </c>
      <c r="N104" s="38" t="n">
        <v>4889</v>
      </c>
      <c r="O104" s="40">
        <f>IF($Q104=0,"",IF(C104&gt;=C$2,1,0)+IF(D104&gt;=D$2,1,0)+IF(E104&gt;=E$2,1,0)+IF(F104&gt;=F$2,1,0))</f>
        <v/>
      </c>
      <c r="P104" s="41" t="n"/>
      <c r="Q104" s="42">
        <f>IF(COUNT(C104:M104)&gt;0,1,0)</f>
        <v/>
      </c>
      <c r="R104" s="42">
        <f>IF(Q104=0,0,R103+1)</f>
        <v/>
      </c>
      <c r="S104" s="42">
        <f>IF(O104="",0,IF(O104=4,S103+1,0))</f>
        <v/>
      </c>
      <c r="T104" s="43">
        <f>IF(Q104=1,A104,"")</f>
        <v/>
      </c>
    </row>
    <row r="105">
      <c r="A105" s="36">
        <f>A104+1</f>
        <v/>
      </c>
      <c r="B105" s="37">
        <f>IF(A105="","",TEXT(A105,"ddd"))</f>
        <v/>
      </c>
      <c r="C105" s="38" t="n">
        <v>2</v>
      </c>
      <c r="D105" s="38" t="n">
        <v>2</v>
      </c>
      <c r="E105" s="38" t="n">
        <v>10</v>
      </c>
      <c r="F105" s="38" t="n">
        <v>4</v>
      </c>
      <c r="G105" s="38" t="n">
        <v>4</v>
      </c>
      <c r="H105" s="38" t="n">
        <v>3</v>
      </c>
      <c r="I105" s="38" t="n">
        <v>1</v>
      </c>
      <c r="J105" s="38" t="n">
        <v>1</v>
      </c>
      <c r="K105" s="38" t="n">
        <v>1</v>
      </c>
      <c r="L105" s="39" t="n">
        <v>3000</v>
      </c>
      <c r="M105" s="39" t="n">
        <v>4500</v>
      </c>
      <c r="N105" s="38" t="n">
        <v>4903</v>
      </c>
      <c r="O105" s="40">
        <f>IF($Q105=0,"",IF(C105&gt;=C$2,1,0)+IF(D105&gt;=D$2,1,0)+IF(E105&gt;=E$2,1,0)+IF(F105&gt;=F$2,1,0))</f>
        <v/>
      </c>
      <c r="P105" s="41" t="n"/>
      <c r="Q105" s="42">
        <f>IF(COUNT(C105:M105)&gt;0,1,0)</f>
        <v/>
      </c>
      <c r="R105" s="42">
        <f>IF(Q105=0,0,R104+1)</f>
        <v/>
      </c>
      <c r="S105" s="42">
        <f>IF(O105="",0,IF(O105=4,S104+1,0))</f>
        <v/>
      </c>
      <c r="T105" s="43">
        <f>IF(Q105=1,A105,"")</f>
        <v/>
      </c>
    </row>
    <row r="106">
      <c r="A106" s="36">
        <f>A105+1</f>
        <v/>
      </c>
      <c r="B106" s="37">
        <f>IF(A106="","",TEXT(A106,"ddd"))</f>
        <v/>
      </c>
      <c r="C106" s="38" t="n">
        <v>7</v>
      </c>
      <c r="D106" s="38" t="n">
        <v>5</v>
      </c>
      <c r="E106" s="38" t="n">
        <v>29</v>
      </c>
      <c r="F106" s="38" t="n">
        <v>13</v>
      </c>
      <c r="G106" s="38" t="n">
        <v>7</v>
      </c>
      <c r="H106" s="38" t="n">
        <v>5</v>
      </c>
      <c r="I106" s="38" t="n">
        <v>2</v>
      </c>
      <c r="J106" s="38" t="n">
        <v>1</v>
      </c>
      <c r="K106" s="38" t="n">
        <v>0</v>
      </c>
      <c r="L106" s="39" t="n">
        <v>0</v>
      </c>
      <c r="M106" s="39" t="n">
        <v>0</v>
      </c>
      <c r="N106" s="38" t="n">
        <v>4931</v>
      </c>
      <c r="O106" s="40">
        <f>IF($Q106=0,"",IF(C106&gt;=C$2,1,0)+IF(D106&gt;=D$2,1,0)+IF(E106&gt;=E$2,1,0)+IF(F106&gt;=F$2,1,0))</f>
        <v/>
      </c>
      <c r="P106" s="41" t="n"/>
      <c r="Q106" s="42">
        <f>IF(COUNT(C106:M106)&gt;0,1,0)</f>
        <v/>
      </c>
      <c r="R106" s="42">
        <f>IF(Q106=0,0,R105+1)</f>
        <v/>
      </c>
      <c r="S106" s="42">
        <f>IF(O106="",0,IF(O106=4,S105+1,0))</f>
        <v/>
      </c>
      <c r="T106" s="43">
        <f>IF(Q106=1,A106,"")</f>
        <v/>
      </c>
    </row>
    <row r="107">
      <c r="A107" s="36">
        <f>A106+1</f>
        <v/>
      </c>
      <c r="B107" s="37">
        <f>IF(A107="","",TEXT(A107,"ddd"))</f>
        <v/>
      </c>
      <c r="C107" s="38" t="n">
        <v>7</v>
      </c>
      <c r="D107" s="38" t="n">
        <v>7</v>
      </c>
      <c r="E107" s="38" t="n">
        <v>27</v>
      </c>
      <c r="F107" s="38" t="n">
        <v>11</v>
      </c>
      <c r="G107" s="38" t="n">
        <v>6</v>
      </c>
      <c r="H107" s="38" t="n">
        <v>4</v>
      </c>
      <c r="I107" s="38" t="n">
        <v>1</v>
      </c>
      <c r="J107" s="38" t="n">
        <v>0</v>
      </c>
      <c r="K107" s="38" t="n">
        <v>0</v>
      </c>
      <c r="L107" s="39" t="n">
        <v>0</v>
      </c>
      <c r="M107" s="39" t="n">
        <v>0</v>
      </c>
      <c r="N107" s="38" t="n">
        <v>4944</v>
      </c>
      <c r="O107" s="40">
        <f>IF($Q107=0,"",IF(C107&gt;=C$2,1,0)+IF(D107&gt;=D$2,1,0)+IF(E107&gt;=E$2,1,0)+IF(F107&gt;=F$2,1,0))</f>
        <v/>
      </c>
      <c r="P107" s="41" t="n"/>
      <c r="Q107" s="42">
        <f>IF(COUNT(C107:M107)&gt;0,1,0)</f>
        <v/>
      </c>
      <c r="R107" s="42">
        <f>IF(Q107=0,0,R106+1)</f>
        <v/>
      </c>
      <c r="S107" s="42">
        <f>IF(O107="",0,IF(O107=4,S106+1,0))</f>
        <v/>
      </c>
      <c r="T107" s="43">
        <f>IF(Q107=1,A107,"")</f>
        <v/>
      </c>
    </row>
    <row r="108">
      <c r="A108" s="36">
        <f>A107+1</f>
        <v/>
      </c>
      <c r="B108" s="37">
        <f>IF(A108="","",TEXT(A108,"ddd"))</f>
        <v/>
      </c>
      <c r="C108" s="38" t="n">
        <v>6</v>
      </c>
      <c r="D108" s="38" t="n">
        <v>6</v>
      </c>
      <c r="E108" s="38" t="n">
        <v>25</v>
      </c>
      <c r="F108" s="38" t="n">
        <v>15</v>
      </c>
      <c r="G108" s="38" t="n">
        <v>10</v>
      </c>
      <c r="H108" s="38" t="n">
        <v>4</v>
      </c>
      <c r="I108" s="38" t="n">
        <v>1</v>
      </c>
      <c r="J108" s="38" t="n">
        <v>1</v>
      </c>
      <c r="K108" s="38" t="n">
        <v>0</v>
      </c>
      <c r="L108" s="39" t="n">
        <v>0</v>
      </c>
      <c r="M108" s="39" t="n">
        <v>0</v>
      </c>
      <c r="N108" s="38" t="n">
        <v>4971</v>
      </c>
      <c r="O108" s="40">
        <f>IF($Q108=0,"",IF(C108&gt;=C$2,1,0)+IF(D108&gt;=D$2,1,0)+IF(E108&gt;=E$2,1,0)+IF(F108&gt;=F$2,1,0))</f>
        <v/>
      </c>
      <c r="P108" s="41" t="n"/>
      <c r="Q108" s="42">
        <f>IF(COUNT(C108:M108)&gt;0,1,0)</f>
        <v/>
      </c>
      <c r="R108" s="42">
        <f>IF(Q108=0,0,R107+1)</f>
        <v/>
      </c>
      <c r="S108" s="42">
        <f>IF(O108="",0,IF(O108=4,S107+1,0))</f>
        <v/>
      </c>
      <c r="T108" s="43">
        <f>IF(Q108=1,A108,"")</f>
        <v/>
      </c>
    </row>
    <row r="109">
      <c r="A109" s="36">
        <f>A108+1</f>
        <v/>
      </c>
      <c r="B109" s="37">
        <f>IF(A109="","",TEXT(A109,"ddd"))</f>
        <v/>
      </c>
      <c r="C109" s="38" t="n">
        <v>8</v>
      </c>
      <c r="D109" s="38" t="n">
        <v>7</v>
      </c>
      <c r="E109" s="38" t="n">
        <v>25</v>
      </c>
      <c r="F109" s="38" t="n">
        <v>11</v>
      </c>
      <c r="G109" s="38" t="n">
        <v>9</v>
      </c>
      <c r="H109" s="38" t="n">
        <v>5</v>
      </c>
      <c r="I109" s="38" t="n">
        <v>2</v>
      </c>
      <c r="J109" s="38" t="n">
        <v>1</v>
      </c>
      <c r="K109" s="38" t="n">
        <v>0</v>
      </c>
      <c r="L109" s="39" t="n">
        <v>0</v>
      </c>
      <c r="M109" s="39" t="n">
        <v>0</v>
      </c>
      <c r="N109" s="38" t="n">
        <v>4986</v>
      </c>
      <c r="O109" s="40">
        <f>IF($Q109=0,"",IF(C109&gt;=C$2,1,0)+IF(D109&gt;=D$2,1,0)+IF(E109&gt;=E$2,1,0)+IF(F109&gt;=F$2,1,0))</f>
        <v/>
      </c>
      <c r="P109" s="41" t="n"/>
      <c r="Q109" s="42">
        <f>IF(COUNT(C109:M109)&gt;0,1,0)</f>
        <v/>
      </c>
      <c r="R109" s="42">
        <f>IF(Q109=0,0,R108+1)</f>
        <v/>
      </c>
      <c r="S109" s="42">
        <f>IF(O109="",0,IF(O109=4,S108+1,0))</f>
        <v/>
      </c>
      <c r="T109" s="43">
        <f>IF(Q109=1,A109,"")</f>
        <v/>
      </c>
    </row>
    <row r="110">
      <c r="A110" s="36">
        <f>A109+1</f>
        <v/>
      </c>
      <c r="B110" s="37">
        <f>IF(A110="","",TEXT(A110,"ddd"))</f>
        <v/>
      </c>
      <c r="C110" s="38" t="n">
        <v>6</v>
      </c>
      <c r="D110" s="38" t="n">
        <v>7</v>
      </c>
      <c r="E110" s="38" t="n">
        <v>26</v>
      </c>
      <c r="F110" s="38" t="n">
        <v>15</v>
      </c>
      <c r="G110" s="38" t="n">
        <v>9</v>
      </c>
      <c r="H110" s="38" t="n">
        <v>7</v>
      </c>
      <c r="I110" s="38" t="n">
        <v>3</v>
      </c>
      <c r="J110" s="38" t="n">
        <v>2</v>
      </c>
      <c r="K110" s="38" t="n">
        <v>0</v>
      </c>
      <c r="L110" s="39" t="n">
        <v>0</v>
      </c>
      <c r="M110" s="39" t="n">
        <v>0</v>
      </c>
      <c r="N110" s="38" t="n">
        <v>5016</v>
      </c>
      <c r="O110" s="40">
        <f>IF($Q110=0,"",IF(C110&gt;=C$2,1,0)+IF(D110&gt;=D$2,1,0)+IF(E110&gt;=E$2,1,0)+IF(F110&gt;=F$2,1,0))</f>
        <v/>
      </c>
      <c r="P110" s="41" t="n"/>
      <c r="Q110" s="42">
        <f>IF(COUNT(C110:M110)&gt;0,1,0)</f>
        <v/>
      </c>
      <c r="R110" s="42">
        <f>IF(Q110=0,0,R109+1)</f>
        <v/>
      </c>
      <c r="S110" s="42">
        <f>IF(O110="",0,IF(O110=4,S109+1,0))</f>
        <v/>
      </c>
      <c r="T110" s="43">
        <f>IF(Q110=1,A110,"")</f>
        <v/>
      </c>
    </row>
    <row r="111">
      <c r="A111" s="36">
        <f>A110+1</f>
        <v/>
      </c>
      <c r="B111" s="37">
        <f>IF(A111="","",TEXT(A111,"ddd"))</f>
        <v/>
      </c>
      <c r="C111" s="38" t="n">
        <v>3</v>
      </c>
      <c r="D111" s="38" t="n">
        <v>2</v>
      </c>
      <c r="E111" s="38" t="n">
        <v>9</v>
      </c>
      <c r="F111" s="38" t="n">
        <v>4</v>
      </c>
      <c r="G111" s="38" t="n">
        <v>3</v>
      </c>
      <c r="H111" s="38" t="n">
        <v>1</v>
      </c>
      <c r="I111" s="38" t="n">
        <v>0</v>
      </c>
      <c r="J111" s="38" t="n">
        <v>1</v>
      </c>
      <c r="K111" s="38" t="n">
        <v>0</v>
      </c>
      <c r="L111" s="39" t="n">
        <v>0</v>
      </c>
      <c r="M111" s="39" t="n">
        <v>0</v>
      </c>
      <c r="N111" s="38" t="n">
        <v>5025</v>
      </c>
      <c r="O111" s="40">
        <f>IF($Q111=0,"",IF(C111&gt;=C$2,1,0)+IF(D111&gt;=D$2,1,0)+IF(E111&gt;=E$2,1,0)+IF(F111&gt;=F$2,1,0))</f>
        <v/>
      </c>
      <c r="P111" s="41" t="n"/>
      <c r="Q111" s="42">
        <f>IF(COUNT(C111:M111)&gt;0,1,0)</f>
        <v/>
      </c>
      <c r="R111" s="42">
        <f>IF(Q111=0,0,R110+1)</f>
        <v/>
      </c>
      <c r="S111" s="42">
        <f>IF(O111="",0,IF(O111=4,S110+1,0))</f>
        <v/>
      </c>
      <c r="T111" s="43">
        <f>IF(Q111=1,A111,"")</f>
        <v/>
      </c>
    </row>
    <row r="112">
      <c r="A112" s="36">
        <f>A111+1</f>
        <v/>
      </c>
      <c r="B112" s="37">
        <f>IF(A112="","",TEXT(A112,"ddd"))</f>
        <v/>
      </c>
      <c r="C112" s="38" t="n">
        <v>2</v>
      </c>
      <c r="D112" s="38" t="n">
        <v>2</v>
      </c>
      <c r="E112" s="38" t="n">
        <v>10</v>
      </c>
      <c r="F112" s="38" t="n">
        <v>5</v>
      </c>
      <c r="G112" s="38" t="n">
        <v>3</v>
      </c>
      <c r="H112" s="38" t="n">
        <v>2</v>
      </c>
      <c r="I112" s="38" t="n">
        <v>1</v>
      </c>
      <c r="J112" s="38" t="n">
        <v>0</v>
      </c>
      <c r="K112" s="38" t="n">
        <v>0</v>
      </c>
      <c r="L112" s="39" t="n">
        <v>0</v>
      </c>
      <c r="M112" s="39" t="n">
        <v>0</v>
      </c>
      <c r="N112" s="38" t="n">
        <v>5034</v>
      </c>
      <c r="O112" s="40">
        <f>IF($Q112=0,"",IF(C112&gt;=C$2,1,0)+IF(D112&gt;=D$2,1,0)+IF(E112&gt;=E$2,1,0)+IF(F112&gt;=F$2,1,0))</f>
        <v/>
      </c>
      <c r="P112" s="41" t="n"/>
      <c r="Q112" s="42">
        <f>IF(COUNT(C112:M112)&gt;0,1,0)</f>
        <v/>
      </c>
      <c r="R112" s="42">
        <f>IF(Q112=0,0,R111+1)</f>
        <v/>
      </c>
      <c r="S112" s="42">
        <f>IF(O112="",0,IF(O112=4,S111+1,0))</f>
        <v/>
      </c>
      <c r="T112" s="43">
        <f>IF(Q112=1,A112,"")</f>
        <v/>
      </c>
    </row>
    <row r="113">
      <c r="A113" s="36">
        <f>A112+1</f>
        <v/>
      </c>
      <c r="B113" s="37">
        <f>IF(A113="","",TEXT(A113,"ddd"))</f>
        <v/>
      </c>
      <c r="C113" s="38" t="n">
        <v>8</v>
      </c>
      <c r="D113" s="38" t="n">
        <v>5</v>
      </c>
      <c r="E113" s="38" t="n">
        <v>27</v>
      </c>
      <c r="F113" s="38" t="n">
        <v>12</v>
      </c>
      <c r="G113" s="38" t="n">
        <v>7</v>
      </c>
      <c r="H113" s="38" t="n">
        <v>4</v>
      </c>
      <c r="I113" s="38" t="n">
        <v>1</v>
      </c>
      <c r="J113" s="38" t="n">
        <v>1</v>
      </c>
      <c r="K113" s="38" t="n">
        <v>0</v>
      </c>
      <c r="L113" s="39" t="n">
        <v>0</v>
      </c>
      <c r="M113" s="39" t="n">
        <v>0</v>
      </c>
      <c r="N113" s="38" t="n">
        <v>5055</v>
      </c>
      <c r="O113" s="40">
        <f>IF($Q113=0,"",IF(C113&gt;=C$2,1,0)+IF(D113&gt;=D$2,1,0)+IF(E113&gt;=E$2,1,0)+IF(F113&gt;=F$2,1,0))</f>
        <v/>
      </c>
      <c r="P113" s="41" t="n"/>
      <c r="Q113" s="42">
        <f>IF(COUNT(C113:M113)&gt;0,1,0)</f>
        <v/>
      </c>
      <c r="R113" s="42">
        <f>IF(Q113=0,0,R112+1)</f>
        <v/>
      </c>
      <c r="S113" s="42">
        <f>IF(O113="",0,IF(O113=4,S112+1,0))</f>
        <v/>
      </c>
      <c r="T113" s="43">
        <f>IF(Q113=1,A113,"")</f>
        <v/>
      </c>
    </row>
    <row r="114">
      <c r="A114" s="36">
        <f>A113+1</f>
        <v/>
      </c>
      <c r="B114" s="37">
        <f>IF(A114="","",TEXT(A114,"ddd"))</f>
        <v/>
      </c>
      <c r="C114" s="38" t="n">
        <v>8</v>
      </c>
      <c r="D114" s="38" t="n">
        <v>7</v>
      </c>
      <c r="E114" s="38" t="n">
        <v>23</v>
      </c>
      <c r="F114" s="38" t="n">
        <v>13</v>
      </c>
      <c r="G114" s="38" t="n">
        <v>6</v>
      </c>
      <c r="H114" s="38" t="n">
        <v>3</v>
      </c>
      <c r="I114" s="38" t="n">
        <v>1</v>
      </c>
      <c r="J114" s="38" t="n">
        <v>1</v>
      </c>
      <c r="K114" s="38" t="n">
        <v>1</v>
      </c>
      <c r="L114" s="39" t="n">
        <v>3000</v>
      </c>
      <c r="M114" s="39" t="n">
        <v>4500</v>
      </c>
      <c r="N114" s="38" t="n">
        <v>5084</v>
      </c>
      <c r="O114" s="40">
        <f>IF($Q114=0,"",IF(C114&gt;=C$2,1,0)+IF(D114&gt;=D$2,1,0)+IF(E114&gt;=E$2,1,0)+IF(F114&gt;=F$2,1,0))</f>
        <v/>
      </c>
      <c r="P114" s="41" t="n"/>
      <c r="Q114" s="42">
        <f>IF(COUNT(C114:M114)&gt;0,1,0)</f>
        <v/>
      </c>
      <c r="R114" s="42">
        <f>IF(Q114=0,0,R113+1)</f>
        <v/>
      </c>
      <c r="S114" s="42">
        <f>IF(O114="",0,IF(O114=4,S113+1,0))</f>
        <v/>
      </c>
      <c r="T114" s="43">
        <f>IF(Q114=1,A114,"")</f>
        <v/>
      </c>
    </row>
    <row r="115">
      <c r="A115" s="36">
        <f>A114+1</f>
        <v/>
      </c>
      <c r="B115" s="37">
        <f>IF(A115="","",TEXT(A115,"ddd"))</f>
        <v/>
      </c>
      <c r="C115" s="38" t="n">
        <v>7</v>
      </c>
      <c r="D115" s="38" t="n">
        <v>6</v>
      </c>
      <c r="E115" s="38" t="n">
        <v>29</v>
      </c>
      <c r="F115" s="38" t="n">
        <v>14</v>
      </c>
      <c r="G115" s="38" t="n">
        <v>6</v>
      </c>
      <c r="H115" s="38" t="n">
        <v>3</v>
      </c>
      <c r="I115" s="38" t="n">
        <v>1</v>
      </c>
      <c r="J115" s="38" t="n">
        <v>1</v>
      </c>
      <c r="K115" s="38" t="n">
        <v>0</v>
      </c>
      <c r="L115" s="39" t="n">
        <v>0</v>
      </c>
      <c r="M115" s="39" t="n">
        <v>0</v>
      </c>
      <c r="N115" s="38" t="n">
        <v>5098</v>
      </c>
      <c r="O115" s="40">
        <f>IF($Q115=0,"",IF(C115&gt;=C$2,1,0)+IF(D115&gt;=D$2,1,0)+IF(E115&gt;=E$2,1,0)+IF(F115&gt;=F$2,1,0))</f>
        <v/>
      </c>
      <c r="P115" s="41" t="n"/>
      <c r="Q115" s="42">
        <f>IF(COUNT(C115:M115)&gt;0,1,0)</f>
        <v/>
      </c>
      <c r="R115" s="42">
        <f>IF(Q115=0,0,R114+1)</f>
        <v/>
      </c>
      <c r="S115" s="42">
        <f>IF(O115="",0,IF(O115=4,S114+1,0))</f>
        <v/>
      </c>
      <c r="T115" s="43">
        <f>IF(Q115=1,A115,"")</f>
        <v/>
      </c>
    </row>
    <row r="116">
      <c r="A116" s="36">
        <f>A115+1</f>
        <v/>
      </c>
      <c r="B116" s="37">
        <f>IF(A116="","",TEXT(A116,"ddd"))</f>
        <v/>
      </c>
      <c r="C116" s="38" t="n">
        <v>6</v>
      </c>
      <c r="D116" s="38" t="n">
        <v>6</v>
      </c>
      <c r="E116" s="38" t="n">
        <v>23</v>
      </c>
      <c r="F116" s="38" t="n">
        <v>14</v>
      </c>
      <c r="G116" s="38" t="n">
        <v>8</v>
      </c>
      <c r="H116" s="38" t="n">
        <v>3</v>
      </c>
      <c r="I116" s="38" t="n">
        <v>0</v>
      </c>
      <c r="J116" s="38" t="n">
        <v>1</v>
      </c>
      <c r="K116" s="38" t="n">
        <v>1</v>
      </c>
      <c r="L116" s="39" t="n">
        <v>3000</v>
      </c>
      <c r="M116" s="39" t="n">
        <v>3000</v>
      </c>
      <c r="N116" s="38" t="n">
        <v>5117</v>
      </c>
      <c r="O116" s="40">
        <f>IF($Q116=0,"",IF(C116&gt;=C$2,1,0)+IF(D116&gt;=D$2,1,0)+IF(E116&gt;=E$2,1,0)+IF(F116&gt;=F$2,1,0))</f>
        <v/>
      </c>
      <c r="P116" s="41" t="n"/>
      <c r="Q116" s="42">
        <f>IF(COUNT(C116:M116)&gt;0,1,0)</f>
        <v/>
      </c>
      <c r="R116" s="42">
        <f>IF(Q116=0,0,R115+1)</f>
        <v/>
      </c>
      <c r="S116" s="42">
        <f>IF(O116="",0,IF(O116=4,S115+1,0))</f>
        <v/>
      </c>
      <c r="T116" s="43">
        <f>IF(Q116=1,A116,"")</f>
        <v/>
      </c>
    </row>
    <row r="117">
      <c r="A117" s="36">
        <f>A116+1</f>
        <v/>
      </c>
      <c r="B117" s="37">
        <f>IF(A117="","",TEXT(A117,"ddd"))</f>
        <v/>
      </c>
      <c r="C117" s="38" t="n">
        <v>7</v>
      </c>
      <c r="D117" s="38" t="n">
        <v>7</v>
      </c>
      <c r="E117" s="38" t="n">
        <v>24</v>
      </c>
      <c r="F117" s="38" t="n">
        <v>12</v>
      </c>
      <c r="G117" s="38" t="n">
        <v>9</v>
      </c>
      <c r="H117" s="38" t="n">
        <v>6</v>
      </c>
      <c r="I117" s="38" t="n">
        <v>1</v>
      </c>
      <c r="J117" s="38" t="n">
        <v>0</v>
      </c>
      <c r="K117" s="38" t="n">
        <v>0</v>
      </c>
      <c r="L117" s="39" t="n">
        <v>0</v>
      </c>
      <c r="M117" s="39" t="n">
        <v>0</v>
      </c>
      <c r="N117" s="38" t="n">
        <v>5136</v>
      </c>
      <c r="O117" s="40">
        <f>IF($Q117=0,"",IF(C117&gt;=C$2,1,0)+IF(D117&gt;=D$2,1,0)+IF(E117&gt;=E$2,1,0)+IF(F117&gt;=F$2,1,0))</f>
        <v/>
      </c>
      <c r="P117" s="41" t="n"/>
      <c r="Q117" s="42">
        <f>IF(COUNT(C117:M117)&gt;0,1,0)</f>
        <v/>
      </c>
      <c r="R117" s="42">
        <f>IF(Q117=0,0,R116+1)</f>
        <v/>
      </c>
      <c r="S117" s="42">
        <f>IF(O117="",0,IF(O117=4,S116+1,0))</f>
        <v/>
      </c>
      <c r="T117" s="43">
        <f>IF(Q117=1,A117,"")</f>
        <v/>
      </c>
    </row>
    <row r="118">
      <c r="A118" s="36">
        <f>A117+1</f>
        <v/>
      </c>
      <c r="B118" s="37">
        <f>IF(A118="","",TEXT(A118,"ddd"))</f>
        <v/>
      </c>
      <c r="C118" s="38" t="n">
        <v>2</v>
      </c>
      <c r="D118" s="38" t="n">
        <v>2</v>
      </c>
      <c r="E118" s="38" t="n">
        <v>8</v>
      </c>
      <c r="F118" s="38" t="n">
        <v>5</v>
      </c>
      <c r="G118" s="38" t="n">
        <v>3</v>
      </c>
      <c r="H118" s="38" t="n">
        <v>1</v>
      </c>
      <c r="I118" s="38" t="n">
        <v>0</v>
      </c>
      <c r="J118" s="38" t="n">
        <v>1</v>
      </c>
      <c r="K118" s="38" t="n">
        <v>0</v>
      </c>
      <c r="L118" s="39" t="n">
        <v>0</v>
      </c>
      <c r="M118" s="39" t="n">
        <v>0</v>
      </c>
      <c r="N118" s="38" t="n">
        <v>5161</v>
      </c>
      <c r="O118" s="40">
        <f>IF($Q118=0,"",IF(C118&gt;=C$2,1,0)+IF(D118&gt;=D$2,1,0)+IF(E118&gt;=E$2,1,0)+IF(F118&gt;=F$2,1,0))</f>
        <v/>
      </c>
      <c r="P118" s="41" t="n"/>
      <c r="Q118" s="42">
        <f>IF(COUNT(C118:M118)&gt;0,1,0)</f>
        <v/>
      </c>
      <c r="R118" s="42">
        <f>IF(Q118=0,0,R117+1)</f>
        <v/>
      </c>
      <c r="S118" s="42">
        <f>IF(O118="",0,IF(O118=4,S117+1,0))</f>
        <v/>
      </c>
      <c r="T118" s="43">
        <f>IF(Q118=1,A118,"")</f>
        <v/>
      </c>
    </row>
    <row r="119">
      <c r="A119" s="36">
        <f>A118+1</f>
        <v/>
      </c>
      <c r="B119" s="37">
        <f>IF(A119="","",TEXT(A119,"ddd"))</f>
        <v/>
      </c>
      <c r="C119" s="38" t="n">
        <v>2</v>
      </c>
      <c r="D119" s="38" t="n">
        <v>2</v>
      </c>
      <c r="E119" s="38" t="n">
        <v>9</v>
      </c>
      <c r="F119" s="38" t="n">
        <v>4</v>
      </c>
      <c r="G119" s="38" t="n">
        <v>2</v>
      </c>
      <c r="H119" s="38" t="n">
        <v>1</v>
      </c>
      <c r="I119" s="38" t="n">
        <v>0</v>
      </c>
      <c r="J119" s="38" t="n">
        <v>0</v>
      </c>
      <c r="K119" s="38" t="n">
        <v>0</v>
      </c>
      <c r="L119" s="39" t="n">
        <v>0</v>
      </c>
      <c r="M119" s="39" t="n">
        <v>0</v>
      </c>
      <c r="N119" s="38" t="n">
        <v>5182</v>
      </c>
      <c r="O119" s="40">
        <f>IF($Q119=0,"",IF(C119&gt;=C$2,1,0)+IF(D119&gt;=D$2,1,0)+IF(E119&gt;=E$2,1,0)+IF(F119&gt;=F$2,1,0))</f>
        <v/>
      </c>
      <c r="P119" s="41" t="n"/>
      <c r="Q119" s="42">
        <f>IF(COUNT(C119:M119)&gt;0,1,0)</f>
        <v/>
      </c>
      <c r="R119" s="42">
        <f>IF(Q119=0,0,R118+1)</f>
        <v/>
      </c>
      <c r="S119" s="42">
        <f>IF(O119="",0,IF(O119=4,S118+1,0))</f>
        <v/>
      </c>
      <c r="T119" s="43">
        <f>IF(Q119=1,A119,"")</f>
        <v/>
      </c>
    </row>
    <row r="120">
      <c r="A120" s="36">
        <f>A119+1</f>
        <v/>
      </c>
      <c r="B120" s="37">
        <f>IF(A120="","",TEXT(A120,"ddd"))</f>
        <v/>
      </c>
      <c r="C120" s="38" t="n">
        <v>6</v>
      </c>
      <c r="D120" s="38" t="n">
        <v>7</v>
      </c>
      <c r="E120" s="38" t="n">
        <v>25</v>
      </c>
      <c r="F120" s="38" t="n">
        <v>13</v>
      </c>
      <c r="G120" s="38" t="n">
        <v>10</v>
      </c>
      <c r="H120" s="38" t="n">
        <v>6</v>
      </c>
      <c r="I120" s="38" t="n">
        <v>1</v>
      </c>
      <c r="J120" s="38" t="n">
        <v>0</v>
      </c>
      <c r="K120" s="38" t="n">
        <v>0</v>
      </c>
      <c r="L120" s="39" t="n">
        <v>0</v>
      </c>
      <c r="M120" s="39" t="n">
        <v>0</v>
      </c>
      <c r="N120" s="38" t="n">
        <v>5208</v>
      </c>
      <c r="O120" s="40">
        <f>IF($Q120=0,"",IF(C120&gt;=C$2,1,0)+IF(D120&gt;=D$2,1,0)+IF(E120&gt;=E$2,1,0)+IF(F120&gt;=F$2,1,0))</f>
        <v/>
      </c>
      <c r="P120" s="41" t="n"/>
      <c r="Q120" s="42">
        <f>IF(COUNT(C120:M120)&gt;0,1,0)</f>
        <v/>
      </c>
      <c r="R120" s="42">
        <f>IF(Q120=0,0,R119+1)</f>
        <v/>
      </c>
      <c r="S120" s="42">
        <f>IF(O120="",0,IF(O120=4,S119+1,0))</f>
        <v/>
      </c>
      <c r="T120" s="43">
        <f>IF(Q120=1,A120,"")</f>
        <v/>
      </c>
    </row>
    <row r="121">
      <c r="A121" s="36">
        <f>A120+1</f>
        <v/>
      </c>
      <c r="B121" s="37">
        <f>IF(A121="","",TEXT(A121,"ddd"))</f>
        <v/>
      </c>
      <c r="C121" s="38" t="n">
        <v>7</v>
      </c>
      <c r="D121" s="38" t="n">
        <v>7</v>
      </c>
      <c r="E121" s="38" t="n">
        <v>24</v>
      </c>
      <c r="F121" s="38" t="n">
        <v>13</v>
      </c>
      <c r="G121" s="38" t="n">
        <v>8</v>
      </c>
      <c r="H121" s="38" t="n">
        <v>5</v>
      </c>
      <c r="I121" s="38" t="n">
        <v>1</v>
      </c>
      <c r="J121" s="38" t="n">
        <v>1</v>
      </c>
      <c r="K121" s="38" t="n">
        <v>0</v>
      </c>
      <c r="L121" s="39" t="n">
        <v>0</v>
      </c>
      <c r="M121" s="39" t="n">
        <v>0</v>
      </c>
      <c r="N121" s="38" t="n">
        <v>5239</v>
      </c>
      <c r="O121" s="40">
        <f>IF($Q121=0,"",IF(C121&gt;=C$2,1,0)+IF(D121&gt;=D$2,1,0)+IF(E121&gt;=E$2,1,0)+IF(F121&gt;=F$2,1,0))</f>
        <v/>
      </c>
      <c r="P121" s="41" t="n"/>
      <c r="Q121" s="42">
        <f>IF(COUNT(C121:M121)&gt;0,1,0)</f>
        <v/>
      </c>
      <c r="R121" s="42">
        <f>IF(Q121=0,0,R120+1)</f>
        <v/>
      </c>
      <c r="S121" s="42">
        <f>IF(O121="",0,IF(O121=4,S120+1,0))</f>
        <v/>
      </c>
      <c r="T121" s="43">
        <f>IF(Q121=1,A121,"")</f>
        <v/>
      </c>
    </row>
    <row r="122">
      <c r="A122" s="36">
        <f>A121+1</f>
        <v/>
      </c>
      <c r="B122" s="37">
        <f>IF(A122="","",TEXT(A122,"ddd"))</f>
        <v/>
      </c>
      <c r="C122" s="38" t="n">
        <v>8</v>
      </c>
      <c r="D122" s="38" t="n">
        <v>6</v>
      </c>
      <c r="E122" s="38" t="n">
        <v>27</v>
      </c>
      <c r="F122" s="38" t="n">
        <v>11</v>
      </c>
      <c r="G122" s="38" t="n">
        <v>9</v>
      </c>
      <c r="H122" s="38" t="n">
        <v>4</v>
      </c>
      <c r="I122" s="38" t="n">
        <v>0</v>
      </c>
      <c r="J122" s="38" t="n">
        <v>1</v>
      </c>
      <c r="K122" s="38" t="n">
        <v>0</v>
      </c>
      <c r="L122" s="39" t="n">
        <v>0</v>
      </c>
      <c r="M122" s="39" t="n">
        <v>0</v>
      </c>
      <c r="N122" s="38" t="n">
        <v>5270</v>
      </c>
      <c r="O122" s="40">
        <f>IF($Q122=0,"",IF(C122&gt;=C$2,1,0)+IF(D122&gt;=D$2,1,0)+IF(E122&gt;=E$2,1,0)+IF(F122&gt;=F$2,1,0))</f>
        <v/>
      </c>
      <c r="P122" s="41" t="n"/>
      <c r="Q122" s="42">
        <f>IF(COUNT(C122:M122)&gt;0,1,0)</f>
        <v/>
      </c>
      <c r="R122" s="42">
        <f>IF(Q122=0,0,R121+1)</f>
        <v/>
      </c>
      <c r="S122" s="42">
        <f>IF(O122="",0,IF(O122=4,S121+1,0))</f>
        <v/>
      </c>
      <c r="T122" s="43">
        <f>IF(Q122=1,A122,"")</f>
        <v/>
      </c>
    </row>
    <row r="123">
      <c r="A123" s="36">
        <f>A122+1</f>
        <v/>
      </c>
      <c r="B123" s="37">
        <f>IF(A123="","",TEXT(A123,"ddd"))</f>
        <v/>
      </c>
      <c r="C123" s="38" t="n"/>
      <c r="D123" s="38" t="n"/>
      <c r="E123" s="38" t="n"/>
      <c r="F123" s="38" t="n"/>
      <c r="G123" s="38" t="n"/>
      <c r="H123" s="38" t="n"/>
      <c r="I123" s="38" t="n"/>
      <c r="J123" s="38" t="n"/>
      <c r="K123" s="38" t="n"/>
      <c r="L123" s="39" t="n"/>
      <c r="M123" s="39" t="n"/>
      <c r="N123" s="38" t="n"/>
      <c r="O123" s="40">
        <f>IF($Q123=0,"",IF(C123&gt;=C$2,1,0)+IF(D123&gt;=D$2,1,0)+IF(E123&gt;=E$2,1,0)+IF(F123&gt;=F$2,1,0))</f>
        <v/>
      </c>
      <c r="P123" s="41" t="n"/>
      <c r="Q123" s="42">
        <f>IF(COUNT(C123:M123)&gt;0,1,0)</f>
        <v/>
      </c>
      <c r="R123" s="42">
        <f>IF(Q123=0,0,R122+1)</f>
        <v/>
      </c>
      <c r="S123" s="42">
        <f>IF(O123="",0,IF(O123=4,S122+1,0))</f>
        <v/>
      </c>
      <c r="T123" s="43">
        <f>IF(Q123=1,A123,"")</f>
        <v/>
      </c>
    </row>
    <row r="124">
      <c r="A124" s="36">
        <f>A123+1</f>
        <v/>
      </c>
      <c r="B124" s="37">
        <f>IF(A124="","",TEXT(A124,"ddd"))</f>
        <v/>
      </c>
      <c r="C124" s="38" t="n"/>
      <c r="D124" s="38" t="n"/>
      <c r="E124" s="38" t="n"/>
      <c r="F124" s="38" t="n"/>
      <c r="G124" s="38" t="n"/>
      <c r="H124" s="38" t="n"/>
      <c r="I124" s="38" t="n"/>
      <c r="J124" s="38" t="n"/>
      <c r="K124" s="38" t="n"/>
      <c r="L124" s="39" t="n"/>
      <c r="M124" s="39" t="n"/>
      <c r="N124" s="38" t="n"/>
      <c r="O124" s="40">
        <f>IF($Q124=0,"",IF(C124&gt;=C$2,1,0)+IF(D124&gt;=D$2,1,0)+IF(E124&gt;=E$2,1,0)+IF(F124&gt;=F$2,1,0))</f>
        <v/>
      </c>
      <c r="P124" s="41" t="n"/>
      <c r="Q124" s="42">
        <f>IF(COUNT(C124:M124)&gt;0,1,0)</f>
        <v/>
      </c>
      <c r="R124" s="42">
        <f>IF(Q124=0,0,R123+1)</f>
        <v/>
      </c>
      <c r="S124" s="42">
        <f>IF(O124="",0,IF(O124=4,S123+1,0))</f>
        <v/>
      </c>
      <c r="T124" s="43">
        <f>IF(Q124=1,A124,"")</f>
        <v/>
      </c>
    </row>
    <row r="125">
      <c r="A125" s="36">
        <f>A124+1</f>
        <v/>
      </c>
      <c r="B125" s="37">
        <f>IF(A125="","",TEXT(A125,"ddd"))</f>
        <v/>
      </c>
      <c r="C125" s="38" t="n"/>
      <c r="D125" s="38" t="n"/>
      <c r="E125" s="38" t="n"/>
      <c r="F125" s="38" t="n"/>
      <c r="G125" s="38" t="n"/>
      <c r="H125" s="38" t="n"/>
      <c r="I125" s="38" t="n"/>
      <c r="J125" s="38" t="n"/>
      <c r="K125" s="38" t="n"/>
      <c r="L125" s="39" t="n"/>
      <c r="M125" s="39" t="n"/>
      <c r="N125" s="38" t="n"/>
      <c r="O125" s="40">
        <f>IF($Q125=0,"",IF(C125&gt;=C$2,1,0)+IF(D125&gt;=D$2,1,0)+IF(E125&gt;=E$2,1,0)+IF(F125&gt;=F$2,1,0))</f>
        <v/>
      </c>
      <c r="P125" s="41" t="n"/>
      <c r="Q125" s="42">
        <f>IF(COUNT(C125:M125)&gt;0,1,0)</f>
        <v/>
      </c>
      <c r="R125" s="42">
        <f>IF(Q125=0,0,R124+1)</f>
        <v/>
      </c>
      <c r="S125" s="42">
        <f>IF(O125="",0,IF(O125=4,S124+1,0))</f>
        <v/>
      </c>
      <c r="T125" s="43">
        <f>IF(Q125=1,A125,"")</f>
        <v/>
      </c>
    </row>
    <row r="126">
      <c r="A126" s="36">
        <f>A125+1</f>
        <v/>
      </c>
      <c r="B126" s="37">
        <f>IF(A126="","",TEXT(A126,"ddd"))</f>
        <v/>
      </c>
      <c r="C126" s="38" t="n"/>
      <c r="D126" s="38" t="n"/>
      <c r="E126" s="38" t="n"/>
      <c r="F126" s="38" t="n"/>
      <c r="G126" s="38" t="n"/>
      <c r="H126" s="38" t="n"/>
      <c r="I126" s="38" t="n"/>
      <c r="J126" s="38" t="n"/>
      <c r="K126" s="38" t="n"/>
      <c r="L126" s="39" t="n"/>
      <c r="M126" s="39" t="n"/>
      <c r="N126" s="38" t="n"/>
      <c r="O126" s="40">
        <f>IF($Q126=0,"",IF(C126&gt;=C$2,1,0)+IF(D126&gt;=D$2,1,0)+IF(E126&gt;=E$2,1,0)+IF(F126&gt;=F$2,1,0))</f>
        <v/>
      </c>
      <c r="P126" s="41" t="n"/>
      <c r="Q126" s="42">
        <f>IF(COUNT(C126:M126)&gt;0,1,0)</f>
        <v/>
      </c>
      <c r="R126" s="42">
        <f>IF(Q126=0,0,R125+1)</f>
        <v/>
      </c>
      <c r="S126" s="42">
        <f>IF(O126="",0,IF(O126=4,S125+1,0))</f>
        <v/>
      </c>
      <c r="T126" s="43">
        <f>IF(Q126=1,A126,"")</f>
        <v/>
      </c>
    </row>
    <row r="127">
      <c r="A127" s="36">
        <f>A126+1</f>
        <v/>
      </c>
      <c r="B127" s="37">
        <f>IF(A127="","",TEXT(A127,"ddd"))</f>
        <v/>
      </c>
      <c r="C127" s="38" t="n"/>
      <c r="D127" s="38" t="n"/>
      <c r="E127" s="38" t="n"/>
      <c r="F127" s="38" t="n"/>
      <c r="G127" s="38" t="n"/>
      <c r="H127" s="38" t="n"/>
      <c r="I127" s="38" t="n"/>
      <c r="J127" s="38" t="n"/>
      <c r="K127" s="38" t="n"/>
      <c r="L127" s="39" t="n"/>
      <c r="M127" s="39" t="n"/>
      <c r="N127" s="38" t="n"/>
      <c r="O127" s="40">
        <f>IF($Q127=0,"",IF(C127&gt;=C$2,1,0)+IF(D127&gt;=D$2,1,0)+IF(E127&gt;=E$2,1,0)+IF(F127&gt;=F$2,1,0))</f>
        <v/>
      </c>
      <c r="P127" s="41" t="n"/>
      <c r="Q127" s="42">
        <f>IF(COUNT(C127:M127)&gt;0,1,0)</f>
        <v/>
      </c>
      <c r="R127" s="42">
        <f>IF(Q127=0,0,R126+1)</f>
        <v/>
      </c>
      <c r="S127" s="42">
        <f>IF(O127="",0,IF(O127=4,S126+1,0))</f>
        <v/>
      </c>
      <c r="T127" s="43">
        <f>IF(Q127=1,A127,"")</f>
        <v/>
      </c>
    </row>
    <row r="128">
      <c r="A128" s="36">
        <f>A127+1</f>
        <v/>
      </c>
      <c r="B128" s="37">
        <f>IF(A128="","",TEXT(A128,"ddd"))</f>
        <v/>
      </c>
      <c r="C128" s="38" t="n"/>
      <c r="D128" s="38" t="n"/>
      <c r="E128" s="38" t="n"/>
      <c r="F128" s="38" t="n"/>
      <c r="G128" s="38" t="n"/>
      <c r="H128" s="38" t="n"/>
      <c r="I128" s="38" t="n"/>
      <c r="J128" s="38" t="n"/>
      <c r="K128" s="38" t="n"/>
      <c r="L128" s="39" t="n"/>
      <c r="M128" s="39" t="n"/>
      <c r="N128" s="38" t="n"/>
      <c r="O128" s="40">
        <f>IF($Q128=0,"",IF(C128&gt;=C$2,1,0)+IF(D128&gt;=D$2,1,0)+IF(E128&gt;=E$2,1,0)+IF(F128&gt;=F$2,1,0))</f>
        <v/>
      </c>
      <c r="P128" s="41" t="n"/>
      <c r="Q128" s="42">
        <f>IF(COUNT(C128:M128)&gt;0,1,0)</f>
        <v/>
      </c>
      <c r="R128" s="42">
        <f>IF(Q128=0,0,R127+1)</f>
        <v/>
      </c>
      <c r="S128" s="42">
        <f>IF(O128="",0,IF(O128=4,S127+1,0))</f>
        <v/>
      </c>
      <c r="T128" s="43">
        <f>IF(Q128=1,A128,"")</f>
        <v/>
      </c>
    </row>
    <row r="129">
      <c r="A129" s="36">
        <f>A128+1</f>
        <v/>
      </c>
      <c r="B129" s="37">
        <f>IF(A129="","",TEXT(A129,"ddd"))</f>
        <v/>
      </c>
      <c r="C129" s="38" t="n"/>
      <c r="D129" s="38" t="n"/>
      <c r="E129" s="38" t="n"/>
      <c r="F129" s="38" t="n"/>
      <c r="G129" s="38" t="n"/>
      <c r="H129" s="38" t="n"/>
      <c r="I129" s="38" t="n"/>
      <c r="J129" s="38" t="n"/>
      <c r="K129" s="38" t="n"/>
      <c r="L129" s="39" t="n"/>
      <c r="M129" s="39" t="n"/>
      <c r="N129" s="38" t="n"/>
      <c r="O129" s="40">
        <f>IF($Q129=0,"",IF(C129&gt;=C$2,1,0)+IF(D129&gt;=D$2,1,0)+IF(E129&gt;=E$2,1,0)+IF(F129&gt;=F$2,1,0))</f>
        <v/>
      </c>
      <c r="P129" s="41" t="n"/>
      <c r="Q129" s="42">
        <f>IF(COUNT(C129:M129)&gt;0,1,0)</f>
        <v/>
      </c>
      <c r="R129" s="42">
        <f>IF(Q129=0,0,R128+1)</f>
        <v/>
      </c>
      <c r="S129" s="42">
        <f>IF(O129="",0,IF(O129=4,S128+1,0))</f>
        <v/>
      </c>
      <c r="T129" s="43">
        <f>IF(Q129=1,A129,"")</f>
        <v/>
      </c>
    </row>
    <row r="130">
      <c r="A130" s="36">
        <f>A129+1</f>
        <v/>
      </c>
      <c r="B130" s="37">
        <f>IF(A130="","",TEXT(A130,"ddd"))</f>
        <v/>
      </c>
      <c r="C130" s="38" t="n"/>
      <c r="D130" s="38" t="n"/>
      <c r="E130" s="38" t="n"/>
      <c r="F130" s="38" t="n"/>
      <c r="G130" s="38" t="n"/>
      <c r="H130" s="38" t="n"/>
      <c r="I130" s="38" t="n"/>
      <c r="J130" s="38" t="n"/>
      <c r="K130" s="38" t="n"/>
      <c r="L130" s="39" t="n"/>
      <c r="M130" s="39" t="n"/>
      <c r="N130" s="38" t="n"/>
      <c r="O130" s="40">
        <f>IF($Q130=0,"",IF(C130&gt;=C$2,1,0)+IF(D130&gt;=D$2,1,0)+IF(E130&gt;=E$2,1,0)+IF(F130&gt;=F$2,1,0))</f>
        <v/>
      </c>
      <c r="P130" s="41" t="n"/>
      <c r="Q130" s="42">
        <f>IF(COUNT(C130:M130)&gt;0,1,0)</f>
        <v/>
      </c>
      <c r="R130" s="42">
        <f>IF(Q130=0,0,R129+1)</f>
        <v/>
      </c>
      <c r="S130" s="42">
        <f>IF(O130="",0,IF(O130=4,S129+1,0))</f>
        <v/>
      </c>
      <c r="T130" s="43">
        <f>IF(Q130=1,A130,"")</f>
        <v/>
      </c>
    </row>
    <row r="131">
      <c r="A131" s="36">
        <f>A130+1</f>
        <v/>
      </c>
      <c r="B131" s="37">
        <f>IF(A131="","",TEXT(A131,"ddd"))</f>
        <v/>
      </c>
      <c r="C131" s="38" t="n"/>
      <c r="D131" s="38" t="n"/>
      <c r="E131" s="38" t="n"/>
      <c r="F131" s="38" t="n"/>
      <c r="G131" s="38" t="n"/>
      <c r="H131" s="38" t="n"/>
      <c r="I131" s="38" t="n"/>
      <c r="J131" s="38" t="n"/>
      <c r="K131" s="38" t="n"/>
      <c r="L131" s="39" t="n"/>
      <c r="M131" s="39" t="n"/>
      <c r="N131" s="38" t="n"/>
      <c r="O131" s="40">
        <f>IF($Q131=0,"",IF(C131&gt;=C$2,1,0)+IF(D131&gt;=D$2,1,0)+IF(E131&gt;=E$2,1,0)+IF(F131&gt;=F$2,1,0))</f>
        <v/>
      </c>
      <c r="P131" s="41" t="n"/>
      <c r="Q131" s="42">
        <f>IF(COUNT(C131:M131)&gt;0,1,0)</f>
        <v/>
      </c>
      <c r="R131" s="42">
        <f>IF(Q131=0,0,R130+1)</f>
        <v/>
      </c>
      <c r="S131" s="42">
        <f>IF(O131="",0,IF(O131=4,S130+1,0))</f>
        <v/>
      </c>
      <c r="T131" s="43">
        <f>IF(Q131=1,A131,"")</f>
        <v/>
      </c>
    </row>
    <row r="132">
      <c r="A132" s="36">
        <f>A131+1</f>
        <v/>
      </c>
      <c r="B132" s="37">
        <f>IF(A132="","",TEXT(A132,"ddd"))</f>
        <v/>
      </c>
      <c r="C132" s="38" t="n"/>
      <c r="D132" s="38" t="n"/>
      <c r="E132" s="38" t="n"/>
      <c r="F132" s="38" t="n"/>
      <c r="G132" s="38" t="n"/>
      <c r="H132" s="38" t="n"/>
      <c r="I132" s="38" t="n"/>
      <c r="J132" s="38" t="n"/>
      <c r="K132" s="38" t="n"/>
      <c r="L132" s="39" t="n"/>
      <c r="M132" s="39" t="n"/>
      <c r="N132" s="38" t="n"/>
      <c r="O132" s="40">
        <f>IF($Q132=0,"",IF(C132&gt;=C$2,1,0)+IF(D132&gt;=D$2,1,0)+IF(E132&gt;=E$2,1,0)+IF(F132&gt;=F$2,1,0))</f>
        <v/>
      </c>
      <c r="P132" s="41" t="n"/>
      <c r="Q132" s="42">
        <f>IF(COUNT(C132:M132)&gt;0,1,0)</f>
        <v/>
      </c>
      <c r="R132" s="42">
        <f>IF(Q132=0,0,R131+1)</f>
        <v/>
      </c>
      <c r="S132" s="42">
        <f>IF(O132="",0,IF(O132=4,S131+1,0))</f>
        <v/>
      </c>
      <c r="T132" s="43">
        <f>IF(Q132=1,A132,"")</f>
        <v/>
      </c>
    </row>
    <row r="133">
      <c r="A133" s="36">
        <f>A132+1</f>
        <v/>
      </c>
      <c r="B133" s="37">
        <f>IF(A133="","",TEXT(A133,"ddd"))</f>
        <v/>
      </c>
      <c r="C133" s="38" t="n"/>
      <c r="D133" s="38" t="n"/>
      <c r="E133" s="38" t="n"/>
      <c r="F133" s="38" t="n"/>
      <c r="G133" s="38" t="n"/>
      <c r="H133" s="38" t="n"/>
      <c r="I133" s="38" t="n"/>
      <c r="J133" s="38" t="n"/>
      <c r="K133" s="38" t="n"/>
      <c r="L133" s="39" t="n"/>
      <c r="M133" s="39" t="n"/>
      <c r="N133" s="38" t="n"/>
      <c r="O133" s="40">
        <f>IF($Q133=0,"",IF(C133&gt;=C$2,1,0)+IF(D133&gt;=D$2,1,0)+IF(E133&gt;=E$2,1,0)+IF(F133&gt;=F$2,1,0))</f>
        <v/>
      </c>
      <c r="P133" s="41" t="n"/>
      <c r="Q133" s="42">
        <f>IF(COUNT(C133:M133)&gt;0,1,0)</f>
        <v/>
      </c>
      <c r="R133" s="42">
        <f>IF(Q133=0,0,R132+1)</f>
        <v/>
      </c>
      <c r="S133" s="42">
        <f>IF(O133="",0,IF(O133=4,S132+1,0))</f>
        <v/>
      </c>
      <c r="T133" s="43">
        <f>IF(Q133=1,A133,"")</f>
        <v/>
      </c>
    </row>
    <row r="134">
      <c r="A134" s="36">
        <f>A133+1</f>
        <v/>
      </c>
      <c r="B134" s="37">
        <f>IF(A134="","",TEXT(A134,"ddd"))</f>
        <v/>
      </c>
      <c r="C134" s="38" t="n"/>
      <c r="D134" s="38" t="n"/>
      <c r="E134" s="38" t="n"/>
      <c r="F134" s="38" t="n"/>
      <c r="G134" s="38" t="n"/>
      <c r="H134" s="38" t="n"/>
      <c r="I134" s="38" t="n"/>
      <c r="J134" s="38" t="n"/>
      <c r="K134" s="38" t="n"/>
      <c r="L134" s="39" t="n"/>
      <c r="M134" s="39" t="n"/>
      <c r="N134" s="38" t="n"/>
      <c r="O134" s="40">
        <f>IF($Q134=0,"",IF(C134&gt;=C$2,1,0)+IF(D134&gt;=D$2,1,0)+IF(E134&gt;=E$2,1,0)+IF(F134&gt;=F$2,1,0))</f>
        <v/>
      </c>
      <c r="P134" s="41" t="n"/>
      <c r="Q134" s="42">
        <f>IF(COUNT(C134:M134)&gt;0,1,0)</f>
        <v/>
      </c>
      <c r="R134" s="42">
        <f>IF(Q134=0,0,R133+1)</f>
        <v/>
      </c>
      <c r="S134" s="42">
        <f>IF(O134="",0,IF(O134=4,S133+1,0))</f>
        <v/>
      </c>
      <c r="T134" s="43">
        <f>IF(Q134=1,A134,"")</f>
        <v/>
      </c>
    </row>
    <row r="135">
      <c r="A135" s="36">
        <f>A134+1</f>
        <v/>
      </c>
      <c r="B135" s="37">
        <f>IF(A135="","",TEXT(A135,"ddd"))</f>
        <v/>
      </c>
      <c r="C135" s="38" t="n"/>
      <c r="D135" s="38" t="n"/>
      <c r="E135" s="38" t="n"/>
      <c r="F135" s="38" t="n"/>
      <c r="G135" s="38" t="n"/>
      <c r="H135" s="38" t="n"/>
      <c r="I135" s="38" t="n"/>
      <c r="J135" s="38" t="n"/>
      <c r="K135" s="38" t="n"/>
      <c r="L135" s="39" t="n"/>
      <c r="M135" s="39" t="n"/>
      <c r="N135" s="38" t="n"/>
      <c r="O135" s="40">
        <f>IF($Q135=0,"",IF(C135&gt;=C$2,1,0)+IF(D135&gt;=D$2,1,0)+IF(E135&gt;=E$2,1,0)+IF(F135&gt;=F$2,1,0))</f>
        <v/>
      </c>
      <c r="P135" s="41" t="n"/>
      <c r="Q135" s="42">
        <f>IF(COUNT(C135:M135)&gt;0,1,0)</f>
        <v/>
      </c>
      <c r="R135" s="42">
        <f>IF(Q135=0,0,R134+1)</f>
        <v/>
      </c>
      <c r="S135" s="42">
        <f>IF(O135="",0,IF(O135=4,S134+1,0))</f>
        <v/>
      </c>
      <c r="T135" s="43">
        <f>IF(Q135=1,A135,"")</f>
        <v/>
      </c>
    </row>
    <row r="136">
      <c r="A136" s="36">
        <f>A135+1</f>
        <v/>
      </c>
      <c r="B136" s="37">
        <f>IF(A136="","",TEXT(A136,"ddd"))</f>
        <v/>
      </c>
      <c r="C136" s="38" t="n"/>
      <c r="D136" s="38" t="n"/>
      <c r="E136" s="38" t="n"/>
      <c r="F136" s="38" t="n"/>
      <c r="G136" s="38" t="n"/>
      <c r="H136" s="38" t="n"/>
      <c r="I136" s="38" t="n"/>
      <c r="J136" s="38" t="n"/>
      <c r="K136" s="38" t="n"/>
      <c r="L136" s="39" t="n"/>
      <c r="M136" s="39" t="n"/>
      <c r="N136" s="38" t="n"/>
      <c r="O136" s="40">
        <f>IF($Q136=0,"",IF(C136&gt;=C$2,1,0)+IF(D136&gt;=D$2,1,0)+IF(E136&gt;=E$2,1,0)+IF(F136&gt;=F$2,1,0))</f>
        <v/>
      </c>
      <c r="P136" s="41" t="n"/>
      <c r="Q136" s="42">
        <f>IF(COUNT(C136:M136)&gt;0,1,0)</f>
        <v/>
      </c>
      <c r="R136" s="42">
        <f>IF(Q136=0,0,R135+1)</f>
        <v/>
      </c>
      <c r="S136" s="42">
        <f>IF(O136="",0,IF(O136=4,S135+1,0))</f>
        <v/>
      </c>
      <c r="T136" s="43">
        <f>IF(Q136=1,A136,"")</f>
        <v/>
      </c>
    </row>
    <row r="137">
      <c r="A137" s="36">
        <f>A136+1</f>
        <v/>
      </c>
      <c r="B137" s="37">
        <f>IF(A137="","",TEXT(A137,"ddd"))</f>
        <v/>
      </c>
      <c r="C137" s="38" t="n"/>
      <c r="D137" s="38" t="n"/>
      <c r="E137" s="38" t="n"/>
      <c r="F137" s="38" t="n"/>
      <c r="G137" s="38" t="n"/>
      <c r="H137" s="38" t="n"/>
      <c r="I137" s="38" t="n"/>
      <c r="J137" s="38" t="n"/>
      <c r="K137" s="38" t="n"/>
      <c r="L137" s="39" t="n"/>
      <c r="M137" s="39" t="n"/>
      <c r="N137" s="38" t="n"/>
      <c r="O137" s="40">
        <f>IF($Q137=0,"",IF(C137&gt;=C$2,1,0)+IF(D137&gt;=D$2,1,0)+IF(E137&gt;=E$2,1,0)+IF(F137&gt;=F$2,1,0))</f>
        <v/>
      </c>
      <c r="P137" s="41" t="n"/>
      <c r="Q137" s="42">
        <f>IF(COUNT(C137:M137)&gt;0,1,0)</f>
        <v/>
      </c>
      <c r="R137" s="42">
        <f>IF(Q137=0,0,R136+1)</f>
        <v/>
      </c>
      <c r="S137" s="42">
        <f>IF(O137="",0,IF(O137=4,S136+1,0))</f>
        <v/>
      </c>
      <c r="T137" s="43">
        <f>IF(Q137=1,A137,"")</f>
        <v/>
      </c>
    </row>
    <row r="138">
      <c r="A138" s="36">
        <f>A137+1</f>
        <v/>
      </c>
      <c r="B138" s="37">
        <f>IF(A138="","",TEXT(A138,"ddd"))</f>
        <v/>
      </c>
      <c r="C138" s="38" t="n"/>
      <c r="D138" s="38" t="n"/>
      <c r="E138" s="38" t="n"/>
      <c r="F138" s="38" t="n"/>
      <c r="G138" s="38" t="n"/>
      <c r="H138" s="38" t="n"/>
      <c r="I138" s="38" t="n"/>
      <c r="J138" s="38" t="n"/>
      <c r="K138" s="38" t="n"/>
      <c r="L138" s="39" t="n"/>
      <c r="M138" s="39" t="n"/>
      <c r="N138" s="38" t="n"/>
      <c r="O138" s="40">
        <f>IF($Q138=0,"",IF(C138&gt;=C$2,1,0)+IF(D138&gt;=D$2,1,0)+IF(E138&gt;=E$2,1,0)+IF(F138&gt;=F$2,1,0))</f>
        <v/>
      </c>
      <c r="P138" s="41" t="n"/>
      <c r="Q138" s="42">
        <f>IF(COUNT(C138:M138)&gt;0,1,0)</f>
        <v/>
      </c>
      <c r="R138" s="42">
        <f>IF(Q138=0,0,R137+1)</f>
        <v/>
      </c>
      <c r="S138" s="42">
        <f>IF(O138="",0,IF(O138=4,S137+1,0))</f>
        <v/>
      </c>
      <c r="T138" s="43">
        <f>IF(Q138=1,A138,"")</f>
        <v/>
      </c>
    </row>
    <row r="139">
      <c r="A139" s="36">
        <f>A138+1</f>
        <v/>
      </c>
      <c r="B139" s="37">
        <f>IF(A139="","",TEXT(A139,"ddd"))</f>
        <v/>
      </c>
      <c r="C139" s="38" t="n"/>
      <c r="D139" s="38" t="n"/>
      <c r="E139" s="38" t="n"/>
      <c r="F139" s="38" t="n"/>
      <c r="G139" s="38" t="n"/>
      <c r="H139" s="38" t="n"/>
      <c r="I139" s="38" t="n"/>
      <c r="J139" s="38" t="n"/>
      <c r="K139" s="38" t="n"/>
      <c r="L139" s="39" t="n"/>
      <c r="M139" s="39" t="n"/>
      <c r="N139" s="38" t="n"/>
      <c r="O139" s="40">
        <f>IF($Q139=0,"",IF(C139&gt;=C$2,1,0)+IF(D139&gt;=D$2,1,0)+IF(E139&gt;=E$2,1,0)+IF(F139&gt;=F$2,1,0))</f>
        <v/>
      </c>
      <c r="P139" s="41" t="n"/>
      <c r="Q139" s="42">
        <f>IF(COUNT(C139:M139)&gt;0,1,0)</f>
        <v/>
      </c>
      <c r="R139" s="42">
        <f>IF(Q139=0,0,R138+1)</f>
        <v/>
      </c>
      <c r="S139" s="42">
        <f>IF(O139="",0,IF(O139=4,S138+1,0))</f>
        <v/>
      </c>
      <c r="T139" s="43">
        <f>IF(Q139=1,A139,"")</f>
        <v/>
      </c>
    </row>
    <row r="140">
      <c r="A140" s="36">
        <f>A139+1</f>
        <v/>
      </c>
      <c r="B140" s="37">
        <f>IF(A140="","",TEXT(A140,"ddd"))</f>
        <v/>
      </c>
      <c r="C140" s="38" t="n"/>
      <c r="D140" s="38" t="n"/>
      <c r="E140" s="38" t="n"/>
      <c r="F140" s="38" t="n"/>
      <c r="G140" s="38" t="n"/>
      <c r="H140" s="38" t="n"/>
      <c r="I140" s="38" t="n"/>
      <c r="J140" s="38" t="n"/>
      <c r="K140" s="38" t="n"/>
      <c r="L140" s="39" t="n"/>
      <c r="M140" s="39" t="n"/>
      <c r="N140" s="38" t="n"/>
      <c r="O140" s="40">
        <f>IF($Q140=0,"",IF(C140&gt;=C$2,1,0)+IF(D140&gt;=D$2,1,0)+IF(E140&gt;=E$2,1,0)+IF(F140&gt;=F$2,1,0))</f>
        <v/>
      </c>
      <c r="P140" s="41" t="n"/>
      <c r="Q140" s="42">
        <f>IF(COUNT(C140:M140)&gt;0,1,0)</f>
        <v/>
      </c>
      <c r="R140" s="42">
        <f>IF(Q140=0,0,R139+1)</f>
        <v/>
      </c>
      <c r="S140" s="42">
        <f>IF(O140="",0,IF(O140=4,S139+1,0))</f>
        <v/>
      </c>
      <c r="T140" s="43">
        <f>IF(Q140=1,A140,"")</f>
        <v/>
      </c>
    </row>
    <row r="141">
      <c r="A141" s="36">
        <f>A140+1</f>
        <v/>
      </c>
      <c r="B141" s="37">
        <f>IF(A141="","",TEXT(A141,"ddd"))</f>
        <v/>
      </c>
      <c r="C141" s="38" t="n"/>
      <c r="D141" s="38" t="n"/>
      <c r="E141" s="38" t="n"/>
      <c r="F141" s="38" t="n"/>
      <c r="G141" s="38" t="n"/>
      <c r="H141" s="38" t="n"/>
      <c r="I141" s="38" t="n"/>
      <c r="J141" s="38" t="n"/>
      <c r="K141" s="38" t="n"/>
      <c r="L141" s="39" t="n"/>
      <c r="M141" s="39" t="n"/>
      <c r="N141" s="38" t="n"/>
      <c r="O141" s="40">
        <f>IF($Q141=0,"",IF(C141&gt;=C$2,1,0)+IF(D141&gt;=D$2,1,0)+IF(E141&gt;=E$2,1,0)+IF(F141&gt;=F$2,1,0))</f>
        <v/>
      </c>
      <c r="P141" s="41" t="n"/>
      <c r="Q141" s="42">
        <f>IF(COUNT(C141:M141)&gt;0,1,0)</f>
        <v/>
      </c>
      <c r="R141" s="42">
        <f>IF(Q141=0,0,R140+1)</f>
        <v/>
      </c>
      <c r="S141" s="42">
        <f>IF(O141="",0,IF(O141=4,S140+1,0))</f>
        <v/>
      </c>
      <c r="T141" s="43">
        <f>IF(Q141=1,A141,"")</f>
        <v/>
      </c>
    </row>
    <row r="142">
      <c r="A142" s="36">
        <f>A141+1</f>
        <v/>
      </c>
      <c r="B142" s="37">
        <f>IF(A142="","",TEXT(A142,"ddd"))</f>
        <v/>
      </c>
      <c r="C142" s="38" t="n"/>
      <c r="D142" s="38" t="n"/>
      <c r="E142" s="38" t="n"/>
      <c r="F142" s="38" t="n"/>
      <c r="G142" s="38" t="n"/>
      <c r="H142" s="38" t="n"/>
      <c r="I142" s="38" t="n"/>
      <c r="J142" s="38" t="n"/>
      <c r="K142" s="38" t="n"/>
      <c r="L142" s="39" t="n"/>
      <c r="M142" s="39" t="n"/>
      <c r="N142" s="38" t="n"/>
      <c r="O142" s="40">
        <f>IF($Q142=0,"",IF(C142&gt;=C$2,1,0)+IF(D142&gt;=D$2,1,0)+IF(E142&gt;=E$2,1,0)+IF(F142&gt;=F$2,1,0))</f>
        <v/>
      </c>
      <c r="P142" s="41" t="n"/>
      <c r="Q142" s="42">
        <f>IF(COUNT(C142:M142)&gt;0,1,0)</f>
        <v/>
      </c>
      <c r="R142" s="42">
        <f>IF(Q142=0,0,R141+1)</f>
        <v/>
      </c>
      <c r="S142" s="42">
        <f>IF(O142="",0,IF(O142=4,S141+1,0))</f>
        <v/>
      </c>
      <c r="T142" s="43">
        <f>IF(Q142=1,A142,"")</f>
        <v/>
      </c>
    </row>
    <row r="143">
      <c r="A143" s="36">
        <f>A142+1</f>
        <v/>
      </c>
      <c r="B143" s="37">
        <f>IF(A143="","",TEXT(A143,"ddd"))</f>
        <v/>
      </c>
      <c r="C143" s="38" t="n"/>
      <c r="D143" s="38" t="n"/>
      <c r="E143" s="38" t="n"/>
      <c r="F143" s="38" t="n"/>
      <c r="G143" s="38" t="n"/>
      <c r="H143" s="38" t="n"/>
      <c r="I143" s="38" t="n"/>
      <c r="J143" s="38" t="n"/>
      <c r="K143" s="38" t="n"/>
      <c r="L143" s="39" t="n"/>
      <c r="M143" s="39" t="n"/>
      <c r="N143" s="38" t="n"/>
      <c r="O143" s="40">
        <f>IF($Q143=0,"",IF(C143&gt;=C$2,1,0)+IF(D143&gt;=D$2,1,0)+IF(E143&gt;=E$2,1,0)+IF(F143&gt;=F$2,1,0))</f>
        <v/>
      </c>
      <c r="P143" s="41" t="n"/>
      <c r="Q143" s="42">
        <f>IF(COUNT(C143:M143)&gt;0,1,0)</f>
        <v/>
      </c>
      <c r="R143" s="42">
        <f>IF(Q143=0,0,R142+1)</f>
        <v/>
      </c>
      <c r="S143" s="42">
        <f>IF(O143="",0,IF(O143=4,S142+1,0))</f>
        <v/>
      </c>
      <c r="T143" s="43">
        <f>IF(Q143=1,A143,"")</f>
        <v/>
      </c>
    </row>
    <row r="144">
      <c r="A144" s="36">
        <f>A143+1</f>
        <v/>
      </c>
      <c r="B144" s="37">
        <f>IF(A144="","",TEXT(A144,"ddd"))</f>
        <v/>
      </c>
      <c r="C144" s="38" t="n"/>
      <c r="D144" s="38" t="n"/>
      <c r="E144" s="38" t="n"/>
      <c r="F144" s="38" t="n"/>
      <c r="G144" s="38" t="n"/>
      <c r="H144" s="38" t="n"/>
      <c r="I144" s="38" t="n"/>
      <c r="J144" s="38" t="n"/>
      <c r="K144" s="38" t="n"/>
      <c r="L144" s="39" t="n"/>
      <c r="M144" s="39" t="n"/>
      <c r="N144" s="38" t="n"/>
      <c r="O144" s="40">
        <f>IF($Q144=0,"",IF(C144&gt;=C$2,1,0)+IF(D144&gt;=D$2,1,0)+IF(E144&gt;=E$2,1,0)+IF(F144&gt;=F$2,1,0))</f>
        <v/>
      </c>
      <c r="P144" s="41" t="n"/>
      <c r="Q144" s="42">
        <f>IF(COUNT(C144:M144)&gt;0,1,0)</f>
        <v/>
      </c>
      <c r="R144" s="42">
        <f>IF(Q144=0,0,R143+1)</f>
        <v/>
      </c>
      <c r="S144" s="42">
        <f>IF(O144="",0,IF(O144=4,S143+1,0))</f>
        <v/>
      </c>
      <c r="T144" s="43">
        <f>IF(Q144=1,A144,"")</f>
        <v/>
      </c>
    </row>
    <row r="145">
      <c r="A145" s="36">
        <f>A144+1</f>
        <v/>
      </c>
      <c r="B145" s="37">
        <f>IF(A145="","",TEXT(A145,"ddd"))</f>
        <v/>
      </c>
      <c r="C145" s="38" t="n"/>
      <c r="D145" s="38" t="n"/>
      <c r="E145" s="38" t="n"/>
      <c r="F145" s="38" t="n"/>
      <c r="G145" s="38" t="n"/>
      <c r="H145" s="38" t="n"/>
      <c r="I145" s="38" t="n"/>
      <c r="J145" s="38" t="n"/>
      <c r="K145" s="38" t="n"/>
      <c r="L145" s="39" t="n"/>
      <c r="M145" s="39" t="n"/>
      <c r="N145" s="38" t="n"/>
      <c r="O145" s="40">
        <f>IF($Q145=0,"",IF(C145&gt;=C$2,1,0)+IF(D145&gt;=D$2,1,0)+IF(E145&gt;=E$2,1,0)+IF(F145&gt;=F$2,1,0))</f>
        <v/>
      </c>
      <c r="P145" s="41" t="n"/>
      <c r="Q145" s="42">
        <f>IF(COUNT(C145:M145)&gt;0,1,0)</f>
        <v/>
      </c>
      <c r="R145" s="42">
        <f>IF(Q145=0,0,R144+1)</f>
        <v/>
      </c>
      <c r="S145" s="42">
        <f>IF(O145="",0,IF(O145=4,S144+1,0))</f>
        <v/>
      </c>
      <c r="T145" s="43">
        <f>IF(Q145=1,A145,"")</f>
        <v/>
      </c>
    </row>
    <row r="146">
      <c r="A146" s="36">
        <f>A145+1</f>
        <v/>
      </c>
      <c r="B146" s="37">
        <f>IF(A146="","",TEXT(A146,"ddd"))</f>
        <v/>
      </c>
      <c r="C146" s="38" t="n"/>
      <c r="D146" s="38" t="n"/>
      <c r="E146" s="38" t="n"/>
      <c r="F146" s="38" t="n"/>
      <c r="G146" s="38" t="n"/>
      <c r="H146" s="38" t="n"/>
      <c r="I146" s="38" t="n"/>
      <c r="J146" s="38" t="n"/>
      <c r="K146" s="38" t="n"/>
      <c r="L146" s="39" t="n"/>
      <c r="M146" s="39" t="n"/>
      <c r="N146" s="38" t="n"/>
      <c r="O146" s="40">
        <f>IF($Q146=0,"",IF(C146&gt;=C$2,1,0)+IF(D146&gt;=D$2,1,0)+IF(E146&gt;=E$2,1,0)+IF(F146&gt;=F$2,1,0))</f>
        <v/>
      </c>
      <c r="P146" s="41" t="n"/>
      <c r="Q146" s="42">
        <f>IF(COUNT(C146:M146)&gt;0,1,0)</f>
        <v/>
      </c>
      <c r="R146" s="42">
        <f>IF(Q146=0,0,R145+1)</f>
        <v/>
      </c>
      <c r="S146" s="42">
        <f>IF(O146="",0,IF(O146=4,S145+1,0))</f>
        <v/>
      </c>
      <c r="T146" s="43">
        <f>IF(Q146=1,A146,"")</f>
        <v/>
      </c>
    </row>
    <row r="147">
      <c r="A147" s="36">
        <f>A146+1</f>
        <v/>
      </c>
      <c r="B147" s="37">
        <f>IF(A147="","",TEXT(A147,"ddd"))</f>
        <v/>
      </c>
      <c r="C147" s="38" t="n"/>
      <c r="D147" s="38" t="n"/>
      <c r="E147" s="38" t="n"/>
      <c r="F147" s="38" t="n"/>
      <c r="G147" s="38" t="n"/>
      <c r="H147" s="38" t="n"/>
      <c r="I147" s="38" t="n"/>
      <c r="J147" s="38" t="n"/>
      <c r="K147" s="38" t="n"/>
      <c r="L147" s="39" t="n"/>
      <c r="M147" s="39" t="n"/>
      <c r="N147" s="38" t="n"/>
      <c r="O147" s="40">
        <f>IF($Q147=0,"",IF(C147&gt;=C$2,1,0)+IF(D147&gt;=D$2,1,0)+IF(E147&gt;=E$2,1,0)+IF(F147&gt;=F$2,1,0))</f>
        <v/>
      </c>
      <c r="P147" s="41" t="n"/>
      <c r="Q147" s="42">
        <f>IF(COUNT(C147:M147)&gt;0,1,0)</f>
        <v/>
      </c>
      <c r="R147" s="42">
        <f>IF(Q147=0,0,R146+1)</f>
        <v/>
      </c>
      <c r="S147" s="42">
        <f>IF(O147="",0,IF(O147=4,S146+1,0))</f>
        <v/>
      </c>
      <c r="T147" s="43">
        <f>IF(Q147=1,A147,"")</f>
        <v/>
      </c>
    </row>
    <row r="148">
      <c r="A148" s="36">
        <f>A147+1</f>
        <v/>
      </c>
      <c r="B148" s="37">
        <f>IF(A148="","",TEXT(A148,"ddd"))</f>
        <v/>
      </c>
      <c r="C148" s="38" t="n"/>
      <c r="D148" s="38" t="n"/>
      <c r="E148" s="38" t="n"/>
      <c r="F148" s="38" t="n"/>
      <c r="G148" s="38" t="n"/>
      <c r="H148" s="38" t="n"/>
      <c r="I148" s="38" t="n"/>
      <c r="J148" s="38" t="n"/>
      <c r="K148" s="38" t="n"/>
      <c r="L148" s="39" t="n"/>
      <c r="M148" s="39" t="n"/>
      <c r="N148" s="38" t="n"/>
      <c r="O148" s="40">
        <f>IF($Q148=0,"",IF(C148&gt;=C$2,1,0)+IF(D148&gt;=D$2,1,0)+IF(E148&gt;=E$2,1,0)+IF(F148&gt;=F$2,1,0))</f>
        <v/>
      </c>
      <c r="P148" s="41" t="n"/>
      <c r="Q148" s="42">
        <f>IF(COUNT(C148:M148)&gt;0,1,0)</f>
        <v/>
      </c>
      <c r="R148" s="42">
        <f>IF(Q148=0,0,R147+1)</f>
        <v/>
      </c>
      <c r="S148" s="42">
        <f>IF(O148="",0,IF(O148=4,S147+1,0))</f>
        <v/>
      </c>
      <c r="T148" s="43">
        <f>IF(Q148=1,A148,"")</f>
        <v/>
      </c>
    </row>
    <row r="149">
      <c r="A149" s="36">
        <f>A148+1</f>
        <v/>
      </c>
      <c r="B149" s="37">
        <f>IF(A149="","",TEXT(A149,"ddd"))</f>
        <v/>
      </c>
      <c r="C149" s="38" t="n"/>
      <c r="D149" s="38" t="n"/>
      <c r="E149" s="38" t="n"/>
      <c r="F149" s="38" t="n"/>
      <c r="G149" s="38" t="n"/>
      <c r="H149" s="38" t="n"/>
      <c r="I149" s="38" t="n"/>
      <c r="J149" s="38" t="n"/>
      <c r="K149" s="38" t="n"/>
      <c r="L149" s="39" t="n"/>
      <c r="M149" s="39" t="n"/>
      <c r="N149" s="38" t="n"/>
      <c r="O149" s="40">
        <f>IF($Q149=0,"",IF(C149&gt;=C$2,1,0)+IF(D149&gt;=D$2,1,0)+IF(E149&gt;=E$2,1,0)+IF(F149&gt;=F$2,1,0))</f>
        <v/>
      </c>
      <c r="P149" s="41" t="n"/>
      <c r="Q149" s="42">
        <f>IF(COUNT(C149:M149)&gt;0,1,0)</f>
        <v/>
      </c>
      <c r="R149" s="42">
        <f>IF(Q149=0,0,R148+1)</f>
        <v/>
      </c>
      <c r="S149" s="42">
        <f>IF(O149="",0,IF(O149=4,S148+1,0))</f>
        <v/>
      </c>
      <c r="T149" s="43">
        <f>IF(Q149=1,A149,"")</f>
        <v/>
      </c>
    </row>
    <row r="150">
      <c r="A150" s="36">
        <f>A149+1</f>
        <v/>
      </c>
      <c r="B150" s="37">
        <f>IF(A150="","",TEXT(A150,"ddd"))</f>
        <v/>
      </c>
      <c r="C150" s="38" t="n"/>
      <c r="D150" s="38" t="n"/>
      <c r="E150" s="38" t="n"/>
      <c r="F150" s="38" t="n"/>
      <c r="G150" s="38" t="n"/>
      <c r="H150" s="38" t="n"/>
      <c r="I150" s="38" t="n"/>
      <c r="J150" s="38" t="n"/>
      <c r="K150" s="38" t="n"/>
      <c r="L150" s="39" t="n"/>
      <c r="M150" s="39" t="n"/>
      <c r="N150" s="38" t="n"/>
      <c r="O150" s="40">
        <f>IF($Q150=0,"",IF(C150&gt;=C$2,1,0)+IF(D150&gt;=D$2,1,0)+IF(E150&gt;=E$2,1,0)+IF(F150&gt;=F$2,1,0))</f>
        <v/>
      </c>
      <c r="P150" s="41" t="n"/>
      <c r="Q150" s="42">
        <f>IF(COUNT(C150:M150)&gt;0,1,0)</f>
        <v/>
      </c>
      <c r="R150" s="42">
        <f>IF(Q150=0,0,R149+1)</f>
        <v/>
      </c>
      <c r="S150" s="42">
        <f>IF(O150="",0,IF(O150=4,S149+1,0))</f>
        <v/>
      </c>
      <c r="T150" s="43">
        <f>IF(Q150=1,A150,"")</f>
        <v/>
      </c>
    </row>
    <row r="151">
      <c r="A151" s="36">
        <f>A150+1</f>
        <v/>
      </c>
      <c r="B151" s="37">
        <f>IF(A151="","",TEXT(A151,"ddd"))</f>
        <v/>
      </c>
      <c r="C151" s="38" t="n"/>
      <c r="D151" s="38" t="n"/>
      <c r="E151" s="38" t="n"/>
      <c r="F151" s="38" t="n"/>
      <c r="G151" s="38" t="n"/>
      <c r="H151" s="38" t="n"/>
      <c r="I151" s="38" t="n"/>
      <c r="J151" s="38" t="n"/>
      <c r="K151" s="38" t="n"/>
      <c r="L151" s="39" t="n"/>
      <c r="M151" s="39" t="n"/>
      <c r="N151" s="38" t="n"/>
      <c r="O151" s="40">
        <f>IF($Q151=0,"",IF(C151&gt;=C$2,1,0)+IF(D151&gt;=D$2,1,0)+IF(E151&gt;=E$2,1,0)+IF(F151&gt;=F$2,1,0))</f>
        <v/>
      </c>
      <c r="P151" s="41" t="n"/>
      <c r="Q151" s="42">
        <f>IF(COUNT(C151:M151)&gt;0,1,0)</f>
        <v/>
      </c>
      <c r="R151" s="42">
        <f>IF(Q151=0,0,R150+1)</f>
        <v/>
      </c>
      <c r="S151" s="42">
        <f>IF(O151="",0,IF(O151=4,S150+1,0))</f>
        <v/>
      </c>
      <c r="T151" s="43">
        <f>IF(Q151=1,A151,"")</f>
        <v/>
      </c>
    </row>
    <row r="152">
      <c r="A152" s="36">
        <f>A151+1</f>
        <v/>
      </c>
      <c r="B152" s="37">
        <f>IF(A152="","",TEXT(A152,"ddd"))</f>
        <v/>
      </c>
      <c r="C152" s="38" t="n"/>
      <c r="D152" s="38" t="n"/>
      <c r="E152" s="38" t="n"/>
      <c r="F152" s="38" t="n"/>
      <c r="G152" s="38" t="n"/>
      <c r="H152" s="38" t="n"/>
      <c r="I152" s="38" t="n"/>
      <c r="J152" s="38" t="n"/>
      <c r="K152" s="38" t="n"/>
      <c r="L152" s="39" t="n"/>
      <c r="M152" s="39" t="n"/>
      <c r="N152" s="38" t="n"/>
      <c r="O152" s="40">
        <f>IF($Q152=0,"",IF(C152&gt;=C$2,1,0)+IF(D152&gt;=D$2,1,0)+IF(E152&gt;=E$2,1,0)+IF(F152&gt;=F$2,1,0))</f>
        <v/>
      </c>
      <c r="P152" s="41" t="n"/>
      <c r="Q152" s="42">
        <f>IF(COUNT(C152:M152)&gt;0,1,0)</f>
        <v/>
      </c>
      <c r="R152" s="42">
        <f>IF(Q152=0,0,R151+1)</f>
        <v/>
      </c>
      <c r="S152" s="42">
        <f>IF(O152="",0,IF(O152=4,S151+1,0))</f>
        <v/>
      </c>
      <c r="T152" s="43">
        <f>IF(Q152=1,A152,"")</f>
        <v/>
      </c>
    </row>
    <row r="153">
      <c r="A153" s="36">
        <f>A152+1</f>
        <v/>
      </c>
      <c r="B153" s="37">
        <f>IF(A153="","",TEXT(A153,"ddd"))</f>
        <v/>
      </c>
      <c r="C153" s="38" t="n"/>
      <c r="D153" s="38" t="n"/>
      <c r="E153" s="38" t="n"/>
      <c r="F153" s="38" t="n"/>
      <c r="G153" s="38" t="n"/>
      <c r="H153" s="38" t="n"/>
      <c r="I153" s="38" t="n"/>
      <c r="J153" s="38" t="n"/>
      <c r="K153" s="38" t="n"/>
      <c r="L153" s="39" t="n"/>
      <c r="M153" s="39" t="n"/>
      <c r="N153" s="38" t="n"/>
      <c r="O153" s="40">
        <f>IF($Q153=0,"",IF(C153&gt;=C$2,1,0)+IF(D153&gt;=D$2,1,0)+IF(E153&gt;=E$2,1,0)+IF(F153&gt;=F$2,1,0))</f>
        <v/>
      </c>
      <c r="P153" s="41" t="n"/>
      <c r="Q153" s="42">
        <f>IF(COUNT(C153:M153)&gt;0,1,0)</f>
        <v/>
      </c>
      <c r="R153" s="42">
        <f>IF(Q153=0,0,R152+1)</f>
        <v/>
      </c>
      <c r="S153" s="42">
        <f>IF(O153="",0,IF(O153=4,S152+1,0))</f>
        <v/>
      </c>
      <c r="T153" s="43">
        <f>IF(Q153=1,A153,"")</f>
        <v/>
      </c>
    </row>
    <row r="154">
      <c r="A154" s="36">
        <f>A153+1</f>
        <v/>
      </c>
      <c r="B154" s="37">
        <f>IF(A154="","",TEXT(A154,"ddd"))</f>
        <v/>
      </c>
      <c r="C154" s="38" t="n"/>
      <c r="D154" s="38" t="n"/>
      <c r="E154" s="38" t="n"/>
      <c r="F154" s="38" t="n"/>
      <c r="G154" s="38" t="n"/>
      <c r="H154" s="38" t="n"/>
      <c r="I154" s="38" t="n"/>
      <c r="J154" s="38" t="n"/>
      <c r="K154" s="38" t="n"/>
      <c r="L154" s="39" t="n"/>
      <c r="M154" s="39" t="n"/>
      <c r="N154" s="38" t="n"/>
      <c r="O154" s="40">
        <f>IF($Q154=0,"",IF(C154&gt;=C$2,1,0)+IF(D154&gt;=D$2,1,0)+IF(E154&gt;=E$2,1,0)+IF(F154&gt;=F$2,1,0))</f>
        <v/>
      </c>
      <c r="P154" s="41" t="n"/>
      <c r="Q154" s="42">
        <f>IF(COUNT(C154:M154)&gt;0,1,0)</f>
        <v/>
      </c>
      <c r="R154" s="42">
        <f>IF(Q154=0,0,R153+1)</f>
        <v/>
      </c>
      <c r="S154" s="42">
        <f>IF(O154="",0,IF(O154=4,S153+1,0))</f>
        <v/>
      </c>
      <c r="T154" s="43">
        <f>IF(Q154=1,A154,"")</f>
        <v/>
      </c>
    </row>
    <row r="155">
      <c r="A155" s="36">
        <f>A154+1</f>
        <v/>
      </c>
      <c r="B155" s="37">
        <f>IF(A155="","",TEXT(A155,"ddd"))</f>
        <v/>
      </c>
      <c r="C155" s="38" t="n"/>
      <c r="D155" s="38" t="n"/>
      <c r="E155" s="38" t="n"/>
      <c r="F155" s="38" t="n"/>
      <c r="G155" s="38" t="n"/>
      <c r="H155" s="38" t="n"/>
      <c r="I155" s="38" t="n"/>
      <c r="J155" s="38" t="n"/>
      <c r="K155" s="38" t="n"/>
      <c r="L155" s="39" t="n"/>
      <c r="M155" s="39" t="n"/>
      <c r="N155" s="38" t="n"/>
      <c r="O155" s="40">
        <f>IF($Q155=0,"",IF(C155&gt;=C$2,1,0)+IF(D155&gt;=D$2,1,0)+IF(E155&gt;=E$2,1,0)+IF(F155&gt;=F$2,1,0))</f>
        <v/>
      </c>
      <c r="P155" s="41" t="n"/>
      <c r="Q155" s="42">
        <f>IF(COUNT(C155:M155)&gt;0,1,0)</f>
        <v/>
      </c>
      <c r="R155" s="42">
        <f>IF(Q155=0,0,R154+1)</f>
        <v/>
      </c>
      <c r="S155" s="42">
        <f>IF(O155="",0,IF(O155=4,S154+1,0))</f>
        <v/>
      </c>
      <c r="T155" s="43">
        <f>IF(Q155=1,A155,"")</f>
        <v/>
      </c>
    </row>
    <row r="156">
      <c r="A156" s="36">
        <f>A155+1</f>
        <v/>
      </c>
      <c r="B156" s="37">
        <f>IF(A156="","",TEXT(A156,"ddd"))</f>
        <v/>
      </c>
      <c r="C156" s="38" t="n"/>
      <c r="D156" s="38" t="n"/>
      <c r="E156" s="38" t="n"/>
      <c r="F156" s="38" t="n"/>
      <c r="G156" s="38" t="n"/>
      <c r="H156" s="38" t="n"/>
      <c r="I156" s="38" t="n"/>
      <c r="J156" s="38" t="n"/>
      <c r="K156" s="38" t="n"/>
      <c r="L156" s="39" t="n"/>
      <c r="M156" s="39" t="n"/>
      <c r="N156" s="38" t="n"/>
      <c r="O156" s="40">
        <f>IF($Q156=0,"",IF(C156&gt;=C$2,1,0)+IF(D156&gt;=D$2,1,0)+IF(E156&gt;=E$2,1,0)+IF(F156&gt;=F$2,1,0))</f>
        <v/>
      </c>
      <c r="P156" s="41" t="n"/>
      <c r="Q156" s="42">
        <f>IF(COUNT(C156:M156)&gt;0,1,0)</f>
        <v/>
      </c>
      <c r="R156" s="42">
        <f>IF(Q156=0,0,R155+1)</f>
        <v/>
      </c>
      <c r="S156" s="42">
        <f>IF(O156="",0,IF(O156=4,S155+1,0))</f>
        <v/>
      </c>
      <c r="T156" s="43">
        <f>IF(Q156=1,A156,"")</f>
        <v/>
      </c>
    </row>
    <row r="157">
      <c r="A157" s="36">
        <f>A156+1</f>
        <v/>
      </c>
      <c r="B157" s="37">
        <f>IF(A157="","",TEXT(A157,"ddd"))</f>
        <v/>
      </c>
      <c r="C157" s="38" t="n"/>
      <c r="D157" s="38" t="n"/>
      <c r="E157" s="38" t="n"/>
      <c r="F157" s="38" t="n"/>
      <c r="G157" s="38" t="n"/>
      <c r="H157" s="38" t="n"/>
      <c r="I157" s="38" t="n"/>
      <c r="J157" s="38" t="n"/>
      <c r="K157" s="38" t="n"/>
      <c r="L157" s="39" t="n"/>
      <c r="M157" s="39" t="n"/>
      <c r="N157" s="38" t="n"/>
      <c r="O157" s="40">
        <f>IF($Q157=0,"",IF(C157&gt;=C$2,1,0)+IF(D157&gt;=D$2,1,0)+IF(E157&gt;=E$2,1,0)+IF(F157&gt;=F$2,1,0))</f>
        <v/>
      </c>
      <c r="P157" s="41" t="n"/>
      <c r="Q157" s="42">
        <f>IF(COUNT(C157:M157)&gt;0,1,0)</f>
        <v/>
      </c>
      <c r="R157" s="42">
        <f>IF(Q157=0,0,R156+1)</f>
        <v/>
      </c>
      <c r="S157" s="42">
        <f>IF(O157="",0,IF(O157=4,S156+1,0))</f>
        <v/>
      </c>
      <c r="T157" s="43">
        <f>IF(Q157=1,A157,"")</f>
        <v/>
      </c>
    </row>
    <row r="158">
      <c r="A158" s="36">
        <f>A157+1</f>
        <v/>
      </c>
      <c r="B158" s="37">
        <f>IF(A158="","",TEXT(A158,"ddd"))</f>
        <v/>
      </c>
      <c r="C158" s="38" t="n"/>
      <c r="D158" s="38" t="n"/>
      <c r="E158" s="38" t="n"/>
      <c r="F158" s="38" t="n"/>
      <c r="G158" s="38" t="n"/>
      <c r="H158" s="38" t="n"/>
      <c r="I158" s="38" t="n"/>
      <c r="J158" s="38" t="n"/>
      <c r="K158" s="38" t="n"/>
      <c r="L158" s="39" t="n"/>
      <c r="M158" s="39" t="n"/>
      <c r="N158" s="38" t="n"/>
      <c r="O158" s="40">
        <f>IF($Q158=0,"",IF(C158&gt;=C$2,1,0)+IF(D158&gt;=D$2,1,0)+IF(E158&gt;=E$2,1,0)+IF(F158&gt;=F$2,1,0))</f>
        <v/>
      </c>
      <c r="P158" s="41" t="n"/>
      <c r="Q158" s="42">
        <f>IF(COUNT(C158:M158)&gt;0,1,0)</f>
        <v/>
      </c>
      <c r="R158" s="42">
        <f>IF(Q158=0,0,R157+1)</f>
        <v/>
      </c>
      <c r="S158" s="42">
        <f>IF(O158="",0,IF(O158=4,S157+1,0))</f>
        <v/>
      </c>
      <c r="T158" s="43">
        <f>IF(Q158=1,A158,"")</f>
        <v/>
      </c>
    </row>
    <row r="159">
      <c r="A159" s="36">
        <f>A158+1</f>
        <v/>
      </c>
      <c r="B159" s="37">
        <f>IF(A159="","",TEXT(A159,"ddd"))</f>
        <v/>
      </c>
      <c r="C159" s="38" t="n"/>
      <c r="D159" s="38" t="n"/>
      <c r="E159" s="38" t="n"/>
      <c r="F159" s="38" t="n"/>
      <c r="G159" s="38" t="n"/>
      <c r="H159" s="38" t="n"/>
      <c r="I159" s="38" t="n"/>
      <c r="J159" s="38" t="n"/>
      <c r="K159" s="38" t="n"/>
      <c r="L159" s="39" t="n"/>
      <c r="M159" s="39" t="n"/>
      <c r="N159" s="38" t="n"/>
      <c r="O159" s="40">
        <f>IF($Q159=0,"",IF(C159&gt;=C$2,1,0)+IF(D159&gt;=D$2,1,0)+IF(E159&gt;=E$2,1,0)+IF(F159&gt;=F$2,1,0))</f>
        <v/>
      </c>
      <c r="P159" s="41" t="n"/>
      <c r="Q159" s="42">
        <f>IF(COUNT(C159:M159)&gt;0,1,0)</f>
        <v/>
      </c>
      <c r="R159" s="42">
        <f>IF(Q159=0,0,R158+1)</f>
        <v/>
      </c>
      <c r="S159" s="42">
        <f>IF(O159="",0,IF(O159=4,S158+1,0))</f>
        <v/>
      </c>
      <c r="T159" s="43">
        <f>IF(Q159=1,A159,"")</f>
        <v/>
      </c>
    </row>
    <row r="160">
      <c r="A160" s="36">
        <f>A159+1</f>
        <v/>
      </c>
      <c r="B160" s="37">
        <f>IF(A160="","",TEXT(A160,"ddd"))</f>
        <v/>
      </c>
      <c r="C160" s="38" t="n"/>
      <c r="D160" s="38" t="n"/>
      <c r="E160" s="38" t="n"/>
      <c r="F160" s="38" t="n"/>
      <c r="G160" s="38" t="n"/>
      <c r="H160" s="38" t="n"/>
      <c r="I160" s="38" t="n"/>
      <c r="J160" s="38" t="n"/>
      <c r="K160" s="38" t="n"/>
      <c r="L160" s="39" t="n"/>
      <c r="M160" s="39" t="n"/>
      <c r="N160" s="38" t="n"/>
      <c r="O160" s="40">
        <f>IF($Q160=0,"",IF(C160&gt;=C$2,1,0)+IF(D160&gt;=D$2,1,0)+IF(E160&gt;=E$2,1,0)+IF(F160&gt;=F$2,1,0))</f>
        <v/>
      </c>
      <c r="P160" s="41" t="n"/>
      <c r="Q160" s="42">
        <f>IF(COUNT(C160:M160)&gt;0,1,0)</f>
        <v/>
      </c>
      <c r="R160" s="42">
        <f>IF(Q160=0,0,R159+1)</f>
        <v/>
      </c>
      <c r="S160" s="42">
        <f>IF(O160="",0,IF(O160=4,S159+1,0))</f>
        <v/>
      </c>
      <c r="T160" s="43">
        <f>IF(Q160=1,A160,"")</f>
        <v/>
      </c>
    </row>
    <row r="161">
      <c r="A161" s="36">
        <f>A160+1</f>
        <v/>
      </c>
      <c r="B161" s="37">
        <f>IF(A161="","",TEXT(A161,"ddd"))</f>
        <v/>
      </c>
      <c r="C161" s="38" t="n"/>
      <c r="D161" s="38" t="n"/>
      <c r="E161" s="38" t="n"/>
      <c r="F161" s="38" t="n"/>
      <c r="G161" s="38" t="n"/>
      <c r="H161" s="38" t="n"/>
      <c r="I161" s="38" t="n"/>
      <c r="J161" s="38" t="n"/>
      <c r="K161" s="38" t="n"/>
      <c r="L161" s="39" t="n"/>
      <c r="M161" s="39" t="n"/>
      <c r="N161" s="38" t="n"/>
      <c r="O161" s="40">
        <f>IF($Q161=0,"",IF(C161&gt;=C$2,1,0)+IF(D161&gt;=D$2,1,0)+IF(E161&gt;=E$2,1,0)+IF(F161&gt;=F$2,1,0))</f>
        <v/>
      </c>
      <c r="P161" s="41" t="n"/>
      <c r="Q161" s="42">
        <f>IF(COUNT(C161:M161)&gt;0,1,0)</f>
        <v/>
      </c>
      <c r="R161" s="42">
        <f>IF(Q161=0,0,R160+1)</f>
        <v/>
      </c>
      <c r="S161" s="42">
        <f>IF(O161="",0,IF(O161=4,S160+1,0))</f>
        <v/>
      </c>
      <c r="T161" s="43">
        <f>IF(Q161=1,A161,"")</f>
        <v/>
      </c>
    </row>
    <row r="162">
      <c r="A162" s="36">
        <f>A161+1</f>
        <v/>
      </c>
      <c r="B162" s="37">
        <f>IF(A162="","",TEXT(A162,"ddd"))</f>
        <v/>
      </c>
      <c r="C162" s="38" t="n"/>
      <c r="D162" s="38" t="n"/>
      <c r="E162" s="38" t="n"/>
      <c r="F162" s="38" t="n"/>
      <c r="G162" s="38" t="n"/>
      <c r="H162" s="38" t="n"/>
      <c r="I162" s="38" t="n"/>
      <c r="J162" s="38" t="n"/>
      <c r="K162" s="38" t="n"/>
      <c r="L162" s="39" t="n"/>
      <c r="M162" s="39" t="n"/>
      <c r="N162" s="38" t="n"/>
      <c r="O162" s="40">
        <f>IF($Q162=0,"",IF(C162&gt;=C$2,1,0)+IF(D162&gt;=D$2,1,0)+IF(E162&gt;=E$2,1,0)+IF(F162&gt;=F$2,1,0))</f>
        <v/>
      </c>
      <c r="P162" s="41" t="n"/>
      <c r="Q162" s="42">
        <f>IF(COUNT(C162:M162)&gt;0,1,0)</f>
        <v/>
      </c>
      <c r="R162" s="42">
        <f>IF(Q162=0,0,R161+1)</f>
        <v/>
      </c>
      <c r="S162" s="42">
        <f>IF(O162="",0,IF(O162=4,S161+1,0))</f>
        <v/>
      </c>
      <c r="T162" s="43">
        <f>IF(Q162=1,A162,"")</f>
        <v/>
      </c>
    </row>
    <row r="163">
      <c r="A163" s="36">
        <f>A162+1</f>
        <v/>
      </c>
      <c r="B163" s="37">
        <f>IF(A163="","",TEXT(A163,"ddd"))</f>
        <v/>
      </c>
      <c r="C163" s="38" t="n"/>
      <c r="D163" s="38" t="n"/>
      <c r="E163" s="38" t="n"/>
      <c r="F163" s="38" t="n"/>
      <c r="G163" s="38" t="n"/>
      <c r="H163" s="38" t="n"/>
      <c r="I163" s="38" t="n"/>
      <c r="J163" s="38" t="n"/>
      <c r="K163" s="38" t="n"/>
      <c r="L163" s="39" t="n"/>
      <c r="M163" s="39" t="n"/>
      <c r="N163" s="38" t="n"/>
      <c r="O163" s="40">
        <f>IF($Q163=0,"",IF(C163&gt;=C$2,1,0)+IF(D163&gt;=D$2,1,0)+IF(E163&gt;=E$2,1,0)+IF(F163&gt;=F$2,1,0))</f>
        <v/>
      </c>
      <c r="P163" s="41" t="n"/>
      <c r="Q163" s="42">
        <f>IF(COUNT(C163:M163)&gt;0,1,0)</f>
        <v/>
      </c>
      <c r="R163" s="42">
        <f>IF(Q163=0,0,R162+1)</f>
        <v/>
      </c>
      <c r="S163" s="42">
        <f>IF(O163="",0,IF(O163=4,S162+1,0))</f>
        <v/>
      </c>
      <c r="T163" s="43">
        <f>IF(Q163=1,A163,"")</f>
        <v/>
      </c>
    </row>
    <row r="164">
      <c r="A164" s="36">
        <f>A163+1</f>
        <v/>
      </c>
      <c r="B164" s="37">
        <f>IF(A164="","",TEXT(A164,"ddd"))</f>
        <v/>
      </c>
      <c r="C164" s="38" t="n"/>
      <c r="D164" s="38" t="n"/>
      <c r="E164" s="38" t="n"/>
      <c r="F164" s="38" t="n"/>
      <c r="G164" s="38" t="n"/>
      <c r="H164" s="38" t="n"/>
      <c r="I164" s="38" t="n"/>
      <c r="J164" s="38" t="n"/>
      <c r="K164" s="38" t="n"/>
      <c r="L164" s="39" t="n"/>
      <c r="M164" s="39" t="n"/>
      <c r="N164" s="38" t="n"/>
      <c r="O164" s="40">
        <f>IF($Q164=0,"",IF(C164&gt;=C$2,1,0)+IF(D164&gt;=D$2,1,0)+IF(E164&gt;=E$2,1,0)+IF(F164&gt;=F$2,1,0))</f>
        <v/>
      </c>
      <c r="P164" s="41" t="n"/>
      <c r="Q164" s="42">
        <f>IF(COUNT(C164:M164)&gt;0,1,0)</f>
        <v/>
      </c>
      <c r="R164" s="42">
        <f>IF(Q164=0,0,R163+1)</f>
        <v/>
      </c>
      <c r="S164" s="42">
        <f>IF(O164="",0,IF(O164=4,S163+1,0))</f>
        <v/>
      </c>
      <c r="T164" s="43">
        <f>IF(Q164=1,A164,"")</f>
        <v/>
      </c>
    </row>
    <row r="165">
      <c r="A165" s="36">
        <f>A164+1</f>
        <v/>
      </c>
      <c r="B165" s="37">
        <f>IF(A165="","",TEXT(A165,"ddd"))</f>
        <v/>
      </c>
      <c r="C165" s="38" t="n"/>
      <c r="D165" s="38" t="n"/>
      <c r="E165" s="38" t="n"/>
      <c r="F165" s="38" t="n"/>
      <c r="G165" s="38" t="n"/>
      <c r="H165" s="38" t="n"/>
      <c r="I165" s="38" t="n"/>
      <c r="J165" s="38" t="n"/>
      <c r="K165" s="38" t="n"/>
      <c r="L165" s="39" t="n"/>
      <c r="M165" s="39" t="n"/>
      <c r="N165" s="38" t="n"/>
      <c r="O165" s="40">
        <f>IF($Q165=0,"",IF(C165&gt;=C$2,1,0)+IF(D165&gt;=D$2,1,0)+IF(E165&gt;=E$2,1,0)+IF(F165&gt;=F$2,1,0))</f>
        <v/>
      </c>
      <c r="P165" s="41" t="n"/>
      <c r="Q165" s="42">
        <f>IF(COUNT(C165:M165)&gt;0,1,0)</f>
        <v/>
      </c>
      <c r="R165" s="42">
        <f>IF(Q165=0,0,R164+1)</f>
        <v/>
      </c>
      <c r="S165" s="42">
        <f>IF(O165="",0,IF(O165=4,S164+1,0))</f>
        <v/>
      </c>
      <c r="T165" s="43">
        <f>IF(Q165=1,A165,"")</f>
        <v/>
      </c>
    </row>
    <row r="166">
      <c r="A166" s="36">
        <f>A165+1</f>
        <v/>
      </c>
      <c r="B166" s="37">
        <f>IF(A166="","",TEXT(A166,"ddd"))</f>
        <v/>
      </c>
      <c r="C166" s="38" t="n"/>
      <c r="D166" s="38" t="n"/>
      <c r="E166" s="38" t="n"/>
      <c r="F166" s="38" t="n"/>
      <c r="G166" s="38" t="n"/>
      <c r="H166" s="38" t="n"/>
      <c r="I166" s="38" t="n"/>
      <c r="J166" s="38" t="n"/>
      <c r="K166" s="38" t="n"/>
      <c r="L166" s="39" t="n"/>
      <c r="M166" s="39" t="n"/>
      <c r="N166" s="38" t="n"/>
      <c r="O166" s="40">
        <f>IF($Q166=0,"",IF(C166&gt;=C$2,1,0)+IF(D166&gt;=D$2,1,0)+IF(E166&gt;=E$2,1,0)+IF(F166&gt;=F$2,1,0))</f>
        <v/>
      </c>
      <c r="P166" s="41" t="n"/>
      <c r="Q166" s="42">
        <f>IF(COUNT(C166:M166)&gt;0,1,0)</f>
        <v/>
      </c>
      <c r="R166" s="42">
        <f>IF(Q166=0,0,R165+1)</f>
        <v/>
      </c>
      <c r="S166" s="42">
        <f>IF(O166="",0,IF(O166=4,S165+1,0))</f>
        <v/>
      </c>
      <c r="T166" s="43">
        <f>IF(Q166=1,A166,"")</f>
        <v/>
      </c>
    </row>
    <row r="167">
      <c r="A167" s="36">
        <f>A166+1</f>
        <v/>
      </c>
      <c r="B167" s="37">
        <f>IF(A167="","",TEXT(A167,"ddd"))</f>
        <v/>
      </c>
      <c r="C167" s="38" t="n"/>
      <c r="D167" s="38" t="n"/>
      <c r="E167" s="38" t="n"/>
      <c r="F167" s="38" t="n"/>
      <c r="G167" s="38" t="n"/>
      <c r="H167" s="38" t="n"/>
      <c r="I167" s="38" t="n"/>
      <c r="J167" s="38" t="n"/>
      <c r="K167" s="38" t="n"/>
      <c r="L167" s="39" t="n"/>
      <c r="M167" s="39" t="n"/>
      <c r="N167" s="38" t="n"/>
      <c r="O167" s="40">
        <f>IF($Q167=0,"",IF(C167&gt;=C$2,1,0)+IF(D167&gt;=D$2,1,0)+IF(E167&gt;=E$2,1,0)+IF(F167&gt;=F$2,1,0))</f>
        <v/>
      </c>
      <c r="P167" s="41" t="n"/>
      <c r="Q167" s="42">
        <f>IF(COUNT(C167:M167)&gt;0,1,0)</f>
        <v/>
      </c>
      <c r="R167" s="42">
        <f>IF(Q167=0,0,R166+1)</f>
        <v/>
      </c>
      <c r="S167" s="42">
        <f>IF(O167="",0,IF(O167=4,S166+1,0))</f>
        <v/>
      </c>
      <c r="T167" s="43">
        <f>IF(Q167=1,A167,"")</f>
        <v/>
      </c>
    </row>
    <row r="168">
      <c r="A168" s="36">
        <f>A167+1</f>
        <v/>
      </c>
      <c r="B168" s="37">
        <f>IF(A168="","",TEXT(A168,"ddd"))</f>
        <v/>
      </c>
      <c r="C168" s="38" t="n"/>
      <c r="D168" s="38" t="n"/>
      <c r="E168" s="38" t="n"/>
      <c r="F168" s="38" t="n"/>
      <c r="G168" s="38" t="n"/>
      <c r="H168" s="38" t="n"/>
      <c r="I168" s="38" t="n"/>
      <c r="J168" s="38" t="n"/>
      <c r="K168" s="38" t="n"/>
      <c r="L168" s="39" t="n"/>
      <c r="M168" s="39" t="n"/>
      <c r="N168" s="38" t="n"/>
      <c r="O168" s="40">
        <f>IF($Q168=0,"",IF(C168&gt;=C$2,1,0)+IF(D168&gt;=D$2,1,0)+IF(E168&gt;=E$2,1,0)+IF(F168&gt;=F$2,1,0))</f>
        <v/>
      </c>
      <c r="P168" s="41" t="n"/>
      <c r="Q168" s="42">
        <f>IF(COUNT(C168:M168)&gt;0,1,0)</f>
        <v/>
      </c>
      <c r="R168" s="42">
        <f>IF(Q168=0,0,R167+1)</f>
        <v/>
      </c>
      <c r="S168" s="42">
        <f>IF(O168="",0,IF(O168=4,S167+1,0))</f>
        <v/>
      </c>
      <c r="T168" s="43">
        <f>IF(Q168=1,A168,"")</f>
        <v/>
      </c>
    </row>
    <row r="169">
      <c r="A169" s="36">
        <f>A168+1</f>
        <v/>
      </c>
      <c r="B169" s="37">
        <f>IF(A169="","",TEXT(A169,"ddd"))</f>
        <v/>
      </c>
      <c r="C169" s="38" t="n"/>
      <c r="D169" s="38" t="n"/>
      <c r="E169" s="38" t="n"/>
      <c r="F169" s="38" t="n"/>
      <c r="G169" s="38" t="n"/>
      <c r="H169" s="38" t="n"/>
      <c r="I169" s="38" t="n"/>
      <c r="J169" s="38" t="n"/>
      <c r="K169" s="38" t="n"/>
      <c r="L169" s="39" t="n"/>
      <c r="M169" s="39" t="n"/>
      <c r="N169" s="38" t="n"/>
      <c r="O169" s="40">
        <f>IF($Q169=0,"",IF(C169&gt;=C$2,1,0)+IF(D169&gt;=D$2,1,0)+IF(E169&gt;=E$2,1,0)+IF(F169&gt;=F$2,1,0))</f>
        <v/>
      </c>
      <c r="P169" s="41" t="n"/>
      <c r="Q169" s="42">
        <f>IF(COUNT(C169:M169)&gt;0,1,0)</f>
        <v/>
      </c>
      <c r="R169" s="42">
        <f>IF(Q169=0,0,R168+1)</f>
        <v/>
      </c>
      <c r="S169" s="42">
        <f>IF(O169="",0,IF(O169=4,S168+1,0))</f>
        <v/>
      </c>
      <c r="T169" s="43">
        <f>IF(Q169=1,A169,"")</f>
        <v/>
      </c>
    </row>
    <row r="170">
      <c r="A170" s="36">
        <f>A169+1</f>
        <v/>
      </c>
      <c r="B170" s="37">
        <f>IF(A170="","",TEXT(A170,"ddd"))</f>
        <v/>
      </c>
      <c r="C170" s="38" t="n"/>
      <c r="D170" s="38" t="n"/>
      <c r="E170" s="38" t="n"/>
      <c r="F170" s="38" t="n"/>
      <c r="G170" s="38" t="n"/>
      <c r="H170" s="38" t="n"/>
      <c r="I170" s="38" t="n"/>
      <c r="J170" s="38" t="n"/>
      <c r="K170" s="38" t="n"/>
      <c r="L170" s="39" t="n"/>
      <c r="M170" s="39" t="n"/>
      <c r="N170" s="38" t="n"/>
      <c r="O170" s="40">
        <f>IF($Q170=0,"",IF(C170&gt;=C$2,1,0)+IF(D170&gt;=D$2,1,0)+IF(E170&gt;=E$2,1,0)+IF(F170&gt;=F$2,1,0))</f>
        <v/>
      </c>
      <c r="P170" s="41" t="n"/>
      <c r="Q170" s="42">
        <f>IF(COUNT(C170:M170)&gt;0,1,0)</f>
        <v/>
      </c>
      <c r="R170" s="42">
        <f>IF(Q170=0,0,R169+1)</f>
        <v/>
      </c>
      <c r="S170" s="42">
        <f>IF(O170="",0,IF(O170=4,S169+1,0))</f>
        <v/>
      </c>
      <c r="T170" s="43">
        <f>IF(Q170=1,A170,"")</f>
        <v/>
      </c>
    </row>
    <row r="171">
      <c r="A171" s="36">
        <f>A170+1</f>
        <v/>
      </c>
      <c r="B171" s="37">
        <f>IF(A171="","",TEXT(A171,"ddd"))</f>
        <v/>
      </c>
      <c r="C171" s="38" t="n"/>
      <c r="D171" s="38" t="n"/>
      <c r="E171" s="38" t="n"/>
      <c r="F171" s="38" t="n"/>
      <c r="G171" s="38" t="n"/>
      <c r="H171" s="38" t="n"/>
      <c r="I171" s="38" t="n"/>
      <c r="J171" s="38" t="n"/>
      <c r="K171" s="38" t="n"/>
      <c r="L171" s="39" t="n"/>
      <c r="M171" s="39" t="n"/>
      <c r="N171" s="38" t="n"/>
      <c r="O171" s="40">
        <f>IF($Q171=0,"",IF(C171&gt;=C$2,1,0)+IF(D171&gt;=D$2,1,0)+IF(E171&gt;=E$2,1,0)+IF(F171&gt;=F$2,1,0))</f>
        <v/>
      </c>
      <c r="P171" s="41" t="n"/>
      <c r="Q171" s="42">
        <f>IF(COUNT(C171:M171)&gt;0,1,0)</f>
        <v/>
      </c>
      <c r="R171" s="42">
        <f>IF(Q171=0,0,R170+1)</f>
        <v/>
      </c>
      <c r="S171" s="42">
        <f>IF(O171="",0,IF(O171=4,S170+1,0))</f>
        <v/>
      </c>
      <c r="T171" s="43">
        <f>IF(Q171=1,A171,"")</f>
        <v/>
      </c>
    </row>
    <row r="172">
      <c r="A172" s="36">
        <f>A171+1</f>
        <v/>
      </c>
      <c r="B172" s="37">
        <f>IF(A172="","",TEXT(A172,"ddd"))</f>
        <v/>
      </c>
      <c r="C172" s="38" t="n"/>
      <c r="D172" s="38" t="n"/>
      <c r="E172" s="38" t="n"/>
      <c r="F172" s="38" t="n"/>
      <c r="G172" s="38" t="n"/>
      <c r="H172" s="38" t="n"/>
      <c r="I172" s="38" t="n"/>
      <c r="J172" s="38" t="n"/>
      <c r="K172" s="38" t="n"/>
      <c r="L172" s="39" t="n"/>
      <c r="M172" s="39" t="n"/>
      <c r="N172" s="38" t="n"/>
      <c r="O172" s="40">
        <f>IF($Q172=0,"",IF(C172&gt;=C$2,1,0)+IF(D172&gt;=D$2,1,0)+IF(E172&gt;=E$2,1,0)+IF(F172&gt;=F$2,1,0))</f>
        <v/>
      </c>
      <c r="P172" s="41" t="n"/>
      <c r="Q172" s="42">
        <f>IF(COUNT(C172:M172)&gt;0,1,0)</f>
        <v/>
      </c>
      <c r="R172" s="42">
        <f>IF(Q172=0,0,R171+1)</f>
        <v/>
      </c>
      <c r="S172" s="42">
        <f>IF(O172="",0,IF(O172=4,S171+1,0))</f>
        <v/>
      </c>
      <c r="T172" s="43">
        <f>IF(Q172=1,A172,"")</f>
        <v/>
      </c>
    </row>
    <row r="173">
      <c r="A173" s="36">
        <f>A172+1</f>
        <v/>
      </c>
      <c r="B173" s="37">
        <f>IF(A173="","",TEXT(A173,"ddd"))</f>
        <v/>
      </c>
      <c r="C173" s="38" t="n"/>
      <c r="D173" s="38" t="n"/>
      <c r="E173" s="38" t="n"/>
      <c r="F173" s="38" t="n"/>
      <c r="G173" s="38" t="n"/>
      <c r="H173" s="38" t="n"/>
      <c r="I173" s="38" t="n"/>
      <c r="J173" s="38" t="n"/>
      <c r="K173" s="38" t="n"/>
      <c r="L173" s="39" t="n"/>
      <c r="M173" s="39" t="n"/>
      <c r="N173" s="38" t="n"/>
      <c r="O173" s="40">
        <f>IF($Q173=0,"",IF(C173&gt;=C$2,1,0)+IF(D173&gt;=D$2,1,0)+IF(E173&gt;=E$2,1,0)+IF(F173&gt;=F$2,1,0))</f>
        <v/>
      </c>
      <c r="P173" s="41" t="n"/>
      <c r="Q173" s="42">
        <f>IF(COUNT(C173:M173)&gt;0,1,0)</f>
        <v/>
      </c>
      <c r="R173" s="42">
        <f>IF(Q173=0,0,R172+1)</f>
        <v/>
      </c>
      <c r="S173" s="42">
        <f>IF(O173="",0,IF(O173=4,S172+1,0))</f>
        <v/>
      </c>
      <c r="T173" s="43">
        <f>IF(Q173=1,A173,"")</f>
        <v/>
      </c>
    </row>
    <row r="174">
      <c r="A174" s="36">
        <f>A173+1</f>
        <v/>
      </c>
      <c r="B174" s="37">
        <f>IF(A174="","",TEXT(A174,"ddd"))</f>
        <v/>
      </c>
      <c r="C174" s="38" t="n"/>
      <c r="D174" s="38" t="n"/>
      <c r="E174" s="38" t="n"/>
      <c r="F174" s="38" t="n"/>
      <c r="G174" s="38" t="n"/>
      <c r="H174" s="38" t="n"/>
      <c r="I174" s="38" t="n"/>
      <c r="J174" s="38" t="n"/>
      <c r="K174" s="38" t="n"/>
      <c r="L174" s="39" t="n"/>
      <c r="M174" s="39" t="n"/>
      <c r="N174" s="38" t="n"/>
      <c r="O174" s="40">
        <f>IF($Q174=0,"",IF(C174&gt;=C$2,1,0)+IF(D174&gt;=D$2,1,0)+IF(E174&gt;=E$2,1,0)+IF(F174&gt;=F$2,1,0))</f>
        <v/>
      </c>
      <c r="P174" s="41" t="n"/>
      <c r="Q174" s="42">
        <f>IF(COUNT(C174:M174)&gt;0,1,0)</f>
        <v/>
      </c>
      <c r="R174" s="42">
        <f>IF(Q174=0,0,R173+1)</f>
        <v/>
      </c>
      <c r="S174" s="42">
        <f>IF(O174="",0,IF(O174=4,S173+1,0))</f>
        <v/>
      </c>
      <c r="T174" s="43">
        <f>IF(Q174=1,A174,"")</f>
        <v/>
      </c>
    </row>
    <row r="175">
      <c r="A175" s="36">
        <f>A174+1</f>
        <v/>
      </c>
      <c r="B175" s="37">
        <f>IF(A175="","",TEXT(A175,"ddd"))</f>
        <v/>
      </c>
      <c r="C175" s="38" t="n"/>
      <c r="D175" s="38" t="n"/>
      <c r="E175" s="38" t="n"/>
      <c r="F175" s="38" t="n"/>
      <c r="G175" s="38" t="n"/>
      <c r="H175" s="38" t="n"/>
      <c r="I175" s="38" t="n"/>
      <c r="J175" s="38" t="n"/>
      <c r="K175" s="38" t="n"/>
      <c r="L175" s="39" t="n"/>
      <c r="M175" s="39" t="n"/>
      <c r="N175" s="38" t="n"/>
      <c r="O175" s="40">
        <f>IF($Q175=0,"",IF(C175&gt;=C$2,1,0)+IF(D175&gt;=D$2,1,0)+IF(E175&gt;=E$2,1,0)+IF(F175&gt;=F$2,1,0))</f>
        <v/>
      </c>
      <c r="P175" s="41" t="n"/>
      <c r="Q175" s="42">
        <f>IF(COUNT(C175:M175)&gt;0,1,0)</f>
        <v/>
      </c>
      <c r="R175" s="42">
        <f>IF(Q175=0,0,R174+1)</f>
        <v/>
      </c>
      <c r="S175" s="42">
        <f>IF(O175="",0,IF(O175=4,S174+1,0))</f>
        <v/>
      </c>
      <c r="T175" s="43">
        <f>IF(Q175=1,A175,"")</f>
        <v/>
      </c>
    </row>
    <row r="176">
      <c r="A176" s="36">
        <f>A175+1</f>
        <v/>
      </c>
      <c r="B176" s="37">
        <f>IF(A176="","",TEXT(A176,"ddd"))</f>
        <v/>
      </c>
      <c r="C176" s="38" t="n"/>
      <c r="D176" s="38" t="n"/>
      <c r="E176" s="38" t="n"/>
      <c r="F176" s="38" t="n"/>
      <c r="G176" s="38" t="n"/>
      <c r="H176" s="38" t="n"/>
      <c r="I176" s="38" t="n"/>
      <c r="J176" s="38" t="n"/>
      <c r="K176" s="38" t="n"/>
      <c r="L176" s="39" t="n"/>
      <c r="M176" s="39" t="n"/>
      <c r="N176" s="38" t="n"/>
      <c r="O176" s="40">
        <f>IF($Q176=0,"",IF(C176&gt;=C$2,1,0)+IF(D176&gt;=D$2,1,0)+IF(E176&gt;=E$2,1,0)+IF(F176&gt;=F$2,1,0))</f>
        <v/>
      </c>
      <c r="P176" s="41" t="n"/>
      <c r="Q176" s="42">
        <f>IF(COUNT(C176:M176)&gt;0,1,0)</f>
        <v/>
      </c>
      <c r="R176" s="42">
        <f>IF(Q176=0,0,R175+1)</f>
        <v/>
      </c>
      <c r="S176" s="42">
        <f>IF(O176="",0,IF(O176=4,S175+1,0))</f>
        <v/>
      </c>
      <c r="T176" s="43">
        <f>IF(Q176=1,A176,"")</f>
        <v/>
      </c>
    </row>
    <row r="177">
      <c r="A177" s="36">
        <f>A176+1</f>
        <v/>
      </c>
      <c r="B177" s="37">
        <f>IF(A177="","",TEXT(A177,"ddd"))</f>
        <v/>
      </c>
      <c r="C177" s="38" t="n"/>
      <c r="D177" s="38" t="n"/>
      <c r="E177" s="38" t="n"/>
      <c r="F177" s="38" t="n"/>
      <c r="G177" s="38" t="n"/>
      <c r="H177" s="38" t="n"/>
      <c r="I177" s="38" t="n"/>
      <c r="J177" s="38" t="n"/>
      <c r="K177" s="38" t="n"/>
      <c r="L177" s="39" t="n"/>
      <c r="M177" s="39" t="n"/>
      <c r="N177" s="38" t="n"/>
      <c r="O177" s="40">
        <f>IF($Q177=0,"",IF(C177&gt;=C$2,1,0)+IF(D177&gt;=D$2,1,0)+IF(E177&gt;=E$2,1,0)+IF(F177&gt;=F$2,1,0))</f>
        <v/>
      </c>
      <c r="P177" s="41" t="n"/>
      <c r="Q177" s="42">
        <f>IF(COUNT(C177:M177)&gt;0,1,0)</f>
        <v/>
      </c>
      <c r="R177" s="42">
        <f>IF(Q177=0,0,R176+1)</f>
        <v/>
      </c>
      <c r="S177" s="42">
        <f>IF(O177="",0,IF(O177=4,S176+1,0))</f>
        <v/>
      </c>
      <c r="T177" s="43">
        <f>IF(Q177=1,A177,"")</f>
        <v/>
      </c>
    </row>
    <row r="178">
      <c r="A178" s="36">
        <f>A177+1</f>
        <v/>
      </c>
      <c r="B178" s="37">
        <f>IF(A178="","",TEXT(A178,"ddd"))</f>
        <v/>
      </c>
      <c r="C178" s="38" t="n"/>
      <c r="D178" s="38" t="n"/>
      <c r="E178" s="38" t="n"/>
      <c r="F178" s="38" t="n"/>
      <c r="G178" s="38" t="n"/>
      <c r="H178" s="38" t="n"/>
      <c r="I178" s="38" t="n"/>
      <c r="J178" s="38" t="n"/>
      <c r="K178" s="38" t="n"/>
      <c r="L178" s="39" t="n"/>
      <c r="M178" s="39" t="n"/>
      <c r="N178" s="38" t="n"/>
      <c r="O178" s="40">
        <f>IF($Q178=0,"",IF(C178&gt;=C$2,1,0)+IF(D178&gt;=D$2,1,0)+IF(E178&gt;=E$2,1,0)+IF(F178&gt;=F$2,1,0))</f>
        <v/>
      </c>
      <c r="P178" s="41" t="n"/>
      <c r="Q178" s="42">
        <f>IF(COUNT(C178:M178)&gt;0,1,0)</f>
        <v/>
      </c>
      <c r="R178" s="42">
        <f>IF(Q178=0,0,R177+1)</f>
        <v/>
      </c>
      <c r="S178" s="42">
        <f>IF(O178="",0,IF(O178=4,S177+1,0))</f>
        <v/>
      </c>
      <c r="T178" s="43">
        <f>IF(Q178=1,A178,"")</f>
        <v/>
      </c>
    </row>
    <row r="179">
      <c r="A179" s="36">
        <f>A178+1</f>
        <v/>
      </c>
      <c r="B179" s="37">
        <f>IF(A179="","",TEXT(A179,"ddd"))</f>
        <v/>
      </c>
      <c r="C179" s="38" t="n"/>
      <c r="D179" s="38" t="n"/>
      <c r="E179" s="38" t="n"/>
      <c r="F179" s="38" t="n"/>
      <c r="G179" s="38" t="n"/>
      <c r="H179" s="38" t="n"/>
      <c r="I179" s="38" t="n"/>
      <c r="J179" s="38" t="n"/>
      <c r="K179" s="38" t="n"/>
      <c r="L179" s="39" t="n"/>
      <c r="M179" s="39" t="n"/>
      <c r="N179" s="38" t="n"/>
      <c r="O179" s="40">
        <f>IF($Q179=0,"",IF(C179&gt;=C$2,1,0)+IF(D179&gt;=D$2,1,0)+IF(E179&gt;=E$2,1,0)+IF(F179&gt;=F$2,1,0))</f>
        <v/>
      </c>
      <c r="P179" s="41" t="n"/>
      <c r="Q179" s="42">
        <f>IF(COUNT(C179:M179)&gt;0,1,0)</f>
        <v/>
      </c>
      <c r="R179" s="42">
        <f>IF(Q179=0,0,R178+1)</f>
        <v/>
      </c>
      <c r="S179" s="42">
        <f>IF(O179="",0,IF(O179=4,S178+1,0))</f>
        <v/>
      </c>
      <c r="T179" s="43">
        <f>IF(Q179=1,A179,"")</f>
        <v/>
      </c>
    </row>
    <row r="180">
      <c r="A180" s="36">
        <f>A179+1</f>
        <v/>
      </c>
      <c r="B180" s="37">
        <f>IF(A180="","",TEXT(A180,"ddd"))</f>
        <v/>
      </c>
      <c r="C180" s="38" t="n"/>
      <c r="D180" s="38" t="n"/>
      <c r="E180" s="38" t="n"/>
      <c r="F180" s="38" t="n"/>
      <c r="G180" s="38" t="n"/>
      <c r="H180" s="38" t="n"/>
      <c r="I180" s="38" t="n"/>
      <c r="J180" s="38" t="n"/>
      <c r="K180" s="38" t="n"/>
      <c r="L180" s="39" t="n"/>
      <c r="M180" s="39" t="n"/>
      <c r="N180" s="38" t="n"/>
      <c r="O180" s="40">
        <f>IF($Q180=0,"",IF(C180&gt;=C$2,1,0)+IF(D180&gt;=D$2,1,0)+IF(E180&gt;=E$2,1,0)+IF(F180&gt;=F$2,1,0))</f>
        <v/>
      </c>
      <c r="P180" s="41" t="n"/>
      <c r="Q180" s="42">
        <f>IF(COUNT(C180:M180)&gt;0,1,0)</f>
        <v/>
      </c>
      <c r="R180" s="42">
        <f>IF(Q180=0,0,R179+1)</f>
        <v/>
      </c>
      <c r="S180" s="42">
        <f>IF(O180="",0,IF(O180=4,S179+1,0))</f>
        <v/>
      </c>
      <c r="T180" s="43">
        <f>IF(Q180=1,A180,"")</f>
        <v/>
      </c>
    </row>
    <row r="181">
      <c r="A181" s="36">
        <f>A180+1</f>
        <v/>
      </c>
      <c r="B181" s="37">
        <f>IF(A181="","",TEXT(A181,"ddd"))</f>
        <v/>
      </c>
      <c r="C181" s="38" t="n"/>
      <c r="D181" s="38" t="n"/>
      <c r="E181" s="38" t="n"/>
      <c r="F181" s="38" t="n"/>
      <c r="G181" s="38" t="n"/>
      <c r="H181" s="38" t="n"/>
      <c r="I181" s="38" t="n"/>
      <c r="J181" s="38" t="n"/>
      <c r="K181" s="38" t="n"/>
      <c r="L181" s="39" t="n"/>
      <c r="M181" s="39" t="n"/>
      <c r="N181" s="38" t="n"/>
      <c r="O181" s="40">
        <f>IF($Q181=0,"",IF(C181&gt;=C$2,1,0)+IF(D181&gt;=D$2,1,0)+IF(E181&gt;=E$2,1,0)+IF(F181&gt;=F$2,1,0))</f>
        <v/>
      </c>
      <c r="P181" s="41" t="n"/>
      <c r="Q181" s="42">
        <f>IF(COUNT(C181:M181)&gt;0,1,0)</f>
        <v/>
      </c>
      <c r="R181" s="42">
        <f>IF(Q181=0,0,R180+1)</f>
        <v/>
      </c>
      <c r="S181" s="42">
        <f>IF(O181="",0,IF(O181=4,S180+1,0))</f>
        <v/>
      </c>
      <c r="T181" s="43">
        <f>IF(Q181=1,A181,"")</f>
        <v/>
      </c>
    </row>
    <row r="182">
      <c r="A182" s="36">
        <f>A181+1</f>
        <v/>
      </c>
      <c r="B182" s="37">
        <f>IF(A182="","",TEXT(A182,"ddd"))</f>
        <v/>
      </c>
      <c r="C182" s="38" t="n"/>
      <c r="D182" s="38" t="n"/>
      <c r="E182" s="38" t="n"/>
      <c r="F182" s="38" t="n"/>
      <c r="G182" s="38" t="n"/>
      <c r="H182" s="38" t="n"/>
      <c r="I182" s="38" t="n"/>
      <c r="J182" s="38" t="n"/>
      <c r="K182" s="38" t="n"/>
      <c r="L182" s="39" t="n"/>
      <c r="M182" s="39" t="n"/>
      <c r="N182" s="38" t="n"/>
      <c r="O182" s="40">
        <f>IF($Q182=0,"",IF(C182&gt;=C$2,1,0)+IF(D182&gt;=D$2,1,0)+IF(E182&gt;=E$2,1,0)+IF(F182&gt;=F$2,1,0))</f>
        <v/>
      </c>
      <c r="P182" s="41" t="n"/>
      <c r="Q182" s="42">
        <f>IF(COUNT(C182:M182)&gt;0,1,0)</f>
        <v/>
      </c>
      <c r="R182" s="42">
        <f>IF(Q182=0,0,R181+1)</f>
        <v/>
      </c>
      <c r="S182" s="42">
        <f>IF(O182="",0,IF(O182=4,S181+1,0))</f>
        <v/>
      </c>
      <c r="T182" s="43">
        <f>IF(Q182=1,A182,"")</f>
        <v/>
      </c>
    </row>
    <row r="183">
      <c r="A183" s="36">
        <f>A182+1</f>
        <v/>
      </c>
      <c r="B183" s="37">
        <f>IF(A183="","",TEXT(A183,"ddd"))</f>
        <v/>
      </c>
      <c r="C183" s="38" t="n"/>
      <c r="D183" s="38" t="n"/>
      <c r="E183" s="38" t="n"/>
      <c r="F183" s="38" t="n"/>
      <c r="G183" s="38" t="n"/>
      <c r="H183" s="38" t="n"/>
      <c r="I183" s="38" t="n"/>
      <c r="J183" s="38" t="n"/>
      <c r="K183" s="38" t="n"/>
      <c r="L183" s="39" t="n"/>
      <c r="M183" s="39" t="n"/>
      <c r="N183" s="38" t="n"/>
      <c r="O183" s="40">
        <f>IF($Q183=0,"",IF(C183&gt;=C$2,1,0)+IF(D183&gt;=D$2,1,0)+IF(E183&gt;=E$2,1,0)+IF(F183&gt;=F$2,1,0))</f>
        <v/>
      </c>
      <c r="P183" s="41" t="n"/>
      <c r="Q183" s="42">
        <f>IF(COUNT(C183:M183)&gt;0,1,0)</f>
        <v/>
      </c>
      <c r="R183" s="42">
        <f>IF(Q183=0,0,R182+1)</f>
        <v/>
      </c>
      <c r="S183" s="42">
        <f>IF(O183="",0,IF(O183=4,S182+1,0))</f>
        <v/>
      </c>
      <c r="T183" s="43">
        <f>IF(Q183=1,A183,"")</f>
        <v/>
      </c>
    </row>
    <row r="184">
      <c r="A184" s="36">
        <f>A183+1</f>
        <v/>
      </c>
      <c r="B184" s="37">
        <f>IF(A184="","",TEXT(A184,"ddd"))</f>
        <v/>
      </c>
      <c r="C184" s="38" t="n"/>
      <c r="D184" s="38" t="n"/>
      <c r="E184" s="38" t="n"/>
      <c r="F184" s="38" t="n"/>
      <c r="G184" s="38" t="n"/>
      <c r="H184" s="38" t="n"/>
      <c r="I184" s="38" t="n"/>
      <c r="J184" s="38" t="n"/>
      <c r="K184" s="38" t="n"/>
      <c r="L184" s="39" t="n"/>
      <c r="M184" s="39" t="n"/>
      <c r="N184" s="38" t="n"/>
      <c r="O184" s="40">
        <f>IF($Q184=0,"",IF(C184&gt;=C$2,1,0)+IF(D184&gt;=D$2,1,0)+IF(E184&gt;=E$2,1,0)+IF(F184&gt;=F$2,1,0))</f>
        <v/>
      </c>
      <c r="P184" s="41" t="n"/>
      <c r="Q184" s="42">
        <f>IF(COUNT(C184:M184)&gt;0,1,0)</f>
        <v/>
      </c>
      <c r="R184" s="42">
        <f>IF(Q184=0,0,R183+1)</f>
        <v/>
      </c>
      <c r="S184" s="42">
        <f>IF(O184="",0,IF(O184=4,S183+1,0))</f>
        <v/>
      </c>
      <c r="T184" s="43">
        <f>IF(Q184=1,A184,"")</f>
        <v/>
      </c>
    </row>
    <row r="185">
      <c r="A185" s="36">
        <f>A184+1</f>
        <v/>
      </c>
      <c r="B185" s="37">
        <f>IF(A185="","",TEXT(A185,"ddd"))</f>
        <v/>
      </c>
      <c r="C185" s="38" t="n"/>
      <c r="D185" s="38" t="n"/>
      <c r="E185" s="38" t="n"/>
      <c r="F185" s="38" t="n"/>
      <c r="G185" s="38" t="n"/>
      <c r="H185" s="38" t="n"/>
      <c r="I185" s="38" t="n"/>
      <c r="J185" s="38" t="n"/>
      <c r="K185" s="38" t="n"/>
      <c r="L185" s="39" t="n"/>
      <c r="M185" s="39" t="n"/>
      <c r="N185" s="38" t="n"/>
      <c r="O185" s="40">
        <f>IF($Q185=0,"",IF(C185&gt;=C$2,1,0)+IF(D185&gt;=D$2,1,0)+IF(E185&gt;=E$2,1,0)+IF(F185&gt;=F$2,1,0))</f>
        <v/>
      </c>
      <c r="P185" s="41" t="n"/>
      <c r="Q185" s="42">
        <f>IF(COUNT(C185:M185)&gt;0,1,0)</f>
        <v/>
      </c>
      <c r="R185" s="42">
        <f>IF(Q185=0,0,R184+1)</f>
        <v/>
      </c>
      <c r="S185" s="42">
        <f>IF(O185="",0,IF(O185=4,S184+1,0))</f>
        <v/>
      </c>
      <c r="T185" s="43">
        <f>IF(Q185=1,A185,"")</f>
        <v/>
      </c>
    </row>
    <row r="186">
      <c r="A186" s="36">
        <f>A185+1</f>
        <v/>
      </c>
      <c r="B186" s="37">
        <f>IF(A186="","",TEXT(A186,"ddd"))</f>
        <v/>
      </c>
      <c r="C186" s="38" t="n"/>
      <c r="D186" s="38" t="n"/>
      <c r="E186" s="38" t="n"/>
      <c r="F186" s="38" t="n"/>
      <c r="G186" s="38" t="n"/>
      <c r="H186" s="38" t="n"/>
      <c r="I186" s="38" t="n"/>
      <c r="J186" s="38" t="n"/>
      <c r="K186" s="38" t="n"/>
      <c r="L186" s="39" t="n"/>
      <c r="M186" s="39" t="n"/>
      <c r="N186" s="38" t="n"/>
      <c r="O186" s="40">
        <f>IF($Q186=0,"",IF(C186&gt;=C$2,1,0)+IF(D186&gt;=D$2,1,0)+IF(E186&gt;=E$2,1,0)+IF(F186&gt;=F$2,1,0))</f>
        <v/>
      </c>
      <c r="P186" s="41" t="n"/>
      <c r="Q186" s="42">
        <f>IF(COUNT(C186:M186)&gt;0,1,0)</f>
        <v/>
      </c>
      <c r="R186" s="42">
        <f>IF(Q186=0,0,R185+1)</f>
        <v/>
      </c>
      <c r="S186" s="42">
        <f>IF(O186="",0,IF(O186=4,S185+1,0))</f>
        <v/>
      </c>
      <c r="T186" s="43">
        <f>IF(Q186=1,A186,"")</f>
        <v/>
      </c>
    </row>
    <row r="187">
      <c r="A187" s="36">
        <f>A186+1</f>
        <v/>
      </c>
      <c r="B187" s="37">
        <f>IF(A187="","",TEXT(A187,"ddd"))</f>
        <v/>
      </c>
      <c r="C187" s="38" t="n"/>
      <c r="D187" s="38" t="n"/>
      <c r="E187" s="38" t="n"/>
      <c r="F187" s="38" t="n"/>
      <c r="G187" s="38" t="n"/>
      <c r="H187" s="38" t="n"/>
      <c r="I187" s="38" t="n"/>
      <c r="J187" s="38" t="n"/>
      <c r="K187" s="38" t="n"/>
      <c r="L187" s="39" t="n"/>
      <c r="M187" s="39" t="n"/>
      <c r="N187" s="38" t="n"/>
      <c r="O187" s="40">
        <f>IF($Q187=0,"",IF(C187&gt;=C$2,1,0)+IF(D187&gt;=D$2,1,0)+IF(E187&gt;=E$2,1,0)+IF(F187&gt;=F$2,1,0))</f>
        <v/>
      </c>
      <c r="P187" s="41" t="n"/>
      <c r="Q187" s="42">
        <f>IF(COUNT(C187:M187)&gt;0,1,0)</f>
        <v/>
      </c>
      <c r="R187" s="42">
        <f>IF(Q187=0,0,R186+1)</f>
        <v/>
      </c>
      <c r="S187" s="42">
        <f>IF(O187="",0,IF(O187=4,S186+1,0))</f>
        <v/>
      </c>
      <c r="T187" s="43">
        <f>IF(Q187=1,A187,"")</f>
        <v/>
      </c>
    </row>
    <row r="188">
      <c r="A188" s="36">
        <f>A187+1</f>
        <v/>
      </c>
      <c r="B188" s="37">
        <f>IF(A188="","",TEXT(A188,"ddd"))</f>
        <v/>
      </c>
      <c r="C188" s="38" t="n"/>
      <c r="D188" s="38" t="n"/>
      <c r="E188" s="38" t="n"/>
      <c r="F188" s="38" t="n"/>
      <c r="G188" s="38" t="n"/>
      <c r="H188" s="38" t="n"/>
      <c r="I188" s="38" t="n"/>
      <c r="J188" s="38" t="n"/>
      <c r="K188" s="38" t="n"/>
      <c r="L188" s="39" t="n"/>
      <c r="M188" s="39" t="n"/>
      <c r="N188" s="38" t="n"/>
      <c r="O188" s="40">
        <f>IF($Q188=0,"",IF(C188&gt;=C$2,1,0)+IF(D188&gt;=D$2,1,0)+IF(E188&gt;=E$2,1,0)+IF(F188&gt;=F$2,1,0))</f>
        <v/>
      </c>
      <c r="P188" s="41" t="n"/>
      <c r="Q188" s="42">
        <f>IF(COUNT(C188:M188)&gt;0,1,0)</f>
        <v/>
      </c>
      <c r="R188" s="42">
        <f>IF(Q188=0,0,R187+1)</f>
        <v/>
      </c>
      <c r="S188" s="42">
        <f>IF(O188="",0,IF(O188=4,S187+1,0))</f>
        <v/>
      </c>
      <c r="T188" s="43">
        <f>IF(Q188=1,A188,"")</f>
        <v/>
      </c>
    </row>
    <row r="189">
      <c r="A189" s="36">
        <f>A188+1</f>
        <v/>
      </c>
      <c r="B189" s="37">
        <f>IF(A189="","",TEXT(A189,"ddd"))</f>
        <v/>
      </c>
      <c r="C189" s="38" t="n"/>
      <c r="D189" s="38" t="n"/>
      <c r="E189" s="38" t="n"/>
      <c r="F189" s="38" t="n"/>
      <c r="G189" s="38" t="n"/>
      <c r="H189" s="38" t="n"/>
      <c r="I189" s="38" t="n"/>
      <c r="J189" s="38" t="n"/>
      <c r="K189" s="38" t="n"/>
      <c r="L189" s="39" t="n"/>
      <c r="M189" s="39" t="n"/>
      <c r="N189" s="38" t="n"/>
      <c r="O189" s="40">
        <f>IF($Q189=0,"",IF(C189&gt;=C$2,1,0)+IF(D189&gt;=D$2,1,0)+IF(E189&gt;=E$2,1,0)+IF(F189&gt;=F$2,1,0))</f>
        <v/>
      </c>
      <c r="P189" s="41" t="n"/>
      <c r="Q189" s="42">
        <f>IF(COUNT(C189:M189)&gt;0,1,0)</f>
        <v/>
      </c>
      <c r="R189" s="42">
        <f>IF(Q189=0,0,R188+1)</f>
        <v/>
      </c>
      <c r="S189" s="42">
        <f>IF(O189="",0,IF(O189=4,S188+1,0))</f>
        <v/>
      </c>
      <c r="T189" s="43">
        <f>IF(Q189=1,A189,"")</f>
        <v/>
      </c>
    </row>
    <row r="190">
      <c r="A190" s="36">
        <f>A189+1</f>
        <v/>
      </c>
      <c r="B190" s="37">
        <f>IF(A190="","",TEXT(A190,"ddd"))</f>
        <v/>
      </c>
      <c r="C190" s="38" t="n"/>
      <c r="D190" s="38" t="n"/>
      <c r="E190" s="38" t="n"/>
      <c r="F190" s="38" t="n"/>
      <c r="G190" s="38" t="n"/>
      <c r="H190" s="38" t="n"/>
      <c r="I190" s="38" t="n"/>
      <c r="J190" s="38" t="n"/>
      <c r="K190" s="38" t="n"/>
      <c r="L190" s="39" t="n"/>
      <c r="M190" s="39" t="n"/>
      <c r="N190" s="38" t="n"/>
      <c r="O190" s="40">
        <f>IF($Q190=0,"",IF(C190&gt;=C$2,1,0)+IF(D190&gt;=D$2,1,0)+IF(E190&gt;=E$2,1,0)+IF(F190&gt;=F$2,1,0))</f>
        <v/>
      </c>
      <c r="P190" s="41" t="n"/>
      <c r="Q190" s="42">
        <f>IF(COUNT(C190:M190)&gt;0,1,0)</f>
        <v/>
      </c>
      <c r="R190" s="42">
        <f>IF(Q190=0,0,R189+1)</f>
        <v/>
      </c>
      <c r="S190" s="42">
        <f>IF(O190="",0,IF(O190=4,S189+1,0))</f>
        <v/>
      </c>
      <c r="T190" s="43">
        <f>IF(Q190=1,A190,"")</f>
        <v/>
      </c>
    </row>
    <row r="191">
      <c r="A191" s="36">
        <f>A190+1</f>
        <v/>
      </c>
      <c r="B191" s="37">
        <f>IF(A191="","",TEXT(A191,"ddd"))</f>
        <v/>
      </c>
      <c r="C191" s="38" t="n"/>
      <c r="D191" s="38" t="n"/>
      <c r="E191" s="38" t="n"/>
      <c r="F191" s="38" t="n"/>
      <c r="G191" s="38" t="n"/>
      <c r="H191" s="38" t="n"/>
      <c r="I191" s="38" t="n"/>
      <c r="J191" s="38" t="n"/>
      <c r="K191" s="38" t="n"/>
      <c r="L191" s="39" t="n"/>
      <c r="M191" s="39" t="n"/>
      <c r="N191" s="38" t="n"/>
      <c r="O191" s="40">
        <f>IF($Q191=0,"",IF(C191&gt;=C$2,1,0)+IF(D191&gt;=D$2,1,0)+IF(E191&gt;=E$2,1,0)+IF(F191&gt;=F$2,1,0))</f>
        <v/>
      </c>
      <c r="P191" s="41" t="n"/>
      <c r="Q191" s="42">
        <f>IF(COUNT(C191:M191)&gt;0,1,0)</f>
        <v/>
      </c>
      <c r="R191" s="42">
        <f>IF(Q191=0,0,R190+1)</f>
        <v/>
      </c>
      <c r="S191" s="42">
        <f>IF(O191="",0,IF(O191=4,S190+1,0))</f>
        <v/>
      </c>
      <c r="T191" s="43">
        <f>IF(Q191=1,A191,"")</f>
        <v/>
      </c>
    </row>
    <row r="192">
      <c r="A192" s="36">
        <f>A191+1</f>
        <v/>
      </c>
      <c r="B192" s="37">
        <f>IF(A192="","",TEXT(A192,"ddd"))</f>
        <v/>
      </c>
      <c r="C192" s="38" t="n"/>
      <c r="D192" s="38" t="n"/>
      <c r="E192" s="38" t="n"/>
      <c r="F192" s="38" t="n"/>
      <c r="G192" s="38" t="n"/>
      <c r="H192" s="38" t="n"/>
      <c r="I192" s="38" t="n"/>
      <c r="J192" s="38" t="n"/>
      <c r="K192" s="38" t="n"/>
      <c r="L192" s="39" t="n"/>
      <c r="M192" s="39" t="n"/>
      <c r="N192" s="38" t="n"/>
      <c r="O192" s="40">
        <f>IF($Q192=0,"",IF(C192&gt;=C$2,1,0)+IF(D192&gt;=D$2,1,0)+IF(E192&gt;=E$2,1,0)+IF(F192&gt;=F$2,1,0))</f>
        <v/>
      </c>
      <c r="P192" s="41" t="n"/>
      <c r="Q192" s="42">
        <f>IF(COUNT(C192:M192)&gt;0,1,0)</f>
        <v/>
      </c>
      <c r="R192" s="42">
        <f>IF(Q192=0,0,R191+1)</f>
        <v/>
      </c>
      <c r="S192" s="42">
        <f>IF(O192="",0,IF(O192=4,S191+1,0))</f>
        <v/>
      </c>
      <c r="T192" s="43">
        <f>IF(Q192=1,A192,"")</f>
        <v/>
      </c>
    </row>
    <row r="193">
      <c r="A193" s="36">
        <f>A192+1</f>
        <v/>
      </c>
      <c r="B193" s="37">
        <f>IF(A193="","",TEXT(A193,"ddd"))</f>
        <v/>
      </c>
      <c r="C193" s="38" t="n"/>
      <c r="D193" s="38" t="n"/>
      <c r="E193" s="38" t="n"/>
      <c r="F193" s="38" t="n"/>
      <c r="G193" s="38" t="n"/>
      <c r="H193" s="38" t="n"/>
      <c r="I193" s="38" t="n"/>
      <c r="J193" s="38" t="n"/>
      <c r="K193" s="38" t="n"/>
      <c r="L193" s="39" t="n"/>
      <c r="M193" s="39" t="n"/>
      <c r="N193" s="38" t="n"/>
      <c r="O193" s="40">
        <f>IF($Q193=0,"",IF(C193&gt;=C$2,1,0)+IF(D193&gt;=D$2,1,0)+IF(E193&gt;=E$2,1,0)+IF(F193&gt;=F$2,1,0))</f>
        <v/>
      </c>
      <c r="P193" s="41" t="n"/>
      <c r="Q193" s="42">
        <f>IF(COUNT(C193:M193)&gt;0,1,0)</f>
        <v/>
      </c>
      <c r="R193" s="42">
        <f>IF(Q193=0,0,R192+1)</f>
        <v/>
      </c>
      <c r="S193" s="42">
        <f>IF(O193="",0,IF(O193=4,S192+1,0))</f>
        <v/>
      </c>
      <c r="T193" s="43">
        <f>IF(Q193=1,A193,"")</f>
        <v/>
      </c>
    </row>
    <row r="194">
      <c r="A194" s="36">
        <f>A193+1</f>
        <v/>
      </c>
      <c r="B194" s="37">
        <f>IF(A194="","",TEXT(A194,"ddd"))</f>
        <v/>
      </c>
      <c r="C194" s="38" t="n"/>
      <c r="D194" s="38" t="n"/>
      <c r="E194" s="38" t="n"/>
      <c r="F194" s="38" t="n"/>
      <c r="G194" s="38" t="n"/>
      <c r="H194" s="38" t="n"/>
      <c r="I194" s="38" t="n"/>
      <c r="J194" s="38" t="n"/>
      <c r="K194" s="38" t="n"/>
      <c r="L194" s="39" t="n"/>
      <c r="M194" s="39" t="n"/>
      <c r="N194" s="38" t="n"/>
      <c r="O194" s="40">
        <f>IF($Q194=0,"",IF(C194&gt;=C$2,1,0)+IF(D194&gt;=D$2,1,0)+IF(E194&gt;=E$2,1,0)+IF(F194&gt;=F$2,1,0))</f>
        <v/>
      </c>
      <c r="P194" s="41" t="n"/>
      <c r="Q194" s="42">
        <f>IF(COUNT(C194:M194)&gt;0,1,0)</f>
        <v/>
      </c>
      <c r="R194" s="42">
        <f>IF(Q194=0,0,R193+1)</f>
        <v/>
      </c>
      <c r="S194" s="42">
        <f>IF(O194="",0,IF(O194=4,S193+1,0))</f>
        <v/>
      </c>
      <c r="T194" s="43">
        <f>IF(Q194=1,A194,"")</f>
        <v/>
      </c>
    </row>
    <row r="195">
      <c r="A195" s="36">
        <f>A194+1</f>
        <v/>
      </c>
      <c r="B195" s="37">
        <f>IF(A195="","",TEXT(A195,"ddd"))</f>
        <v/>
      </c>
      <c r="C195" s="38" t="n"/>
      <c r="D195" s="38" t="n"/>
      <c r="E195" s="38" t="n"/>
      <c r="F195" s="38" t="n"/>
      <c r="G195" s="38" t="n"/>
      <c r="H195" s="38" t="n"/>
      <c r="I195" s="38" t="n"/>
      <c r="J195" s="38" t="n"/>
      <c r="K195" s="38" t="n"/>
      <c r="L195" s="39" t="n"/>
      <c r="M195" s="39" t="n"/>
      <c r="N195" s="38" t="n"/>
      <c r="O195" s="40">
        <f>IF($Q195=0,"",IF(C195&gt;=C$2,1,0)+IF(D195&gt;=D$2,1,0)+IF(E195&gt;=E$2,1,0)+IF(F195&gt;=F$2,1,0))</f>
        <v/>
      </c>
      <c r="P195" s="41" t="n"/>
      <c r="Q195" s="42">
        <f>IF(COUNT(C195:M195)&gt;0,1,0)</f>
        <v/>
      </c>
      <c r="R195" s="42">
        <f>IF(Q195=0,0,R194+1)</f>
        <v/>
      </c>
      <c r="S195" s="42">
        <f>IF(O195="",0,IF(O195=4,S194+1,0))</f>
        <v/>
      </c>
      <c r="T195" s="43">
        <f>IF(Q195=1,A195,"")</f>
        <v/>
      </c>
    </row>
    <row r="196">
      <c r="A196" s="36">
        <f>A195+1</f>
        <v/>
      </c>
      <c r="B196" s="37">
        <f>IF(A196="","",TEXT(A196,"ddd"))</f>
        <v/>
      </c>
      <c r="C196" s="38" t="n"/>
      <c r="D196" s="38" t="n"/>
      <c r="E196" s="38" t="n"/>
      <c r="F196" s="38" t="n"/>
      <c r="G196" s="38" t="n"/>
      <c r="H196" s="38" t="n"/>
      <c r="I196" s="38" t="n"/>
      <c r="J196" s="38" t="n"/>
      <c r="K196" s="38" t="n"/>
      <c r="L196" s="39" t="n"/>
      <c r="M196" s="39" t="n"/>
      <c r="N196" s="38" t="n"/>
      <c r="O196" s="40">
        <f>IF($Q196=0,"",IF(C196&gt;=C$2,1,0)+IF(D196&gt;=D$2,1,0)+IF(E196&gt;=E$2,1,0)+IF(F196&gt;=F$2,1,0))</f>
        <v/>
      </c>
      <c r="P196" s="41" t="n"/>
      <c r="Q196" s="42">
        <f>IF(COUNT(C196:M196)&gt;0,1,0)</f>
        <v/>
      </c>
      <c r="R196" s="42">
        <f>IF(Q196=0,0,R195+1)</f>
        <v/>
      </c>
      <c r="S196" s="42">
        <f>IF(O196="",0,IF(O196=4,S195+1,0))</f>
        <v/>
      </c>
      <c r="T196" s="43">
        <f>IF(Q196=1,A196,"")</f>
        <v/>
      </c>
    </row>
    <row r="197">
      <c r="A197" s="36">
        <f>A196+1</f>
        <v/>
      </c>
      <c r="B197" s="37">
        <f>IF(A197="","",TEXT(A197,"ddd"))</f>
        <v/>
      </c>
      <c r="C197" s="38" t="n"/>
      <c r="D197" s="38" t="n"/>
      <c r="E197" s="38" t="n"/>
      <c r="F197" s="38" t="n"/>
      <c r="G197" s="38" t="n"/>
      <c r="H197" s="38" t="n"/>
      <c r="I197" s="38" t="n"/>
      <c r="J197" s="38" t="n"/>
      <c r="K197" s="38" t="n"/>
      <c r="L197" s="39" t="n"/>
      <c r="M197" s="39" t="n"/>
      <c r="N197" s="38" t="n"/>
      <c r="O197" s="40">
        <f>IF($Q197=0,"",IF(C197&gt;=C$2,1,0)+IF(D197&gt;=D$2,1,0)+IF(E197&gt;=E$2,1,0)+IF(F197&gt;=F$2,1,0))</f>
        <v/>
      </c>
      <c r="P197" s="41" t="n"/>
      <c r="Q197" s="42">
        <f>IF(COUNT(C197:M197)&gt;0,1,0)</f>
        <v/>
      </c>
      <c r="R197" s="42">
        <f>IF(Q197=0,0,R196+1)</f>
        <v/>
      </c>
      <c r="S197" s="42">
        <f>IF(O197="",0,IF(O197=4,S196+1,0))</f>
        <v/>
      </c>
      <c r="T197" s="43">
        <f>IF(Q197=1,A197,"")</f>
        <v/>
      </c>
    </row>
    <row r="198">
      <c r="A198" s="36">
        <f>A197+1</f>
        <v/>
      </c>
      <c r="B198" s="37">
        <f>IF(A198="","",TEXT(A198,"ddd"))</f>
        <v/>
      </c>
      <c r="C198" s="38" t="n"/>
      <c r="D198" s="38" t="n"/>
      <c r="E198" s="38" t="n"/>
      <c r="F198" s="38" t="n"/>
      <c r="G198" s="38" t="n"/>
      <c r="H198" s="38" t="n"/>
      <c r="I198" s="38" t="n"/>
      <c r="J198" s="38" t="n"/>
      <c r="K198" s="38" t="n"/>
      <c r="L198" s="39" t="n"/>
      <c r="M198" s="39" t="n"/>
      <c r="N198" s="38" t="n"/>
      <c r="O198" s="40">
        <f>IF($Q198=0,"",IF(C198&gt;=C$2,1,0)+IF(D198&gt;=D$2,1,0)+IF(E198&gt;=E$2,1,0)+IF(F198&gt;=F$2,1,0))</f>
        <v/>
      </c>
      <c r="P198" s="41" t="n"/>
      <c r="Q198" s="42">
        <f>IF(COUNT(C198:M198)&gt;0,1,0)</f>
        <v/>
      </c>
      <c r="R198" s="42">
        <f>IF(Q198=0,0,R197+1)</f>
        <v/>
      </c>
      <c r="S198" s="42">
        <f>IF(O198="",0,IF(O198=4,S197+1,0))</f>
        <v/>
      </c>
      <c r="T198" s="43">
        <f>IF(Q198=1,A198,"")</f>
        <v/>
      </c>
    </row>
    <row r="199">
      <c r="A199" s="36">
        <f>A198+1</f>
        <v/>
      </c>
      <c r="B199" s="37">
        <f>IF(A199="","",TEXT(A199,"ddd"))</f>
        <v/>
      </c>
      <c r="C199" s="38" t="n"/>
      <c r="D199" s="38" t="n"/>
      <c r="E199" s="38" t="n"/>
      <c r="F199" s="38" t="n"/>
      <c r="G199" s="38" t="n"/>
      <c r="H199" s="38" t="n"/>
      <c r="I199" s="38" t="n"/>
      <c r="J199" s="38" t="n"/>
      <c r="K199" s="38" t="n"/>
      <c r="L199" s="39" t="n"/>
      <c r="M199" s="39" t="n"/>
      <c r="N199" s="38" t="n"/>
      <c r="O199" s="40">
        <f>IF($Q199=0,"",IF(C199&gt;=C$2,1,0)+IF(D199&gt;=D$2,1,0)+IF(E199&gt;=E$2,1,0)+IF(F199&gt;=F$2,1,0))</f>
        <v/>
      </c>
      <c r="P199" s="41" t="n"/>
      <c r="Q199" s="42">
        <f>IF(COUNT(C199:M199)&gt;0,1,0)</f>
        <v/>
      </c>
      <c r="R199" s="42">
        <f>IF(Q199=0,0,R198+1)</f>
        <v/>
      </c>
      <c r="S199" s="42">
        <f>IF(O199="",0,IF(O199=4,S198+1,0))</f>
        <v/>
      </c>
      <c r="T199" s="43">
        <f>IF(Q199=1,A199,"")</f>
        <v/>
      </c>
    </row>
    <row r="200">
      <c r="A200" s="36">
        <f>A199+1</f>
        <v/>
      </c>
      <c r="B200" s="37">
        <f>IF(A200="","",TEXT(A200,"ddd"))</f>
        <v/>
      </c>
      <c r="C200" s="38" t="n"/>
      <c r="D200" s="38" t="n"/>
      <c r="E200" s="38" t="n"/>
      <c r="F200" s="38" t="n"/>
      <c r="G200" s="38" t="n"/>
      <c r="H200" s="38" t="n"/>
      <c r="I200" s="38" t="n"/>
      <c r="J200" s="38" t="n"/>
      <c r="K200" s="38" t="n"/>
      <c r="L200" s="39" t="n"/>
      <c r="M200" s="39" t="n"/>
      <c r="N200" s="38" t="n"/>
      <c r="O200" s="40">
        <f>IF($Q200=0,"",IF(C200&gt;=C$2,1,0)+IF(D200&gt;=D$2,1,0)+IF(E200&gt;=E$2,1,0)+IF(F200&gt;=F$2,1,0))</f>
        <v/>
      </c>
      <c r="P200" s="41" t="n"/>
      <c r="Q200" s="42">
        <f>IF(COUNT(C200:M200)&gt;0,1,0)</f>
        <v/>
      </c>
      <c r="R200" s="42">
        <f>IF(Q200=0,0,R199+1)</f>
        <v/>
      </c>
      <c r="S200" s="42">
        <f>IF(O200="",0,IF(O200=4,S199+1,0))</f>
        <v/>
      </c>
      <c r="T200" s="43">
        <f>IF(Q200=1,A200,"")</f>
        <v/>
      </c>
    </row>
    <row r="201">
      <c r="A201" s="36">
        <f>A200+1</f>
        <v/>
      </c>
      <c r="B201" s="37">
        <f>IF(A201="","",TEXT(A201,"ddd"))</f>
        <v/>
      </c>
      <c r="C201" s="38" t="n"/>
      <c r="D201" s="38" t="n"/>
      <c r="E201" s="38" t="n"/>
      <c r="F201" s="38" t="n"/>
      <c r="G201" s="38" t="n"/>
      <c r="H201" s="38" t="n"/>
      <c r="I201" s="38" t="n"/>
      <c r="J201" s="38" t="n"/>
      <c r="K201" s="38" t="n"/>
      <c r="L201" s="39" t="n"/>
      <c r="M201" s="39" t="n"/>
      <c r="N201" s="38" t="n"/>
      <c r="O201" s="40">
        <f>IF($Q201=0,"",IF(C201&gt;=C$2,1,0)+IF(D201&gt;=D$2,1,0)+IF(E201&gt;=E$2,1,0)+IF(F201&gt;=F$2,1,0))</f>
        <v/>
      </c>
      <c r="P201" s="41" t="n"/>
      <c r="Q201" s="42">
        <f>IF(COUNT(C201:M201)&gt;0,1,0)</f>
        <v/>
      </c>
      <c r="R201" s="42">
        <f>IF(Q201=0,0,R200+1)</f>
        <v/>
      </c>
      <c r="S201" s="42">
        <f>IF(O201="",0,IF(O201=4,S200+1,0))</f>
        <v/>
      </c>
      <c r="T201" s="43">
        <f>IF(Q201=1,A201,"")</f>
        <v/>
      </c>
    </row>
    <row r="202">
      <c r="A202" s="36">
        <f>A201+1</f>
        <v/>
      </c>
      <c r="B202" s="37">
        <f>IF(A202="","",TEXT(A202,"ddd"))</f>
        <v/>
      </c>
      <c r="C202" s="38" t="n"/>
      <c r="D202" s="38" t="n"/>
      <c r="E202" s="38" t="n"/>
      <c r="F202" s="38" t="n"/>
      <c r="G202" s="38" t="n"/>
      <c r="H202" s="38" t="n"/>
      <c r="I202" s="38" t="n"/>
      <c r="J202" s="38" t="n"/>
      <c r="K202" s="38" t="n"/>
      <c r="L202" s="39" t="n"/>
      <c r="M202" s="39" t="n"/>
      <c r="N202" s="38" t="n"/>
      <c r="O202" s="40">
        <f>IF($Q202=0,"",IF(C202&gt;=C$2,1,0)+IF(D202&gt;=D$2,1,0)+IF(E202&gt;=E$2,1,0)+IF(F202&gt;=F$2,1,0))</f>
        <v/>
      </c>
      <c r="P202" s="41" t="n"/>
      <c r="Q202" s="42">
        <f>IF(COUNT(C202:M202)&gt;0,1,0)</f>
        <v/>
      </c>
      <c r="R202" s="42">
        <f>IF(Q202=0,0,R201+1)</f>
        <v/>
      </c>
      <c r="S202" s="42">
        <f>IF(O202="",0,IF(O202=4,S201+1,0))</f>
        <v/>
      </c>
      <c r="T202" s="43">
        <f>IF(Q202=1,A202,"")</f>
        <v/>
      </c>
    </row>
    <row r="203">
      <c r="A203" s="36">
        <f>A202+1</f>
        <v/>
      </c>
      <c r="B203" s="37">
        <f>IF(A203="","",TEXT(A203,"ddd"))</f>
        <v/>
      </c>
      <c r="C203" s="38" t="n"/>
      <c r="D203" s="38" t="n"/>
      <c r="E203" s="38" t="n"/>
      <c r="F203" s="38" t="n"/>
      <c r="G203" s="38" t="n"/>
      <c r="H203" s="38" t="n"/>
      <c r="I203" s="38" t="n"/>
      <c r="J203" s="38" t="n"/>
      <c r="K203" s="38" t="n"/>
      <c r="L203" s="39" t="n"/>
      <c r="M203" s="39" t="n"/>
      <c r="N203" s="38" t="n"/>
      <c r="O203" s="40">
        <f>IF($Q203=0,"",IF(C203&gt;=C$2,1,0)+IF(D203&gt;=D$2,1,0)+IF(E203&gt;=E$2,1,0)+IF(F203&gt;=F$2,1,0))</f>
        <v/>
      </c>
      <c r="P203" s="41" t="n"/>
      <c r="Q203" s="42">
        <f>IF(COUNT(C203:M203)&gt;0,1,0)</f>
        <v/>
      </c>
      <c r="R203" s="42">
        <f>IF(Q203=0,0,R202+1)</f>
        <v/>
      </c>
      <c r="S203" s="42">
        <f>IF(O203="",0,IF(O203=4,S202+1,0))</f>
        <v/>
      </c>
      <c r="T203" s="43">
        <f>IF(Q203=1,A203,"")</f>
        <v/>
      </c>
    </row>
    <row r="204">
      <c r="A204" s="36">
        <f>A203+1</f>
        <v/>
      </c>
      <c r="B204" s="37">
        <f>IF(A204="","",TEXT(A204,"ddd"))</f>
        <v/>
      </c>
      <c r="C204" s="38" t="n"/>
      <c r="D204" s="38" t="n"/>
      <c r="E204" s="38" t="n"/>
      <c r="F204" s="38" t="n"/>
      <c r="G204" s="38" t="n"/>
      <c r="H204" s="38" t="n"/>
      <c r="I204" s="38" t="n"/>
      <c r="J204" s="38" t="n"/>
      <c r="K204" s="38" t="n"/>
      <c r="L204" s="39" t="n"/>
      <c r="M204" s="39" t="n"/>
      <c r="N204" s="38" t="n"/>
      <c r="O204" s="40">
        <f>IF($Q204=0,"",IF(C204&gt;=C$2,1,0)+IF(D204&gt;=D$2,1,0)+IF(E204&gt;=E$2,1,0)+IF(F204&gt;=F$2,1,0))</f>
        <v/>
      </c>
      <c r="P204" s="41" t="n"/>
      <c r="Q204" s="42">
        <f>IF(COUNT(C204:M204)&gt;0,1,0)</f>
        <v/>
      </c>
      <c r="R204" s="42">
        <f>IF(Q204=0,0,R203+1)</f>
        <v/>
      </c>
      <c r="S204" s="42">
        <f>IF(O204="",0,IF(O204=4,S203+1,0))</f>
        <v/>
      </c>
      <c r="T204" s="43">
        <f>IF(Q204=1,A204,"")</f>
        <v/>
      </c>
    </row>
    <row r="205">
      <c r="A205" s="36">
        <f>A204+1</f>
        <v/>
      </c>
      <c r="B205" s="37">
        <f>IF(A205="","",TEXT(A205,"ddd"))</f>
        <v/>
      </c>
      <c r="C205" s="38" t="n"/>
      <c r="D205" s="38" t="n"/>
      <c r="E205" s="38" t="n"/>
      <c r="F205" s="38" t="n"/>
      <c r="G205" s="38" t="n"/>
      <c r="H205" s="38" t="n"/>
      <c r="I205" s="38" t="n"/>
      <c r="J205" s="38" t="n"/>
      <c r="K205" s="38" t="n"/>
      <c r="L205" s="39" t="n"/>
      <c r="M205" s="39" t="n"/>
      <c r="N205" s="38" t="n"/>
      <c r="O205" s="40">
        <f>IF($Q205=0,"",IF(C205&gt;=C$2,1,0)+IF(D205&gt;=D$2,1,0)+IF(E205&gt;=E$2,1,0)+IF(F205&gt;=F$2,1,0))</f>
        <v/>
      </c>
      <c r="P205" s="41" t="n"/>
      <c r="Q205" s="42">
        <f>IF(COUNT(C205:M205)&gt;0,1,0)</f>
        <v/>
      </c>
      <c r="R205" s="42">
        <f>IF(Q205=0,0,R204+1)</f>
        <v/>
      </c>
      <c r="S205" s="42">
        <f>IF(O205="",0,IF(O205=4,S204+1,0))</f>
        <v/>
      </c>
      <c r="T205" s="43">
        <f>IF(Q205=1,A205,"")</f>
        <v/>
      </c>
    </row>
    <row r="206">
      <c r="A206" s="36">
        <f>A205+1</f>
        <v/>
      </c>
      <c r="B206" s="37">
        <f>IF(A206="","",TEXT(A206,"ddd"))</f>
        <v/>
      </c>
      <c r="C206" s="38" t="n"/>
      <c r="D206" s="38" t="n"/>
      <c r="E206" s="38" t="n"/>
      <c r="F206" s="38" t="n"/>
      <c r="G206" s="38" t="n"/>
      <c r="H206" s="38" t="n"/>
      <c r="I206" s="38" t="n"/>
      <c r="J206" s="38" t="n"/>
      <c r="K206" s="38" t="n"/>
      <c r="L206" s="39" t="n"/>
      <c r="M206" s="39" t="n"/>
      <c r="N206" s="38" t="n"/>
      <c r="O206" s="40">
        <f>IF($Q206=0,"",IF(C206&gt;=C$2,1,0)+IF(D206&gt;=D$2,1,0)+IF(E206&gt;=E$2,1,0)+IF(F206&gt;=F$2,1,0))</f>
        <v/>
      </c>
      <c r="P206" s="41" t="n"/>
      <c r="Q206" s="42">
        <f>IF(COUNT(C206:M206)&gt;0,1,0)</f>
        <v/>
      </c>
      <c r="R206" s="42">
        <f>IF(Q206=0,0,R205+1)</f>
        <v/>
      </c>
      <c r="S206" s="42">
        <f>IF(O206="",0,IF(O206=4,S205+1,0))</f>
        <v/>
      </c>
      <c r="T206" s="43">
        <f>IF(Q206=1,A206,"")</f>
        <v/>
      </c>
    </row>
    <row r="207">
      <c r="A207" s="36">
        <f>A206+1</f>
        <v/>
      </c>
      <c r="B207" s="37">
        <f>IF(A207="","",TEXT(A207,"ddd"))</f>
        <v/>
      </c>
      <c r="C207" s="38" t="n"/>
      <c r="D207" s="38" t="n"/>
      <c r="E207" s="38" t="n"/>
      <c r="F207" s="38" t="n"/>
      <c r="G207" s="38" t="n"/>
      <c r="H207" s="38" t="n"/>
      <c r="I207" s="38" t="n"/>
      <c r="J207" s="38" t="n"/>
      <c r="K207" s="38" t="n"/>
      <c r="L207" s="39" t="n"/>
      <c r="M207" s="39" t="n"/>
      <c r="N207" s="38" t="n"/>
      <c r="O207" s="40">
        <f>IF($Q207=0,"",IF(C207&gt;=C$2,1,0)+IF(D207&gt;=D$2,1,0)+IF(E207&gt;=E$2,1,0)+IF(F207&gt;=F$2,1,0))</f>
        <v/>
      </c>
      <c r="P207" s="41" t="n"/>
      <c r="Q207" s="42">
        <f>IF(COUNT(C207:M207)&gt;0,1,0)</f>
        <v/>
      </c>
      <c r="R207" s="42">
        <f>IF(Q207=0,0,R206+1)</f>
        <v/>
      </c>
      <c r="S207" s="42">
        <f>IF(O207="",0,IF(O207=4,S206+1,0))</f>
        <v/>
      </c>
      <c r="T207" s="43">
        <f>IF(Q207=1,A207,"")</f>
        <v/>
      </c>
    </row>
    <row r="208">
      <c r="A208" s="36">
        <f>A207+1</f>
        <v/>
      </c>
      <c r="B208" s="37">
        <f>IF(A208="","",TEXT(A208,"ddd"))</f>
        <v/>
      </c>
      <c r="C208" s="38" t="n"/>
      <c r="D208" s="38" t="n"/>
      <c r="E208" s="38" t="n"/>
      <c r="F208" s="38" t="n"/>
      <c r="G208" s="38" t="n"/>
      <c r="H208" s="38" t="n"/>
      <c r="I208" s="38" t="n"/>
      <c r="J208" s="38" t="n"/>
      <c r="K208" s="38" t="n"/>
      <c r="L208" s="39" t="n"/>
      <c r="M208" s="39" t="n"/>
      <c r="N208" s="38" t="n"/>
      <c r="O208" s="40">
        <f>IF($Q208=0,"",IF(C208&gt;=C$2,1,0)+IF(D208&gt;=D$2,1,0)+IF(E208&gt;=E$2,1,0)+IF(F208&gt;=F$2,1,0))</f>
        <v/>
      </c>
      <c r="P208" s="41" t="n"/>
      <c r="Q208" s="42">
        <f>IF(COUNT(C208:M208)&gt;0,1,0)</f>
        <v/>
      </c>
      <c r="R208" s="42">
        <f>IF(Q208=0,0,R207+1)</f>
        <v/>
      </c>
      <c r="S208" s="42">
        <f>IF(O208="",0,IF(O208=4,S207+1,0))</f>
        <v/>
      </c>
      <c r="T208" s="43">
        <f>IF(Q208=1,A208,"")</f>
        <v/>
      </c>
    </row>
    <row r="209">
      <c r="A209" s="36">
        <f>A208+1</f>
        <v/>
      </c>
      <c r="B209" s="37">
        <f>IF(A209="","",TEXT(A209,"ddd"))</f>
        <v/>
      </c>
      <c r="C209" s="38" t="n"/>
      <c r="D209" s="38" t="n"/>
      <c r="E209" s="38" t="n"/>
      <c r="F209" s="38" t="n"/>
      <c r="G209" s="38" t="n"/>
      <c r="H209" s="38" t="n"/>
      <c r="I209" s="38" t="n"/>
      <c r="J209" s="38" t="n"/>
      <c r="K209" s="38" t="n"/>
      <c r="L209" s="39" t="n"/>
      <c r="M209" s="39" t="n"/>
      <c r="N209" s="38" t="n"/>
      <c r="O209" s="40">
        <f>IF($Q209=0,"",IF(C209&gt;=C$2,1,0)+IF(D209&gt;=D$2,1,0)+IF(E209&gt;=E$2,1,0)+IF(F209&gt;=F$2,1,0))</f>
        <v/>
      </c>
      <c r="P209" s="41" t="n"/>
      <c r="Q209" s="42">
        <f>IF(COUNT(C209:M209)&gt;0,1,0)</f>
        <v/>
      </c>
      <c r="R209" s="42">
        <f>IF(Q209=0,0,R208+1)</f>
        <v/>
      </c>
      <c r="S209" s="42">
        <f>IF(O209="",0,IF(O209=4,S208+1,0))</f>
        <v/>
      </c>
      <c r="T209" s="43">
        <f>IF(Q209=1,A209,"")</f>
        <v/>
      </c>
    </row>
    <row r="210">
      <c r="A210" s="36">
        <f>A209+1</f>
        <v/>
      </c>
      <c r="B210" s="37">
        <f>IF(A210="","",TEXT(A210,"ddd"))</f>
        <v/>
      </c>
      <c r="C210" s="38" t="n"/>
      <c r="D210" s="38" t="n"/>
      <c r="E210" s="38" t="n"/>
      <c r="F210" s="38" t="n"/>
      <c r="G210" s="38" t="n"/>
      <c r="H210" s="38" t="n"/>
      <c r="I210" s="38" t="n"/>
      <c r="J210" s="38" t="n"/>
      <c r="K210" s="38" t="n"/>
      <c r="L210" s="39" t="n"/>
      <c r="M210" s="39" t="n"/>
      <c r="N210" s="38" t="n"/>
      <c r="O210" s="40">
        <f>IF($Q210=0,"",IF(C210&gt;=C$2,1,0)+IF(D210&gt;=D$2,1,0)+IF(E210&gt;=E$2,1,0)+IF(F210&gt;=F$2,1,0))</f>
        <v/>
      </c>
      <c r="P210" s="41" t="n"/>
      <c r="Q210" s="42">
        <f>IF(COUNT(C210:M210)&gt;0,1,0)</f>
        <v/>
      </c>
      <c r="R210" s="42">
        <f>IF(Q210=0,0,R209+1)</f>
        <v/>
      </c>
      <c r="S210" s="42">
        <f>IF(O210="",0,IF(O210=4,S209+1,0))</f>
        <v/>
      </c>
      <c r="T210" s="43">
        <f>IF(Q210=1,A210,"")</f>
        <v/>
      </c>
    </row>
    <row r="211">
      <c r="A211" s="36">
        <f>A210+1</f>
        <v/>
      </c>
      <c r="B211" s="37">
        <f>IF(A211="","",TEXT(A211,"ddd"))</f>
        <v/>
      </c>
      <c r="C211" s="38" t="n"/>
      <c r="D211" s="38" t="n"/>
      <c r="E211" s="38" t="n"/>
      <c r="F211" s="38" t="n"/>
      <c r="G211" s="38" t="n"/>
      <c r="H211" s="38" t="n"/>
      <c r="I211" s="38" t="n"/>
      <c r="J211" s="38" t="n"/>
      <c r="K211" s="38" t="n"/>
      <c r="L211" s="39" t="n"/>
      <c r="M211" s="39" t="n"/>
      <c r="N211" s="38" t="n"/>
      <c r="O211" s="40">
        <f>IF($Q211=0,"",IF(C211&gt;=C$2,1,0)+IF(D211&gt;=D$2,1,0)+IF(E211&gt;=E$2,1,0)+IF(F211&gt;=F$2,1,0))</f>
        <v/>
      </c>
      <c r="P211" s="41" t="n"/>
      <c r="Q211" s="42">
        <f>IF(COUNT(C211:M211)&gt;0,1,0)</f>
        <v/>
      </c>
      <c r="R211" s="42">
        <f>IF(Q211=0,0,R210+1)</f>
        <v/>
      </c>
      <c r="S211" s="42">
        <f>IF(O211="",0,IF(O211=4,S210+1,0))</f>
        <v/>
      </c>
      <c r="T211" s="43">
        <f>IF(Q211=1,A211,"")</f>
        <v/>
      </c>
    </row>
    <row r="212">
      <c r="A212" s="36">
        <f>A211+1</f>
        <v/>
      </c>
      <c r="B212" s="37">
        <f>IF(A212="","",TEXT(A212,"ddd"))</f>
        <v/>
      </c>
      <c r="C212" s="38" t="n"/>
      <c r="D212" s="38" t="n"/>
      <c r="E212" s="38" t="n"/>
      <c r="F212" s="38" t="n"/>
      <c r="G212" s="38" t="n"/>
      <c r="H212" s="38" t="n"/>
      <c r="I212" s="38" t="n"/>
      <c r="J212" s="38" t="n"/>
      <c r="K212" s="38" t="n"/>
      <c r="L212" s="39" t="n"/>
      <c r="M212" s="39" t="n"/>
      <c r="N212" s="38" t="n"/>
      <c r="O212" s="40">
        <f>IF($Q212=0,"",IF(C212&gt;=C$2,1,0)+IF(D212&gt;=D$2,1,0)+IF(E212&gt;=E$2,1,0)+IF(F212&gt;=F$2,1,0))</f>
        <v/>
      </c>
      <c r="P212" s="41" t="n"/>
      <c r="Q212" s="42">
        <f>IF(COUNT(C212:M212)&gt;0,1,0)</f>
        <v/>
      </c>
      <c r="R212" s="42">
        <f>IF(Q212=0,0,R211+1)</f>
        <v/>
      </c>
      <c r="S212" s="42">
        <f>IF(O212="",0,IF(O212=4,S211+1,0))</f>
        <v/>
      </c>
      <c r="T212" s="43">
        <f>IF(Q212=1,A212,"")</f>
        <v/>
      </c>
    </row>
    <row r="213">
      <c r="A213" s="36">
        <f>A212+1</f>
        <v/>
      </c>
      <c r="B213" s="37">
        <f>IF(A213="","",TEXT(A213,"ddd"))</f>
        <v/>
      </c>
      <c r="C213" s="38" t="n"/>
      <c r="D213" s="38" t="n"/>
      <c r="E213" s="38" t="n"/>
      <c r="F213" s="38" t="n"/>
      <c r="G213" s="38" t="n"/>
      <c r="H213" s="38" t="n"/>
      <c r="I213" s="38" t="n"/>
      <c r="J213" s="38" t="n"/>
      <c r="K213" s="38" t="n"/>
      <c r="L213" s="39" t="n"/>
      <c r="M213" s="39" t="n"/>
      <c r="N213" s="38" t="n"/>
      <c r="O213" s="40">
        <f>IF($Q213=0,"",IF(C213&gt;=C$2,1,0)+IF(D213&gt;=D$2,1,0)+IF(E213&gt;=E$2,1,0)+IF(F213&gt;=F$2,1,0))</f>
        <v/>
      </c>
      <c r="P213" s="41" t="n"/>
      <c r="Q213" s="42">
        <f>IF(COUNT(C213:M213)&gt;0,1,0)</f>
        <v/>
      </c>
      <c r="R213" s="42">
        <f>IF(Q213=0,0,R212+1)</f>
        <v/>
      </c>
      <c r="S213" s="42">
        <f>IF(O213="",0,IF(O213=4,S212+1,0))</f>
        <v/>
      </c>
      <c r="T213" s="43">
        <f>IF(Q213=1,A213,"")</f>
        <v/>
      </c>
    </row>
    <row r="214">
      <c r="A214" s="36">
        <f>A213+1</f>
        <v/>
      </c>
      <c r="B214" s="37">
        <f>IF(A214="","",TEXT(A214,"ddd"))</f>
        <v/>
      </c>
      <c r="C214" s="38" t="n"/>
      <c r="D214" s="38" t="n"/>
      <c r="E214" s="38" t="n"/>
      <c r="F214" s="38" t="n"/>
      <c r="G214" s="38" t="n"/>
      <c r="H214" s="38" t="n"/>
      <c r="I214" s="38" t="n"/>
      <c r="J214" s="38" t="n"/>
      <c r="K214" s="38" t="n"/>
      <c r="L214" s="39" t="n"/>
      <c r="M214" s="39" t="n"/>
      <c r="N214" s="38" t="n"/>
      <c r="O214" s="40">
        <f>IF($Q214=0,"",IF(C214&gt;=C$2,1,0)+IF(D214&gt;=D$2,1,0)+IF(E214&gt;=E$2,1,0)+IF(F214&gt;=F$2,1,0))</f>
        <v/>
      </c>
      <c r="P214" s="41" t="n"/>
      <c r="Q214" s="42">
        <f>IF(COUNT(C214:M214)&gt;0,1,0)</f>
        <v/>
      </c>
      <c r="R214" s="42">
        <f>IF(Q214=0,0,R213+1)</f>
        <v/>
      </c>
      <c r="S214" s="42">
        <f>IF(O214="",0,IF(O214=4,S213+1,0))</f>
        <v/>
      </c>
      <c r="T214" s="43">
        <f>IF(Q214=1,A214,"")</f>
        <v/>
      </c>
    </row>
    <row r="215">
      <c r="A215" s="36">
        <f>A214+1</f>
        <v/>
      </c>
      <c r="B215" s="37">
        <f>IF(A215="","",TEXT(A215,"ddd"))</f>
        <v/>
      </c>
      <c r="C215" s="38" t="n"/>
      <c r="D215" s="38" t="n"/>
      <c r="E215" s="38" t="n"/>
      <c r="F215" s="38" t="n"/>
      <c r="G215" s="38" t="n"/>
      <c r="H215" s="38" t="n"/>
      <c r="I215" s="38" t="n"/>
      <c r="J215" s="38" t="n"/>
      <c r="K215" s="38" t="n"/>
      <c r="L215" s="39" t="n"/>
      <c r="M215" s="39" t="n"/>
      <c r="N215" s="38" t="n"/>
      <c r="O215" s="40">
        <f>IF($Q215=0,"",IF(C215&gt;=C$2,1,0)+IF(D215&gt;=D$2,1,0)+IF(E215&gt;=E$2,1,0)+IF(F215&gt;=F$2,1,0))</f>
        <v/>
      </c>
      <c r="P215" s="41" t="n"/>
      <c r="Q215" s="42">
        <f>IF(COUNT(C215:M215)&gt;0,1,0)</f>
        <v/>
      </c>
      <c r="R215" s="42">
        <f>IF(Q215=0,0,R214+1)</f>
        <v/>
      </c>
      <c r="S215" s="42">
        <f>IF(O215="",0,IF(O215=4,S214+1,0))</f>
        <v/>
      </c>
      <c r="T215" s="43">
        <f>IF(Q215=1,A215,"")</f>
        <v/>
      </c>
    </row>
    <row r="216">
      <c r="A216" s="36">
        <f>A215+1</f>
        <v/>
      </c>
      <c r="B216" s="37">
        <f>IF(A216="","",TEXT(A216,"ddd"))</f>
        <v/>
      </c>
      <c r="C216" s="38" t="n"/>
      <c r="D216" s="38" t="n"/>
      <c r="E216" s="38" t="n"/>
      <c r="F216" s="38" t="n"/>
      <c r="G216" s="38" t="n"/>
      <c r="H216" s="38" t="n"/>
      <c r="I216" s="38" t="n"/>
      <c r="J216" s="38" t="n"/>
      <c r="K216" s="38" t="n"/>
      <c r="L216" s="39" t="n"/>
      <c r="M216" s="39" t="n"/>
      <c r="N216" s="38" t="n"/>
      <c r="O216" s="40">
        <f>IF($Q216=0,"",IF(C216&gt;=C$2,1,0)+IF(D216&gt;=D$2,1,0)+IF(E216&gt;=E$2,1,0)+IF(F216&gt;=F$2,1,0))</f>
        <v/>
      </c>
      <c r="P216" s="41" t="n"/>
      <c r="Q216" s="42">
        <f>IF(COUNT(C216:M216)&gt;0,1,0)</f>
        <v/>
      </c>
      <c r="R216" s="42">
        <f>IF(Q216=0,0,R215+1)</f>
        <v/>
      </c>
      <c r="S216" s="42">
        <f>IF(O216="",0,IF(O216=4,S215+1,0))</f>
        <v/>
      </c>
      <c r="T216" s="43">
        <f>IF(Q216=1,A216,"")</f>
        <v/>
      </c>
    </row>
    <row r="217">
      <c r="A217" s="36">
        <f>A216+1</f>
        <v/>
      </c>
      <c r="B217" s="37">
        <f>IF(A217="","",TEXT(A217,"ddd"))</f>
        <v/>
      </c>
      <c r="C217" s="38" t="n"/>
      <c r="D217" s="38" t="n"/>
      <c r="E217" s="38" t="n"/>
      <c r="F217" s="38" t="n"/>
      <c r="G217" s="38" t="n"/>
      <c r="H217" s="38" t="n"/>
      <c r="I217" s="38" t="n"/>
      <c r="J217" s="38" t="n"/>
      <c r="K217" s="38" t="n"/>
      <c r="L217" s="39" t="n"/>
      <c r="M217" s="39" t="n"/>
      <c r="N217" s="38" t="n"/>
      <c r="O217" s="40">
        <f>IF($Q217=0,"",IF(C217&gt;=C$2,1,0)+IF(D217&gt;=D$2,1,0)+IF(E217&gt;=E$2,1,0)+IF(F217&gt;=F$2,1,0))</f>
        <v/>
      </c>
      <c r="P217" s="41" t="n"/>
      <c r="Q217" s="42">
        <f>IF(COUNT(C217:M217)&gt;0,1,0)</f>
        <v/>
      </c>
      <c r="R217" s="42">
        <f>IF(Q217=0,0,R216+1)</f>
        <v/>
      </c>
      <c r="S217" s="42">
        <f>IF(O217="",0,IF(O217=4,S216+1,0))</f>
        <v/>
      </c>
      <c r="T217" s="43">
        <f>IF(Q217=1,A217,"")</f>
        <v/>
      </c>
    </row>
    <row r="218">
      <c r="A218" s="36">
        <f>A217+1</f>
        <v/>
      </c>
      <c r="B218" s="37">
        <f>IF(A218="","",TEXT(A218,"ddd"))</f>
        <v/>
      </c>
      <c r="C218" s="38" t="n"/>
      <c r="D218" s="38" t="n"/>
      <c r="E218" s="38" t="n"/>
      <c r="F218" s="38" t="n"/>
      <c r="G218" s="38" t="n"/>
      <c r="H218" s="38" t="n"/>
      <c r="I218" s="38" t="n"/>
      <c r="J218" s="38" t="n"/>
      <c r="K218" s="38" t="n"/>
      <c r="L218" s="39" t="n"/>
      <c r="M218" s="39" t="n"/>
      <c r="N218" s="38" t="n"/>
      <c r="O218" s="40">
        <f>IF($Q218=0,"",IF(C218&gt;=C$2,1,0)+IF(D218&gt;=D$2,1,0)+IF(E218&gt;=E$2,1,0)+IF(F218&gt;=F$2,1,0))</f>
        <v/>
      </c>
      <c r="P218" s="41" t="n"/>
      <c r="Q218" s="42">
        <f>IF(COUNT(C218:M218)&gt;0,1,0)</f>
        <v/>
      </c>
      <c r="R218" s="42">
        <f>IF(Q218=0,0,R217+1)</f>
        <v/>
      </c>
      <c r="S218" s="42">
        <f>IF(O218="",0,IF(O218=4,S217+1,0))</f>
        <v/>
      </c>
      <c r="T218" s="43">
        <f>IF(Q218=1,A218,"")</f>
        <v/>
      </c>
    </row>
    <row r="219">
      <c r="A219" s="36">
        <f>A218+1</f>
        <v/>
      </c>
      <c r="B219" s="37">
        <f>IF(A219="","",TEXT(A219,"ddd"))</f>
        <v/>
      </c>
      <c r="C219" s="38" t="n"/>
      <c r="D219" s="38" t="n"/>
      <c r="E219" s="38" t="n"/>
      <c r="F219" s="38" t="n"/>
      <c r="G219" s="38" t="n"/>
      <c r="H219" s="38" t="n"/>
      <c r="I219" s="38" t="n"/>
      <c r="J219" s="38" t="n"/>
      <c r="K219" s="38" t="n"/>
      <c r="L219" s="39" t="n"/>
      <c r="M219" s="39" t="n"/>
      <c r="N219" s="38" t="n"/>
      <c r="O219" s="40">
        <f>IF($Q219=0,"",IF(C219&gt;=C$2,1,0)+IF(D219&gt;=D$2,1,0)+IF(E219&gt;=E$2,1,0)+IF(F219&gt;=F$2,1,0))</f>
        <v/>
      </c>
      <c r="P219" s="41" t="n"/>
      <c r="Q219" s="42">
        <f>IF(COUNT(C219:M219)&gt;0,1,0)</f>
        <v/>
      </c>
      <c r="R219" s="42">
        <f>IF(Q219=0,0,R218+1)</f>
        <v/>
      </c>
      <c r="S219" s="42">
        <f>IF(O219="",0,IF(O219=4,S218+1,0))</f>
        <v/>
      </c>
      <c r="T219" s="43">
        <f>IF(Q219=1,A219,"")</f>
        <v/>
      </c>
    </row>
    <row r="220">
      <c r="A220" s="36">
        <f>A219+1</f>
        <v/>
      </c>
      <c r="B220" s="37">
        <f>IF(A220="","",TEXT(A220,"ddd"))</f>
        <v/>
      </c>
      <c r="C220" s="38" t="n"/>
      <c r="D220" s="38" t="n"/>
      <c r="E220" s="38" t="n"/>
      <c r="F220" s="38" t="n"/>
      <c r="G220" s="38" t="n"/>
      <c r="H220" s="38" t="n"/>
      <c r="I220" s="38" t="n"/>
      <c r="J220" s="38" t="n"/>
      <c r="K220" s="38" t="n"/>
      <c r="L220" s="39" t="n"/>
      <c r="M220" s="39" t="n"/>
      <c r="N220" s="38" t="n"/>
      <c r="O220" s="40">
        <f>IF($Q220=0,"",IF(C220&gt;=C$2,1,0)+IF(D220&gt;=D$2,1,0)+IF(E220&gt;=E$2,1,0)+IF(F220&gt;=F$2,1,0))</f>
        <v/>
      </c>
      <c r="P220" s="41" t="n"/>
      <c r="Q220" s="42">
        <f>IF(COUNT(C220:M220)&gt;0,1,0)</f>
        <v/>
      </c>
      <c r="R220" s="42">
        <f>IF(Q220=0,0,R219+1)</f>
        <v/>
      </c>
      <c r="S220" s="42">
        <f>IF(O220="",0,IF(O220=4,S219+1,0))</f>
        <v/>
      </c>
      <c r="T220" s="43">
        <f>IF(Q220=1,A220,"")</f>
        <v/>
      </c>
    </row>
    <row r="221">
      <c r="A221" s="36">
        <f>A220+1</f>
        <v/>
      </c>
      <c r="B221" s="37">
        <f>IF(A221="","",TEXT(A221,"ddd"))</f>
        <v/>
      </c>
      <c r="C221" s="38" t="n"/>
      <c r="D221" s="38" t="n"/>
      <c r="E221" s="38" t="n"/>
      <c r="F221" s="38" t="n"/>
      <c r="G221" s="38" t="n"/>
      <c r="H221" s="38" t="n"/>
      <c r="I221" s="38" t="n"/>
      <c r="J221" s="38" t="n"/>
      <c r="K221" s="38" t="n"/>
      <c r="L221" s="39" t="n"/>
      <c r="M221" s="39" t="n"/>
      <c r="N221" s="38" t="n"/>
      <c r="O221" s="40">
        <f>IF($Q221=0,"",IF(C221&gt;=C$2,1,0)+IF(D221&gt;=D$2,1,0)+IF(E221&gt;=E$2,1,0)+IF(F221&gt;=F$2,1,0))</f>
        <v/>
      </c>
      <c r="P221" s="41" t="n"/>
      <c r="Q221" s="42">
        <f>IF(COUNT(C221:M221)&gt;0,1,0)</f>
        <v/>
      </c>
      <c r="R221" s="42">
        <f>IF(Q221=0,0,R220+1)</f>
        <v/>
      </c>
      <c r="S221" s="42">
        <f>IF(O221="",0,IF(O221=4,S220+1,0))</f>
        <v/>
      </c>
      <c r="T221" s="43">
        <f>IF(Q221=1,A221,"")</f>
        <v/>
      </c>
    </row>
    <row r="222">
      <c r="A222" s="36">
        <f>A221+1</f>
        <v/>
      </c>
      <c r="B222" s="37">
        <f>IF(A222="","",TEXT(A222,"ddd"))</f>
        <v/>
      </c>
      <c r="C222" s="38" t="n"/>
      <c r="D222" s="38" t="n"/>
      <c r="E222" s="38" t="n"/>
      <c r="F222" s="38" t="n"/>
      <c r="G222" s="38" t="n"/>
      <c r="H222" s="38" t="n"/>
      <c r="I222" s="38" t="n"/>
      <c r="J222" s="38" t="n"/>
      <c r="K222" s="38" t="n"/>
      <c r="L222" s="39" t="n"/>
      <c r="M222" s="39" t="n"/>
      <c r="N222" s="38" t="n"/>
      <c r="O222" s="40">
        <f>IF($Q222=0,"",IF(C222&gt;=C$2,1,0)+IF(D222&gt;=D$2,1,0)+IF(E222&gt;=E$2,1,0)+IF(F222&gt;=F$2,1,0))</f>
        <v/>
      </c>
      <c r="P222" s="41" t="n"/>
      <c r="Q222" s="42">
        <f>IF(COUNT(C222:M222)&gt;0,1,0)</f>
        <v/>
      </c>
      <c r="R222" s="42">
        <f>IF(Q222=0,0,R221+1)</f>
        <v/>
      </c>
      <c r="S222" s="42">
        <f>IF(O222="",0,IF(O222=4,S221+1,0))</f>
        <v/>
      </c>
      <c r="T222" s="43">
        <f>IF(Q222=1,A222,"")</f>
        <v/>
      </c>
    </row>
    <row r="223">
      <c r="A223" s="36">
        <f>A222+1</f>
        <v/>
      </c>
      <c r="B223" s="37">
        <f>IF(A223="","",TEXT(A223,"ddd"))</f>
        <v/>
      </c>
      <c r="C223" s="38" t="n"/>
      <c r="D223" s="38" t="n"/>
      <c r="E223" s="38" t="n"/>
      <c r="F223" s="38" t="n"/>
      <c r="G223" s="38" t="n"/>
      <c r="H223" s="38" t="n"/>
      <c r="I223" s="38" t="n"/>
      <c r="J223" s="38" t="n"/>
      <c r="K223" s="38" t="n"/>
      <c r="L223" s="39" t="n"/>
      <c r="M223" s="39" t="n"/>
      <c r="N223" s="38" t="n"/>
      <c r="O223" s="40">
        <f>IF($Q223=0,"",IF(C223&gt;=C$2,1,0)+IF(D223&gt;=D$2,1,0)+IF(E223&gt;=E$2,1,0)+IF(F223&gt;=F$2,1,0))</f>
        <v/>
      </c>
      <c r="P223" s="41" t="n"/>
      <c r="Q223" s="42">
        <f>IF(COUNT(C223:M223)&gt;0,1,0)</f>
        <v/>
      </c>
      <c r="R223" s="42">
        <f>IF(Q223=0,0,R222+1)</f>
        <v/>
      </c>
      <c r="S223" s="42">
        <f>IF(O223="",0,IF(O223=4,S222+1,0))</f>
        <v/>
      </c>
      <c r="T223" s="43">
        <f>IF(Q223=1,A223,"")</f>
        <v/>
      </c>
    </row>
    <row r="224">
      <c r="A224" s="36">
        <f>A223+1</f>
        <v/>
      </c>
      <c r="B224" s="37">
        <f>IF(A224="","",TEXT(A224,"ddd"))</f>
        <v/>
      </c>
      <c r="C224" s="38" t="n"/>
      <c r="D224" s="38" t="n"/>
      <c r="E224" s="38" t="n"/>
      <c r="F224" s="38" t="n"/>
      <c r="G224" s="38" t="n"/>
      <c r="H224" s="38" t="n"/>
      <c r="I224" s="38" t="n"/>
      <c r="J224" s="38" t="n"/>
      <c r="K224" s="38" t="n"/>
      <c r="L224" s="39" t="n"/>
      <c r="M224" s="39" t="n"/>
      <c r="N224" s="38" t="n"/>
      <c r="O224" s="40">
        <f>IF($Q224=0,"",IF(C224&gt;=C$2,1,0)+IF(D224&gt;=D$2,1,0)+IF(E224&gt;=E$2,1,0)+IF(F224&gt;=F$2,1,0))</f>
        <v/>
      </c>
      <c r="P224" s="41" t="n"/>
      <c r="Q224" s="42">
        <f>IF(COUNT(C224:M224)&gt;0,1,0)</f>
        <v/>
      </c>
      <c r="R224" s="42">
        <f>IF(Q224=0,0,R223+1)</f>
        <v/>
      </c>
      <c r="S224" s="42">
        <f>IF(O224="",0,IF(O224=4,S223+1,0))</f>
        <v/>
      </c>
      <c r="T224" s="43">
        <f>IF(Q224=1,A224,"")</f>
        <v/>
      </c>
    </row>
    <row r="225">
      <c r="A225" s="36">
        <f>A224+1</f>
        <v/>
      </c>
      <c r="B225" s="37">
        <f>IF(A225="","",TEXT(A225,"ddd"))</f>
        <v/>
      </c>
      <c r="C225" s="38" t="n"/>
      <c r="D225" s="38" t="n"/>
      <c r="E225" s="38" t="n"/>
      <c r="F225" s="38" t="n"/>
      <c r="G225" s="38" t="n"/>
      <c r="H225" s="38" t="n"/>
      <c r="I225" s="38" t="n"/>
      <c r="J225" s="38" t="n"/>
      <c r="K225" s="38" t="n"/>
      <c r="L225" s="39" t="n"/>
      <c r="M225" s="39" t="n"/>
      <c r="N225" s="38" t="n"/>
      <c r="O225" s="40">
        <f>IF($Q225=0,"",IF(C225&gt;=C$2,1,0)+IF(D225&gt;=D$2,1,0)+IF(E225&gt;=E$2,1,0)+IF(F225&gt;=F$2,1,0))</f>
        <v/>
      </c>
      <c r="P225" s="41" t="n"/>
      <c r="Q225" s="42">
        <f>IF(COUNT(C225:M225)&gt;0,1,0)</f>
        <v/>
      </c>
      <c r="R225" s="42">
        <f>IF(Q225=0,0,R224+1)</f>
        <v/>
      </c>
      <c r="S225" s="42">
        <f>IF(O225="",0,IF(O225=4,S224+1,0))</f>
        <v/>
      </c>
      <c r="T225" s="43">
        <f>IF(Q225=1,A225,"")</f>
        <v/>
      </c>
    </row>
    <row r="226">
      <c r="A226" s="36">
        <f>A225+1</f>
        <v/>
      </c>
      <c r="B226" s="37">
        <f>IF(A226="","",TEXT(A226,"ddd"))</f>
        <v/>
      </c>
      <c r="C226" s="38" t="n"/>
      <c r="D226" s="38" t="n"/>
      <c r="E226" s="38" t="n"/>
      <c r="F226" s="38" t="n"/>
      <c r="G226" s="38" t="n"/>
      <c r="H226" s="38" t="n"/>
      <c r="I226" s="38" t="n"/>
      <c r="J226" s="38" t="n"/>
      <c r="K226" s="38" t="n"/>
      <c r="L226" s="39" t="n"/>
      <c r="M226" s="39" t="n"/>
      <c r="N226" s="38" t="n"/>
      <c r="O226" s="40">
        <f>IF($Q226=0,"",IF(C226&gt;=C$2,1,0)+IF(D226&gt;=D$2,1,0)+IF(E226&gt;=E$2,1,0)+IF(F226&gt;=F$2,1,0))</f>
        <v/>
      </c>
      <c r="P226" s="41" t="n"/>
      <c r="Q226" s="42">
        <f>IF(COUNT(C226:M226)&gt;0,1,0)</f>
        <v/>
      </c>
      <c r="R226" s="42">
        <f>IF(Q226=0,0,R225+1)</f>
        <v/>
      </c>
      <c r="S226" s="42">
        <f>IF(O226="",0,IF(O226=4,S225+1,0))</f>
        <v/>
      </c>
      <c r="T226" s="43">
        <f>IF(Q226=1,A226,"")</f>
        <v/>
      </c>
    </row>
    <row r="227">
      <c r="A227" s="36">
        <f>A226+1</f>
        <v/>
      </c>
      <c r="B227" s="37">
        <f>IF(A227="","",TEXT(A227,"ddd"))</f>
        <v/>
      </c>
      <c r="C227" s="38" t="n"/>
      <c r="D227" s="38" t="n"/>
      <c r="E227" s="38" t="n"/>
      <c r="F227" s="38" t="n"/>
      <c r="G227" s="38" t="n"/>
      <c r="H227" s="38" t="n"/>
      <c r="I227" s="38" t="n"/>
      <c r="J227" s="38" t="n"/>
      <c r="K227" s="38" t="n"/>
      <c r="L227" s="39" t="n"/>
      <c r="M227" s="39" t="n"/>
      <c r="N227" s="38" t="n"/>
      <c r="O227" s="40">
        <f>IF($Q227=0,"",IF(C227&gt;=C$2,1,0)+IF(D227&gt;=D$2,1,0)+IF(E227&gt;=E$2,1,0)+IF(F227&gt;=F$2,1,0))</f>
        <v/>
      </c>
      <c r="P227" s="41" t="n"/>
      <c r="Q227" s="42">
        <f>IF(COUNT(C227:M227)&gt;0,1,0)</f>
        <v/>
      </c>
      <c r="R227" s="42">
        <f>IF(Q227=0,0,R226+1)</f>
        <v/>
      </c>
      <c r="S227" s="42">
        <f>IF(O227="",0,IF(O227=4,S226+1,0))</f>
        <v/>
      </c>
      <c r="T227" s="43">
        <f>IF(Q227=1,A227,"")</f>
        <v/>
      </c>
    </row>
    <row r="228">
      <c r="A228" s="36">
        <f>A227+1</f>
        <v/>
      </c>
      <c r="B228" s="37">
        <f>IF(A228="","",TEXT(A228,"ddd"))</f>
        <v/>
      </c>
      <c r="C228" s="38" t="n"/>
      <c r="D228" s="38" t="n"/>
      <c r="E228" s="38" t="n"/>
      <c r="F228" s="38" t="n"/>
      <c r="G228" s="38" t="n"/>
      <c r="H228" s="38" t="n"/>
      <c r="I228" s="38" t="n"/>
      <c r="J228" s="38" t="n"/>
      <c r="K228" s="38" t="n"/>
      <c r="L228" s="39" t="n"/>
      <c r="M228" s="39" t="n"/>
      <c r="N228" s="38" t="n"/>
      <c r="O228" s="40">
        <f>IF($Q228=0,"",IF(C228&gt;=C$2,1,0)+IF(D228&gt;=D$2,1,0)+IF(E228&gt;=E$2,1,0)+IF(F228&gt;=F$2,1,0))</f>
        <v/>
      </c>
      <c r="P228" s="41" t="n"/>
      <c r="Q228" s="42">
        <f>IF(COUNT(C228:M228)&gt;0,1,0)</f>
        <v/>
      </c>
      <c r="R228" s="42">
        <f>IF(Q228=0,0,R227+1)</f>
        <v/>
      </c>
      <c r="S228" s="42">
        <f>IF(O228="",0,IF(O228=4,S227+1,0))</f>
        <v/>
      </c>
      <c r="T228" s="43">
        <f>IF(Q228=1,A228,"")</f>
        <v/>
      </c>
    </row>
    <row r="229">
      <c r="A229" s="36">
        <f>A228+1</f>
        <v/>
      </c>
      <c r="B229" s="37">
        <f>IF(A229="","",TEXT(A229,"ddd"))</f>
        <v/>
      </c>
      <c r="C229" s="38" t="n"/>
      <c r="D229" s="38" t="n"/>
      <c r="E229" s="38" t="n"/>
      <c r="F229" s="38" t="n"/>
      <c r="G229" s="38" t="n"/>
      <c r="H229" s="38" t="n"/>
      <c r="I229" s="38" t="n"/>
      <c r="J229" s="38" t="n"/>
      <c r="K229" s="38" t="n"/>
      <c r="L229" s="39" t="n"/>
      <c r="M229" s="39" t="n"/>
      <c r="N229" s="38" t="n"/>
      <c r="O229" s="40">
        <f>IF($Q229=0,"",IF(C229&gt;=C$2,1,0)+IF(D229&gt;=D$2,1,0)+IF(E229&gt;=E$2,1,0)+IF(F229&gt;=F$2,1,0))</f>
        <v/>
      </c>
      <c r="P229" s="41" t="n"/>
      <c r="Q229" s="42">
        <f>IF(COUNT(C229:M229)&gt;0,1,0)</f>
        <v/>
      </c>
      <c r="R229" s="42">
        <f>IF(Q229=0,0,R228+1)</f>
        <v/>
      </c>
      <c r="S229" s="42">
        <f>IF(O229="",0,IF(O229=4,S228+1,0))</f>
        <v/>
      </c>
      <c r="T229" s="43">
        <f>IF(Q229=1,A229,"")</f>
        <v/>
      </c>
    </row>
    <row r="230">
      <c r="A230" s="36">
        <f>A229+1</f>
        <v/>
      </c>
      <c r="B230" s="37">
        <f>IF(A230="","",TEXT(A230,"ddd"))</f>
        <v/>
      </c>
      <c r="C230" s="38" t="n"/>
      <c r="D230" s="38" t="n"/>
      <c r="E230" s="38" t="n"/>
      <c r="F230" s="38" t="n"/>
      <c r="G230" s="38" t="n"/>
      <c r="H230" s="38" t="n"/>
      <c r="I230" s="38" t="n"/>
      <c r="J230" s="38" t="n"/>
      <c r="K230" s="38" t="n"/>
      <c r="L230" s="39" t="n"/>
      <c r="M230" s="39" t="n"/>
      <c r="N230" s="38" t="n"/>
      <c r="O230" s="40">
        <f>IF($Q230=0,"",IF(C230&gt;=C$2,1,0)+IF(D230&gt;=D$2,1,0)+IF(E230&gt;=E$2,1,0)+IF(F230&gt;=F$2,1,0))</f>
        <v/>
      </c>
      <c r="P230" s="41" t="n"/>
      <c r="Q230" s="42">
        <f>IF(COUNT(C230:M230)&gt;0,1,0)</f>
        <v/>
      </c>
      <c r="R230" s="42">
        <f>IF(Q230=0,0,R229+1)</f>
        <v/>
      </c>
      <c r="S230" s="42">
        <f>IF(O230="",0,IF(O230=4,S229+1,0))</f>
        <v/>
      </c>
      <c r="T230" s="43">
        <f>IF(Q230=1,A230,"")</f>
        <v/>
      </c>
    </row>
    <row r="231">
      <c r="A231" s="36">
        <f>A230+1</f>
        <v/>
      </c>
      <c r="B231" s="37">
        <f>IF(A231="","",TEXT(A231,"ddd"))</f>
        <v/>
      </c>
      <c r="C231" s="38" t="n"/>
      <c r="D231" s="38" t="n"/>
      <c r="E231" s="38" t="n"/>
      <c r="F231" s="38" t="n"/>
      <c r="G231" s="38" t="n"/>
      <c r="H231" s="38" t="n"/>
      <c r="I231" s="38" t="n"/>
      <c r="J231" s="38" t="n"/>
      <c r="K231" s="38" t="n"/>
      <c r="L231" s="39" t="n"/>
      <c r="M231" s="39" t="n"/>
      <c r="N231" s="38" t="n"/>
      <c r="O231" s="40">
        <f>IF($Q231=0,"",IF(C231&gt;=C$2,1,0)+IF(D231&gt;=D$2,1,0)+IF(E231&gt;=E$2,1,0)+IF(F231&gt;=F$2,1,0))</f>
        <v/>
      </c>
      <c r="P231" s="41" t="n"/>
      <c r="Q231" s="42">
        <f>IF(COUNT(C231:M231)&gt;0,1,0)</f>
        <v/>
      </c>
      <c r="R231" s="42">
        <f>IF(Q231=0,0,R230+1)</f>
        <v/>
      </c>
      <c r="S231" s="42">
        <f>IF(O231="",0,IF(O231=4,S230+1,0))</f>
        <v/>
      </c>
      <c r="T231" s="43">
        <f>IF(Q231=1,A231,"")</f>
        <v/>
      </c>
    </row>
    <row r="232">
      <c r="A232" s="36">
        <f>A231+1</f>
        <v/>
      </c>
      <c r="B232" s="37">
        <f>IF(A232="","",TEXT(A232,"ddd"))</f>
        <v/>
      </c>
      <c r="C232" s="38" t="n"/>
      <c r="D232" s="38" t="n"/>
      <c r="E232" s="38" t="n"/>
      <c r="F232" s="38" t="n"/>
      <c r="G232" s="38" t="n"/>
      <c r="H232" s="38" t="n"/>
      <c r="I232" s="38" t="n"/>
      <c r="J232" s="38" t="n"/>
      <c r="K232" s="38" t="n"/>
      <c r="L232" s="39" t="n"/>
      <c r="M232" s="39" t="n"/>
      <c r="N232" s="38" t="n"/>
      <c r="O232" s="40">
        <f>IF($Q232=0,"",IF(C232&gt;=C$2,1,0)+IF(D232&gt;=D$2,1,0)+IF(E232&gt;=E$2,1,0)+IF(F232&gt;=F$2,1,0))</f>
        <v/>
      </c>
      <c r="P232" s="41" t="n"/>
      <c r="Q232" s="42">
        <f>IF(COUNT(C232:M232)&gt;0,1,0)</f>
        <v/>
      </c>
      <c r="R232" s="42">
        <f>IF(Q232=0,0,R231+1)</f>
        <v/>
      </c>
      <c r="S232" s="42">
        <f>IF(O232="",0,IF(O232=4,S231+1,0))</f>
        <v/>
      </c>
      <c r="T232" s="43">
        <f>IF(Q232=1,A232,"")</f>
        <v/>
      </c>
    </row>
    <row r="233">
      <c r="A233" s="36">
        <f>A232+1</f>
        <v/>
      </c>
      <c r="B233" s="37">
        <f>IF(A233="","",TEXT(A233,"ddd"))</f>
        <v/>
      </c>
      <c r="C233" s="38" t="n"/>
      <c r="D233" s="38" t="n"/>
      <c r="E233" s="38" t="n"/>
      <c r="F233" s="38" t="n"/>
      <c r="G233" s="38" t="n"/>
      <c r="H233" s="38" t="n"/>
      <c r="I233" s="38" t="n"/>
      <c r="J233" s="38" t="n"/>
      <c r="K233" s="38" t="n"/>
      <c r="L233" s="39" t="n"/>
      <c r="M233" s="39" t="n"/>
      <c r="N233" s="38" t="n"/>
      <c r="O233" s="40">
        <f>IF($Q233=0,"",IF(C233&gt;=C$2,1,0)+IF(D233&gt;=D$2,1,0)+IF(E233&gt;=E$2,1,0)+IF(F233&gt;=F$2,1,0))</f>
        <v/>
      </c>
      <c r="P233" s="41" t="n"/>
      <c r="Q233" s="42">
        <f>IF(COUNT(C233:M233)&gt;0,1,0)</f>
        <v/>
      </c>
      <c r="R233" s="42">
        <f>IF(Q233=0,0,R232+1)</f>
        <v/>
      </c>
      <c r="S233" s="42">
        <f>IF(O233="",0,IF(O233=4,S232+1,0))</f>
        <v/>
      </c>
      <c r="T233" s="43">
        <f>IF(Q233=1,A233,"")</f>
        <v/>
      </c>
    </row>
    <row r="234">
      <c r="A234" s="36">
        <f>A233+1</f>
        <v/>
      </c>
      <c r="B234" s="37">
        <f>IF(A234="","",TEXT(A234,"ddd"))</f>
        <v/>
      </c>
      <c r="C234" s="38" t="n"/>
      <c r="D234" s="38" t="n"/>
      <c r="E234" s="38" t="n"/>
      <c r="F234" s="38" t="n"/>
      <c r="G234" s="38" t="n"/>
      <c r="H234" s="38" t="n"/>
      <c r="I234" s="38" t="n"/>
      <c r="J234" s="38" t="n"/>
      <c r="K234" s="38" t="n"/>
      <c r="L234" s="39" t="n"/>
      <c r="M234" s="39" t="n"/>
      <c r="N234" s="38" t="n"/>
      <c r="O234" s="40">
        <f>IF($Q234=0,"",IF(C234&gt;=C$2,1,0)+IF(D234&gt;=D$2,1,0)+IF(E234&gt;=E$2,1,0)+IF(F234&gt;=F$2,1,0))</f>
        <v/>
      </c>
      <c r="P234" s="41" t="n"/>
      <c r="Q234" s="42">
        <f>IF(COUNT(C234:M234)&gt;0,1,0)</f>
        <v/>
      </c>
      <c r="R234" s="42">
        <f>IF(Q234=0,0,R233+1)</f>
        <v/>
      </c>
      <c r="S234" s="42">
        <f>IF(O234="",0,IF(O234=4,S233+1,0))</f>
        <v/>
      </c>
      <c r="T234" s="43">
        <f>IF(Q234=1,A234,"")</f>
        <v/>
      </c>
    </row>
    <row r="235">
      <c r="A235" s="36">
        <f>A234+1</f>
        <v/>
      </c>
      <c r="B235" s="37">
        <f>IF(A235="","",TEXT(A235,"ddd"))</f>
        <v/>
      </c>
      <c r="C235" s="38" t="n"/>
      <c r="D235" s="38" t="n"/>
      <c r="E235" s="38" t="n"/>
      <c r="F235" s="38" t="n"/>
      <c r="G235" s="38" t="n"/>
      <c r="H235" s="38" t="n"/>
      <c r="I235" s="38" t="n"/>
      <c r="J235" s="38" t="n"/>
      <c r="K235" s="38" t="n"/>
      <c r="L235" s="39" t="n"/>
      <c r="M235" s="39" t="n"/>
      <c r="N235" s="38" t="n"/>
      <c r="O235" s="40">
        <f>IF($Q235=0,"",IF(C235&gt;=C$2,1,0)+IF(D235&gt;=D$2,1,0)+IF(E235&gt;=E$2,1,0)+IF(F235&gt;=F$2,1,0))</f>
        <v/>
      </c>
      <c r="P235" s="41" t="n"/>
      <c r="Q235" s="42">
        <f>IF(COUNT(C235:M235)&gt;0,1,0)</f>
        <v/>
      </c>
      <c r="R235" s="42">
        <f>IF(Q235=0,0,R234+1)</f>
        <v/>
      </c>
      <c r="S235" s="42">
        <f>IF(O235="",0,IF(O235=4,S234+1,0))</f>
        <v/>
      </c>
      <c r="T235" s="43">
        <f>IF(Q235=1,A235,"")</f>
        <v/>
      </c>
    </row>
    <row r="236">
      <c r="A236" s="36">
        <f>A235+1</f>
        <v/>
      </c>
      <c r="B236" s="37">
        <f>IF(A236="","",TEXT(A236,"ddd"))</f>
        <v/>
      </c>
      <c r="C236" s="38" t="n"/>
      <c r="D236" s="38" t="n"/>
      <c r="E236" s="38" t="n"/>
      <c r="F236" s="38" t="n"/>
      <c r="G236" s="38" t="n"/>
      <c r="H236" s="38" t="n"/>
      <c r="I236" s="38" t="n"/>
      <c r="J236" s="38" t="n"/>
      <c r="K236" s="38" t="n"/>
      <c r="L236" s="39" t="n"/>
      <c r="M236" s="39" t="n"/>
      <c r="N236" s="38" t="n"/>
      <c r="O236" s="40">
        <f>IF($Q236=0,"",IF(C236&gt;=C$2,1,0)+IF(D236&gt;=D$2,1,0)+IF(E236&gt;=E$2,1,0)+IF(F236&gt;=F$2,1,0))</f>
        <v/>
      </c>
      <c r="P236" s="41" t="n"/>
      <c r="Q236" s="42">
        <f>IF(COUNT(C236:M236)&gt;0,1,0)</f>
        <v/>
      </c>
      <c r="R236" s="42">
        <f>IF(Q236=0,0,R235+1)</f>
        <v/>
      </c>
      <c r="S236" s="42">
        <f>IF(O236="",0,IF(O236=4,S235+1,0))</f>
        <v/>
      </c>
      <c r="T236" s="43">
        <f>IF(Q236=1,A236,"")</f>
        <v/>
      </c>
    </row>
    <row r="237">
      <c r="A237" s="36">
        <f>A236+1</f>
        <v/>
      </c>
      <c r="B237" s="37">
        <f>IF(A237="","",TEXT(A237,"ddd"))</f>
        <v/>
      </c>
      <c r="C237" s="38" t="n"/>
      <c r="D237" s="38" t="n"/>
      <c r="E237" s="38" t="n"/>
      <c r="F237" s="38" t="n"/>
      <c r="G237" s="38" t="n"/>
      <c r="H237" s="38" t="n"/>
      <c r="I237" s="38" t="n"/>
      <c r="J237" s="38" t="n"/>
      <c r="K237" s="38" t="n"/>
      <c r="L237" s="39" t="n"/>
      <c r="M237" s="39" t="n"/>
      <c r="N237" s="38" t="n"/>
      <c r="O237" s="40">
        <f>IF($Q237=0,"",IF(C237&gt;=C$2,1,0)+IF(D237&gt;=D$2,1,0)+IF(E237&gt;=E$2,1,0)+IF(F237&gt;=F$2,1,0))</f>
        <v/>
      </c>
      <c r="P237" s="41" t="n"/>
      <c r="Q237" s="42">
        <f>IF(COUNT(C237:M237)&gt;0,1,0)</f>
        <v/>
      </c>
      <c r="R237" s="42">
        <f>IF(Q237=0,0,R236+1)</f>
        <v/>
      </c>
      <c r="S237" s="42">
        <f>IF(O237="",0,IF(O237=4,S236+1,0))</f>
        <v/>
      </c>
      <c r="T237" s="43">
        <f>IF(Q237=1,A237,"")</f>
        <v/>
      </c>
    </row>
    <row r="238">
      <c r="A238" s="36">
        <f>A237+1</f>
        <v/>
      </c>
      <c r="B238" s="37">
        <f>IF(A238="","",TEXT(A238,"ddd"))</f>
        <v/>
      </c>
      <c r="C238" s="38" t="n"/>
      <c r="D238" s="38" t="n"/>
      <c r="E238" s="38" t="n"/>
      <c r="F238" s="38" t="n"/>
      <c r="G238" s="38" t="n"/>
      <c r="H238" s="38" t="n"/>
      <c r="I238" s="38" t="n"/>
      <c r="J238" s="38" t="n"/>
      <c r="K238" s="38" t="n"/>
      <c r="L238" s="39" t="n"/>
      <c r="M238" s="39" t="n"/>
      <c r="N238" s="38" t="n"/>
      <c r="O238" s="40">
        <f>IF($Q238=0,"",IF(C238&gt;=C$2,1,0)+IF(D238&gt;=D$2,1,0)+IF(E238&gt;=E$2,1,0)+IF(F238&gt;=F$2,1,0))</f>
        <v/>
      </c>
      <c r="P238" s="41" t="n"/>
      <c r="Q238" s="42">
        <f>IF(COUNT(C238:M238)&gt;0,1,0)</f>
        <v/>
      </c>
      <c r="R238" s="42">
        <f>IF(Q238=0,0,R237+1)</f>
        <v/>
      </c>
      <c r="S238" s="42">
        <f>IF(O238="",0,IF(O238=4,S237+1,0))</f>
        <v/>
      </c>
      <c r="T238" s="43">
        <f>IF(Q238=1,A238,"")</f>
        <v/>
      </c>
    </row>
    <row r="239">
      <c r="A239" s="36">
        <f>A238+1</f>
        <v/>
      </c>
      <c r="B239" s="37">
        <f>IF(A239="","",TEXT(A239,"ddd"))</f>
        <v/>
      </c>
      <c r="C239" s="38" t="n"/>
      <c r="D239" s="38" t="n"/>
      <c r="E239" s="38" t="n"/>
      <c r="F239" s="38" t="n"/>
      <c r="G239" s="38" t="n"/>
      <c r="H239" s="38" t="n"/>
      <c r="I239" s="38" t="n"/>
      <c r="J239" s="38" t="n"/>
      <c r="K239" s="38" t="n"/>
      <c r="L239" s="39" t="n"/>
      <c r="M239" s="39" t="n"/>
      <c r="N239" s="38" t="n"/>
      <c r="O239" s="40">
        <f>IF($Q239=0,"",IF(C239&gt;=C$2,1,0)+IF(D239&gt;=D$2,1,0)+IF(E239&gt;=E$2,1,0)+IF(F239&gt;=F$2,1,0))</f>
        <v/>
      </c>
      <c r="P239" s="41" t="n"/>
      <c r="Q239" s="42">
        <f>IF(COUNT(C239:M239)&gt;0,1,0)</f>
        <v/>
      </c>
      <c r="R239" s="42">
        <f>IF(Q239=0,0,R238+1)</f>
        <v/>
      </c>
      <c r="S239" s="42">
        <f>IF(O239="",0,IF(O239=4,S238+1,0))</f>
        <v/>
      </c>
      <c r="T239" s="43">
        <f>IF(Q239=1,A239,"")</f>
        <v/>
      </c>
    </row>
    <row r="240">
      <c r="A240" s="36">
        <f>A239+1</f>
        <v/>
      </c>
      <c r="B240" s="37">
        <f>IF(A240="","",TEXT(A240,"ddd"))</f>
        <v/>
      </c>
      <c r="C240" s="38" t="n"/>
      <c r="D240" s="38" t="n"/>
      <c r="E240" s="38" t="n"/>
      <c r="F240" s="38" t="n"/>
      <c r="G240" s="38" t="n"/>
      <c r="H240" s="38" t="n"/>
      <c r="I240" s="38" t="n"/>
      <c r="J240" s="38" t="n"/>
      <c r="K240" s="38" t="n"/>
      <c r="L240" s="39" t="n"/>
      <c r="M240" s="39" t="n"/>
      <c r="N240" s="38" t="n"/>
      <c r="O240" s="40">
        <f>IF($Q240=0,"",IF(C240&gt;=C$2,1,0)+IF(D240&gt;=D$2,1,0)+IF(E240&gt;=E$2,1,0)+IF(F240&gt;=F$2,1,0))</f>
        <v/>
      </c>
      <c r="P240" s="41" t="n"/>
      <c r="Q240" s="42">
        <f>IF(COUNT(C240:M240)&gt;0,1,0)</f>
        <v/>
      </c>
      <c r="R240" s="42">
        <f>IF(Q240=0,0,R239+1)</f>
        <v/>
      </c>
      <c r="S240" s="42">
        <f>IF(O240="",0,IF(O240=4,S239+1,0))</f>
        <v/>
      </c>
      <c r="T240" s="43">
        <f>IF(Q240=1,A240,"")</f>
        <v/>
      </c>
    </row>
    <row r="241">
      <c r="A241" s="36">
        <f>A240+1</f>
        <v/>
      </c>
      <c r="B241" s="37">
        <f>IF(A241="","",TEXT(A241,"ddd"))</f>
        <v/>
      </c>
      <c r="C241" s="38" t="n"/>
      <c r="D241" s="38" t="n"/>
      <c r="E241" s="38" t="n"/>
      <c r="F241" s="38" t="n"/>
      <c r="G241" s="38" t="n"/>
      <c r="H241" s="38" t="n"/>
      <c r="I241" s="38" t="n"/>
      <c r="J241" s="38" t="n"/>
      <c r="K241" s="38" t="n"/>
      <c r="L241" s="39" t="n"/>
      <c r="M241" s="39" t="n"/>
      <c r="N241" s="38" t="n"/>
      <c r="O241" s="40">
        <f>IF($Q241=0,"",IF(C241&gt;=C$2,1,0)+IF(D241&gt;=D$2,1,0)+IF(E241&gt;=E$2,1,0)+IF(F241&gt;=F$2,1,0))</f>
        <v/>
      </c>
      <c r="P241" s="41" t="n"/>
      <c r="Q241" s="42">
        <f>IF(COUNT(C241:M241)&gt;0,1,0)</f>
        <v/>
      </c>
      <c r="R241" s="42">
        <f>IF(Q241=0,0,R240+1)</f>
        <v/>
      </c>
      <c r="S241" s="42">
        <f>IF(O241="",0,IF(O241=4,S240+1,0))</f>
        <v/>
      </c>
      <c r="T241" s="43">
        <f>IF(Q241=1,A241,"")</f>
        <v/>
      </c>
    </row>
    <row r="242">
      <c r="A242" s="36">
        <f>A241+1</f>
        <v/>
      </c>
      <c r="B242" s="37">
        <f>IF(A242="","",TEXT(A242,"ddd"))</f>
        <v/>
      </c>
      <c r="C242" s="38" t="n"/>
      <c r="D242" s="38" t="n"/>
      <c r="E242" s="38" t="n"/>
      <c r="F242" s="38" t="n"/>
      <c r="G242" s="38" t="n"/>
      <c r="H242" s="38" t="n"/>
      <c r="I242" s="38" t="n"/>
      <c r="J242" s="38" t="n"/>
      <c r="K242" s="38" t="n"/>
      <c r="L242" s="39" t="n"/>
      <c r="M242" s="39" t="n"/>
      <c r="N242" s="38" t="n"/>
      <c r="O242" s="40">
        <f>IF($Q242=0,"",IF(C242&gt;=C$2,1,0)+IF(D242&gt;=D$2,1,0)+IF(E242&gt;=E$2,1,0)+IF(F242&gt;=F$2,1,0))</f>
        <v/>
      </c>
      <c r="P242" s="41" t="n"/>
      <c r="Q242" s="42">
        <f>IF(COUNT(C242:M242)&gt;0,1,0)</f>
        <v/>
      </c>
      <c r="R242" s="42">
        <f>IF(Q242=0,0,R241+1)</f>
        <v/>
      </c>
      <c r="S242" s="42">
        <f>IF(O242="",0,IF(O242=4,S241+1,0))</f>
        <v/>
      </c>
      <c r="T242" s="43">
        <f>IF(Q242=1,A242,"")</f>
        <v/>
      </c>
    </row>
    <row r="243">
      <c r="A243" s="36">
        <f>A242+1</f>
        <v/>
      </c>
      <c r="B243" s="37">
        <f>IF(A243="","",TEXT(A243,"ddd"))</f>
        <v/>
      </c>
      <c r="C243" s="38" t="n"/>
      <c r="D243" s="38" t="n"/>
      <c r="E243" s="38" t="n"/>
      <c r="F243" s="38" t="n"/>
      <c r="G243" s="38" t="n"/>
      <c r="H243" s="38" t="n"/>
      <c r="I243" s="38" t="n"/>
      <c r="J243" s="38" t="n"/>
      <c r="K243" s="38" t="n"/>
      <c r="L243" s="39" t="n"/>
      <c r="M243" s="39" t="n"/>
      <c r="N243" s="38" t="n"/>
      <c r="O243" s="40">
        <f>IF($Q243=0,"",IF(C243&gt;=C$2,1,0)+IF(D243&gt;=D$2,1,0)+IF(E243&gt;=E$2,1,0)+IF(F243&gt;=F$2,1,0))</f>
        <v/>
      </c>
      <c r="P243" s="41" t="n"/>
      <c r="Q243" s="42">
        <f>IF(COUNT(C243:M243)&gt;0,1,0)</f>
        <v/>
      </c>
      <c r="R243" s="42">
        <f>IF(Q243=0,0,R242+1)</f>
        <v/>
      </c>
      <c r="S243" s="42">
        <f>IF(O243="",0,IF(O243=4,S242+1,0))</f>
        <v/>
      </c>
      <c r="T243" s="43">
        <f>IF(Q243=1,A243,"")</f>
        <v/>
      </c>
    </row>
    <row r="244">
      <c r="A244" s="36">
        <f>A243+1</f>
        <v/>
      </c>
      <c r="B244" s="37">
        <f>IF(A244="","",TEXT(A244,"ddd"))</f>
        <v/>
      </c>
      <c r="C244" s="38" t="n"/>
      <c r="D244" s="38" t="n"/>
      <c r="E244" s="38" t="n"/>
      <c r="F244" s="38" t="n"/>
      <c r="G244" s="38" t="n"/>
      <c r="H244" s="38" t="n"/>
      <c r="I244" s="38" t="n"/>
      <c r="J244" s="38" t="n"/>
      <c r="K244" s="38" t="n"/>
      <c r="L244" s="39" t="n"/>
      <c r="M244" s="39" t="n"/>
      <c r="N244" s="38" t="n"/>
      <c r="O244" s="40">
        <f>IF($Q244=0,"",IF(C244&gt;=C$2,1,0)+IF(D244&gt;=D$2,1,0)+IF(E244&gt;=E$2,1,0)+IF(F244&gt;=F$2,1,0))</f>
        <v/>
      </c>
      <c r="P244" s="41" t="n"/>
      <c r="Q244" s="42">
        <f>IF(COUNT(C244:M244)&gt;0,1,0)</f>
        <v/>
      </c>
      <c r="R244" s="42">
        <f>IF(Q244=0,0,R243+1)</f>
        <v/>
      </c>
      <c r="S244" s="42">
        <f>IF(O244="",0,IF(O244=4,S243+1,0))</f>
        <v/>
      </c>
      <c r="T244" s="43">
        <f>IF(Q244=1,A244,"")</f>
        <v/>
      </c>
    </row>
    <row r="245">
      <c r="A245" s="36">
        <f>A244+1</f>
        <v/>
      </c>
      <c r="B245" s="37">
        <f>IF(A245="","",TEXT(A245,"ddd"))</f>
        <v/>
      </c>
      <c r="C245" s="38" t="n"/>
      <c r="D245" s="38" t="n"/>
      <c r="E245" s="38" t="n"/>
      <c r="F245" s="38" t="n"/>
      <c r="G245" s="38" t="n"/>
      <c r="H245" s="38" t="n"/>
      <c r="I245" s="38" t="n"/>
      <c r="J245" s="38" t="n"/>
      <c r="K245" s="38" t="n"/>
      <c r="L245" s="39" t="n"/>
      <c r="M245" s="39" t="n"/>
      <c r="N245" s="38" t="n"/>
      <c r="O245" s="40">
        <f>IF($Q245=0,"",IF(C245&gt;=C$2,1,0)+IF(D245&gt;=D$2,1,0)+IF(E245&gt;=E$2,1,0)+IF(F245&gt;=F$2,1,0))</f>
        <v/>
      </c>
      <c r="P245" s="41" t="n"/>
      <c r="Q245" s="42">
        <f>IF(COUNT(C245:M245)&gt;0,1,0)</f>
        <v/>
      </c>
      <c r="R245" s="42">
        <f>IF(Q245=0,0,R244+1)</f>
        <v/>
      </c>
      <c r="S245" s="42">
        <f>IF(O245="",0,IF(O245=4,S244+1,0))</f>
        <v/>
      </c>
      <c r="T245" s="43">
        <f>IF(Q245=1,A245,"")</f>
        <v/>
      </c>
    </row>
    <row r="246">
      <c r="A246" s="36">
        <f>A245+1</f>
        <v/>
      </c>
      <c r="B246" s="37">
        <f>IF(A246="","",TEXT(A246,"ddd"))</f>
        <v/>
      </c>
      <c r="C246" s="38" t="n"/>
      <c r="D246" s="38" t="n"/>
      <c r="E246" s="38" t="n"/>
      <c r="F246" s="38" t="n"/>
      <c r="G246" s="38" t="n"/>
      <c r="H246" s="38" t="n"/>
      <c r="I246" s="38" t="n"/>
      <c r="J246" s="38" t="n"/>
      <c r="K246" s="38" t="n"/>
      <c r="L246" s="39" t="n"/>
      <c r="M246" s="39" t="n"/>
      <c r="N246" s="38" t="n"/>
      <c r="O246" s="40">
        <f>IF($Q246=0,"",IF(C246&gt;=C$2,1,0)+IF(D246&gt;=D$2,1,0)+IF(E246&gt;=E$2,1,0)+IF(F246&gt;=F$2,1,0))</f>
        <v/>
      </c>
      <c r="P246" s="41" t="n"/>
      <c r="Q246" s="42">
        <f>IF(COUNT(C246:M246)&gt;0,1,0)</f>
        <v/>
      </c>
      <c r="R246" s="42">
        <f>IF(Q246=0,0,R245+1)</f>
        <v/>
      </c>
      <c r="S246" s="42">
        <f>IF(O246="",0,IF(O246=4,S245+1,0))</f>
        <v/>
      </c>
      <c r="T246" s="43">
        <f>IF(Q246=1,A246,"")</f>
        <v/>
      </c>
    </row>
    <row r="247">
      <c r="A247" s="36">
        <f>A246+1</f>
        <v/>
      </c>
      <c r="B247" s="37">
        <f>IF(A247="","",TEXT(A247,"ddd"))</f>
        <v/>
      </c>
      <c r="C247" s="38" t="n"/>
      <c r="D247" s="38" t="n"/>
      <c r="E247" s="38" t="n"/>
      <c r="F247" s="38" t="n"/>
      <c r="G247" s="38" t="n"/>
      <c r="H247" s="38" t="n"/>
      <c r="I247" s="38" t="n"/>
      <c r="J247" s="38" t="n"/>
      <c r="K247" s="38" t="n"/>
      <c r="L247" s="39" t="n"/>
      <c r="M247" s="39" t="n"/>
      <c r="N247" s="38" t="n"/>
      <c r="O247" s="40">
        <f>IF($Q247=0,"",IF(C247&gt;=C$2,1,0)+IF(D247&gt;=D$2,1,0)+IF(E247&gt;=E$2,1,0)+IF(F247&gt;=F$2,1,0))</f>
        <v/>
      </c>
      <c r="P247" s="41" t="n"/>
      <c r="Q247" s="42">
        <f>IF(COUNT(C247:M247)&gt;0,1,0)</f>
        <v/>
      </c>
      <c r="R247" s="42">
        <f>IF(Q247=0,0,R246+1)</f>
        <v/>
      </c>
      <c r="S247" s="42">
        <f>IF(O247="",0,IF(O247=4,S246+1,0))</f>
        <v/>
      </c>
      <c r="T247" s="43">
        <f>IF(Q247=1,A247,"")</f>
        <v/>
      </c>
    </row>
    <row r="248">
      <c r="A248" s="36">
        <f>A247+1</f>
        <v/>
      </c>
      <c r="B248" s="37">
        <f>IF(A248="","",TEXT(A248,"ddd"))</f>
        <v/>
      </c>
      <c r="C248" s="38" t="n"/>
      <c r="D248" s="38" t="n"/>
      <c r="E248" s="38" t="n"/>
      <c r="F248" s="38" t="n"/>
      <c r="G248" s="38" t="n"/>
      <c r="H248" s="38" t="n"/>
      <c r="I248" s="38" t="n"/>
      <c r="J248" s="38" t="n"/>
      <c r="K248" s="38" t="n"/>
      <c r="L248" s="39" t="n"/>
      <c r="M248" s="39" t="n"/>
      <c r="N248" s="38" t="n"/>
      <c r="O248" s="40">
        <f>IF($Q248=0,"",IF(C248&gt;=C$2,1,0)+IF(D248&gt;=D$2,1,0)+IF(E248&gt;=E$2,1,0)+IF(F248&gt;=F$2,1,0))</f>
        <v/>
      </c>
      <c r="P248" s="41" t="n"/>
      <c r="Q248" s="42">
        <f>IF(COUNT(C248:M248)&gt;0,1,0)</f>
        <v/>
      </c>
      <c r="R248" s="42">
        <f>IF(Q248=0,0,R247+1)</f>
        <v/>
      </c>
      <c r="S248" s="42">
        <f>IF(O248="",0,IF(O248=4,S247+1,0))</f>
        <v/>
      </c>
      <c r="T248" s="43">
        <f>IF(Q248=1,A248,"")</f>
        <v/>
      </c>
    </row>
    <row r="249">
      <c r="A249" s="36">
        <f>A248+1</f>
        <v/>
      </c>
      <c r="B249" s="37">
        <f>IF(A249="","",TEXT(A249,"ddd"))</f>
        <v/>
      </c>
      <c r="C249" s="38" t="n"/>
      <c r="D249" s="38" t="n"/>
      <c r="E249" s="38" t="n"/>
      <c r="F249" s="38" t="n"/>
      <c r="G249" s="38" t="n"/>
      <c r="H249" s="38" t="n"/>
      <c r="I249" s="38" t="n"/>
      <c r="J249" s="38" t="n"/>
      <c r="K249" s="38" t="n"/>
      <c r="L249" s="39" t="n"/>
      <c r="M249" s="39" t="n"/>
      <c r="N249" s="38" t="n"/>
      <c r="O249" s="40">
        <f>IF($Q249=0,"",IF(C249&gt;=C$2,1,0)+IF(D249&gt;=D$2,1,0)+IF(E249&gt;=E$2,1,0)+IF(F249&gt;=F$2,1,0))</f>
        <v/>
      </c>
      <c r="P249" s="41" t="n"/>
      <c r="Q249" s="42">
        <f>IF(COUNT(C249:M249)&gt;0,1,0)</f>
        <v/>
      </c>
      <c r="R249" s="42">
        <f>IF(Q249=0,0,R248+1)</f>
        <v/>
      </c>
      <c r="S249" s="42">
        <f>IF(O249="",0,IF(O249=4,S248+1,0))</f>
        <v/>
      </c>
      <c r="T249" s="43">
        <f>IF(Q249=1,A249,"")</f>
        <v/>
      </c>
    </row>
    <row r="250">
      <c r="A250" s="36">
        <f>A249+1</f>
        <v/>
      </c>
      <c r="B250" s="37">
        <f>IF(A250="","",TEXT(A250,"ddd"))</f>
        <v/>
      </c>
      <c r="C250" s="38" t="n"/>
      <c r="D250" s="38" t="n"/>
      <c r="E250" s="38" t="n"/>
      <c r="F250" s="38" t="n"/>
      <c r="G250" s="38" t="n"/>
      <c r="H250" s="38" t="n"/>
      <c r="I250" s="38" t="n"/>
      <c r="J250" s="38" t="n"/>
      <c r="K250" s="38" t="n"/>
      <c r="L250" s="39" t="n"/>
      <c r="M250" s="39" t="n"/>
      <c r="N250" s="38" t="n"/>
      <c r="O250" s="40">
        <f>IF($Q250=0,"",IF(C250&gt;=C$2,1,0)+IF(D250&gt;=D$2,1,0)+IF(E250&gt;=E$2,1,0)+IF(F250&gt;=F$2,1,0))</f>
        <v/>
      </c>
      <c r="P250" s="41" t="n"/>
      <c r="Q250" s="42">
        <f>IF(COUNT(C250:M250)&gt;0,1,0)</f>
        <v/>
      </c>
      <c r="R250" s="42">
        <f>IF(Q250=0,0,R249+1)</f>
        <v/>
      </c>
      <c r="S250" s="42">
        <f>IF(O250="",0,IF(O250=4,S249+1,0))</f>
        <v/>
      </c>
      <c r="T250" s="43">
        <f>IF(Q250=1,A250,"")</f>
        <v/>
      </c>
    </row>
    <row r="251">
      <c r="A251" s="36">
        <f>A250+1</f>
        <v/>
      </c>
      <c r="B251" s="37">
        <f>IF(A251="","",TEXT(A251,"ddd"))</f>
        <v/>
      </c>
      <c r="C251" s="38" t="n"/>
      <c r="D251" s="38" t="n"/>
      <c r="E251" s="38" t="n"/>
      <c r="F251" s="38" t="n"/>
      <c r="G251" s="38" t="n"/>
      <c r="H251" s="38" t="n"/>
      <c r="I251" s="38" t="n"/>
      <c r="J251" s="38" t="n"/>
      <c r="K251" s="38" t="n"/>
      <c r="L251" s="39" t="n"/>
      <c r="M251" s="39" t="n"/>
      <c r="N251" s="38" t="n"/>
      <c r="O251" s="40">
        <f>IF($Q251=0,"",IF(C251&gt;=C$2,1,0)+IF(D251&gt;=D$2,1,0)+IF(E251&gt;=E$2,1,0)+IF(F251&gt;=F$2,1,0))</f>
        <v/>
      </c>
      <c r="P251" s="41" t="n"/>
      <c r="Q251" s="42">
        <f>IF(COUNT(C251:M251)&gt;0,1,0)</f>
        <v/>
      </c>
      <c r="R251" s="42">
        <f>IF(Q251=0,0,R250+1)</f>
        <v/>
      </c>
      <c r="S251" s="42">
        <f>IF(O251="",0,IF(O251=4,S250+1,0))</f>
        <v/>
      </c>
      <c r="T251" s="43">
        <f>IF(Q251=1,A251,"")</f>
        <v/>
      </c>
    </row>
    <row r="252">
      <c r="A252" s="36">
        <f>A251+1</f>
        <v/>
      </c>
      <c r="B252" s="37">
        <f>IF(A252="","",TEXT(A252,"ddd"))</f>
        <v/>
      </c>
      <c r="C252" s="38" t="n"/>
      <c r="D252" s="38" t="n"/>
      <c r="E252" s="38" t="n"/>
      <c r="F252" s="38" t="n"/>
      <c r="G252" s="38" t="n"/>
      <c r="H252" s="38" t="n"/>
      <c r="I252" s="38" t="n"/>
      <c r="J252" s="38" t="n"/>
      <c r="K252" s="38" t="n"/>
      <c r="L252" s="39" t="n"/>
      <c r="M252" s="39" t="n"/>
      <c r="N252" s="38" t="n"/>
      <c r="O252" s="40">
        <f>IF($Q252=0,"",IF(C252&gt;=C$2,1,0)+IF(D252&gt;=D$2,1,0)+IF(E252&gt;=E$2,1,0)+IF(F252&gt;=F$2,1,0))</f>
        <v/>
      </c>
      <c r="P252" s="41" t="n"/>
      <c r="Q252" s="42">
        <f>IF(COUNT(C252:M252)&gt;0,1,0)</f>
        <v/>
      </c>
      <c r="R252" s="42">
        <f>IF(Q252=0,0,R251+1)</f>
        <v/>
      </c>
      <c r="S252" s="42">
        <f>IF(O252="",0,IF(O252=4,S251+1,0))</f>
        <v/>
      </c>
      <c r="T252" s="43">
        <f>IF(Q252=1,A252,"")</f>
        <v/>
      </c>
    </row>
    <row r="253">
      <c r="A253" s="36">
        <f>A252+1</f>
        <v/>
      </c>
      <c r="B253" s="37">
        <f>IF(A253="","",TEXT(A253,"ddd"))</f>
        <v/>
      </c>
      <c r="C253" s="38" t="n"/>
      <c r="D253" s="38" t="n"/>
      <c r="E253" s="38" t="n"/>
      <c r="F253" s="38" t="n"/>
      <c r="G253" s="38" t="n"/>
      <c r="H253" s="38" t="n"/>
      <c r="I253" s="38" t="n"/>
      <c r="J253" s="38" t="n"/>
      <c r="K253" s="38" t="n"/>
      <c r="L253" s="39" t="n"/>
      <c r="M253" s="39" t="n"/>
      <c r="N253" s="38" t="n"/>
      <c r="O253" s="40">
        <f>IF($Q253=0,"",IF(C253&gt;=C$2,1,0)+IF(D253&gt;=D$2,1,0)+IF(E253&gt;=E$2,1,0)+IF(F253&gt;=F$2,1,0))</f>
        <v/>
      </c>
      <c r="P253" s="41" t="n"/>
      <c r="Q253" s="42">
        <f>IF(COUNT(C253:M253)&gt;0,1,0)</f>
        <v/>
      </c>
      <c r="R253" s="42">
        <f>IF(Q253=0,0,R252+1)</f>
        <v/>
      </c>
      <c r="S253" s="42">
        <f>IF(O253="",0,IF(O253=4,S252+1,0))</f>
        <v/>
      </c>
      <c r="T253" s="43">
        <f>IF(Q253=1,A253,"")</f>
        <v/>
      </c>
    </row>
    <row r="254">
      <c r="A254" s="36">
        <f>A253+1</f>
        <v/>
      </c>
      <c r="B254" s="37">
        <f>IF(A254="","",TEXT(A254,"ddd"))</f>
        <v/>
      </c>
      <c r="C254" s="38" t="n"/>
      <c r="D254" s="38" t="n"/>
      <c r="E254" s="38" t="n"/>
      <c r="F254" s="38" t="n"/>
      <c r="G254" s="38" t="n"/>
      <c r="H254" s="38" t="n"/>
      <c r="I254" s="38" t="n"/>
      <c r="J254" s="38" t="n"/>
      <c r="K254" s="38" t="n"/>
      <c r="L254" s="39" t="n"/>
      <c r="M254" s="39" t="n"/>
      <c r="N254" s="38" t="n"/>
      <c r="O254" s="40">
        <f>IF($Q254=0,"",IF(C254&gt;=C$2,1,0)+IF(D254&gt;=D$2,1,0)+IF(E254&gt;=E$2,1,0)+IF(F254&gt;=F$2,1,0))</f>
        <v/>
      </c>
      <c r="P254" s="41" t="n"/>
      <c r="Q254" s="42">
        <f>IF(COUNT(C254:M254)&gt;0,1,0)</f>
        <v/>
      </c>
      <c r="R254" s="42">
        <f>IF(Q254=0,0,R253+1)</f>
        <v/>
      </c>
      <c r="S254" s="42">
        <f>IF(O254="",0,IF(O254=4,S253+1,0))</f>
        <v/>
      </c>
      <c r="T254" s="43">
        <f>IF(Q254=1,A254,"")</f>
        <v/>
      </c>
    </row>
    <row r="255">
      <c r="A255" s="36">
        <f>A254+1</f>
        <v/>
      </c>
      <c r="B255" s="37">
        <f>IF(A255="","",TEXT(A255,"ddd"))</f>
        <v/>
      </c>
      <c r="C255" s="38" t="n"/>
      <c r="D255" s="38" t="n"/>
      <c r="E255" s="38" t="n"/>
      <c r="F255" s="38" t="n"/>
      <c r="G255" s="38" t="n"/>
      <c r="H255" s="38" t="n"/>
      <c r="I255" s="38" t="n"/>
      <c r="J255" s="38" t="n"/>
      <c r="K255" s="38" t="n"/>
      <c r="L255" s="39" t="n"/>
      <c r="M255" s="39" t="n"/>
      <c r="N255" s="38" t="n"/>
      <c r="O255" s="40">
        <f>IF($Q255=0,"",IF(C255&gt;=C$2,1,0)+IF(D255&gt;=D$2,1,0)+IF(E255&gt;=E$2,1,0)+IF(F255&gt;=F$2,1,0))</f>
        <v/>
      </c>
      <c r="P255" s="41" t="n"/>
      <c r="Q255" s="42">
        <f>IF(COUNT(C255:M255)&gt;0,1,0)</f>
        <v/>
      </c>
      <c r="R255" s="42">
        <f>IF(Q255=0,0,R254+1)</f>
        <v/>
      </c>
      <c r="S255" s="42">
        <f>IF(O255="",0,IF(O255=4,S254+1,0))</f>
        <v/>
      </c>
      <c r="T255" s="43">
        <f>IF(Q255=1,A255,"")</f>
        <v/>
      </c>
    </row>
    <row r="256">
      <c r="A256" s="36">
        <f>A255+1</f>
        <v/>
      </c>
      <c r="B256" s="37">
        <f>IF(A256="","",TEXT(A256,"ddd"))</f>
        <v/>
      </c>
      <c r="C256" s="38" t="n"/>
      <c r="D256" s="38" t="n"/>
      <c r="E256" s="38" t="n"/>
      <c r="F256" s="38" t="n"/>
      <c r="G256" s="38" t="n"/>
      <c r="H256" s="38" t="n"/>
      <c r="I256" s="38" t="n"/>
      <c r="J256" s="38" t="n"/>
      <c r="K256" s="38" t="n"/>
      <c r="L256" s="39" t="n"/>
      <c r="M256" s="39" t="n"/>
      <c r="N256" s="38" t="n"/>
      <c r="O256" s="40">
        <f>IF($Q256=0,"",IF(C256&gt;=C$2,1,0)+IF(D256&gt;=D$2,1,0)+IF(E256&gt;=E$2,1,0)+IF(F256&gt;=F$2,1,0))</f>
        <v/>
      </c>
      <c r="P256" s="41" t="n"/>
      <c r="Q256" s="42">
        <f>IF(COUNT(C256:M256)&gt;0,1,0)</f>
        <v/>
      </c>
      <c r="R256" s="42">
        <f>IF(Q256=0,0,R255+1)</f>
        <v/>
      </c>
      <c r="S256" s="42">
        <f>IF(O256="",0,IF(O256=4,S255+1,0))</f>
        <v/>
      </c>
      <c r="T256" s="43">
        <f>IF(Q256=1,A256,"")</f>
        <v/>
      </c>
    </row>
    <row r="257">
      <c r="A257" s="36">
        <f>A256+1</f>
        <v/>
      </c>
      <c r="B257" s="37">
        <f>IF(A257="","",TEXT(A257,"ddd"))</f>
        <v/>
      </c>
      <c r="C257" s="38" t="n"/>
      <c r="D257" s="38" t="n"/>
      <c r="E257" s="38" t="n"/>
      <c r="F257" s="38" t="n"/>
      <c r="G257" s="38" t="n"/>
      <c r="H257" s="38" t="n"/>
      <c r="I257" s="38" t="n"/>
      <c r="J257" s="38" t="n"/>
      <c r="K257" s="38" t="n"/>
      <c r="L257" s="39" t="n"/>
      <c r="M257" s="39" t="n"/>
      <c r="N257" s="38" t="n"/>
      <c r="O257" s="40">
        <f>IF($Q257=0,"",IF(C257&gt;=C$2,1,0)+IF(D257&gt;=D$2,1,0)+IF(E257&gt;=E$2,1,0)+IF(F257&gt;=F$2,1,0))</f>
        <v/>
      </c>
      <c r="P257" s="41" t="n"/>
      <c r="Q257" s="42">
        <f>IF(COUNT(C257:M257)&gt;0,1,0)</f>
        <v/>
      </c>
      <c r="R257" s="42">
        <f>IF(Q257=0,0,R256+1)</f>
        <v/>
      </c>
      <c r="S257" s="42">
        <f>IF(O257="",0,IF(O257=4,S256+1,0))</f>
        <v/>
      </c>
      <c r="T257" s="43">
        <f>IF(Q257=1,A257,"")</f>
        <v/>
      </c>
    </row>
    <row r="258">
      <c r="A258" s="36">
        <f>A257+1</f>
        <v/>
      </c>
      <c r="B258" s="37">
        <f>IF(A258="","",TEXT(A258,"ddd"))</f>
        <v/>
      </c>
      <c r="C258" s="38" t="n"/>
      <c r="D258" s="38" t="n"/>
      <c r="E258" s="38" t="n"/>
      <c r="F258" s="38" t="n"/>
      <c r="G258" s="38" t="n"/>
      <c r="H258" s="38" t="n"/>
      <c r="I258" s="38" t="n"/>
      <c r="J258" s="38" t="n"/>
      <c r="K258" s="38" t="n"/>
      <c r="L258" s="39" t="n"/>
      <c r="M258" s="39" t="n"/>
      <c r="N258" s="38" t="n"/>
      <c r="O258" s="40">
        <f>IF($Q258=0,"",IF(C258&gt;=C$2,1,0)+IF(D258&gt;=D$2,1,0)+IF(E258&gt;=E$2,1,0)+IF(F258&gt;=F$2,1,0))</f>
        <v/>
      </c>
      <c r="P258" s="41" t="n"/>
      <c r="Q258" s="42">
        <f>IF(COUNT(C258:M258)&gt;0,1,0)</f>
        <v/>
      </c>
      <c r="R258" s="42">
        <f>IF(Q258=0,0,R257+1)</f>
        <v/>
      </c>
      <c r="S258" s="42">
        <f>IF(O258="",0,IF(O258=4,S257+1,0))</f>
        <v/>
      </c>
      <c r="T258" s="43">
        <f>IF(Q258=1,A258,"")</f>
        <v/>
      </c>
    </row>
    <row r="259">
      <c r="A259" s="36">
        <f>A258+1</f>
        <v/>
      </c>
      <c r="B259" s="37">
        <f>IF(A259="","",TEXT(A259,"ddd"))</f>
        <v/>
      </c>
      <c r="C259" s="38" t="n"/>
      <c r="D259" s="38" t="n"/>
      <c r="E259" s="38" t="n"/>
      <c r="F259" s="38" t="n"/>
      <c r="G259" s="38" t="n"/>
      <c r="H259" s="38" t="n"/>
      <c r="I259" s="38" t="n"/>
      <c r="J259" s="38" t="n"/>
      <c r="K259" s="38" t="n"/>
      <c r="L259" s="39" t="n"/>
      <c r="M259" s="39" t="n"/>
      <c r="N259" s="38" t="n"/>
      <c r="O259" s="40">
        <f>IF($Q259=0,"",IF(C259&gt;=C$2,1,0)+IF(D259&gt;=D$2,1,0)+IF(E259&gt;=E$2,1,0)+IF(F259&gt;=F$2,1,0))</f>
        <v/>
      </c>
      <c r="P259" s="41" t="n"/>
      <c r="Q259" s="42">
        <f>IF(COUNT(C259:M259)&gt;0,1,0)</f>
        <v/>
      </c>
      <c r="R259" s="42">
        <f>IF(Q259=0,0,R258+1)</f>
        <v/>
      </c>
      <c r="S259" s="42">
        <f>IF(O259="",0,IF(O259=4,S258+1,0))</f>
        <v/>
      </c>
      <c r="T259" s="43">
        <f>IF(Q259=1,A259,"")</f>
        <v/>
      </c>
    </row>
    <row r="260">
      <c r="A260" s="36">
        <f>A259+1</f>
        <v/>
      </c>
      <c r="B260" s="37">
        <f>IF(A260="","",TEXT(A260,"ddd"))</f>
        <v/>
      </c>
      <c r="C260" s="38" t="n"/>
      <c r="D260" s="38" t="n"/>
      <c r="E260" s="38" t="n"/>
      <c r="F260" s="38" t="n"/>
      <c r="G260" s="38" t="n"/>
      <c r="H260" s="38" t="n"/>
      <c r="I260" s="38" t="n"/>
      <c r="J260" s="38" t="n"/>
      <c r="K260" s="38" t="n"/>
      <c r="L260" s="39" t="n"/>
      <c r="M260" s="39" t="n"/>
      <c r="N260" s="38" t="n"/>
      <c r="O260" s="40">
        <f>IF($Q260=0,"",IF(C260&gt;=C$2,1,0)+IF(D260&gt;=D$2,1,0)+IF(E260&gt;=E$2,1,0)+IF(F260&gt;=F$2,1,0))</f>
        <v/>
      </c>
      <c r="P260" s="41" t="n"/>
      <c r="Q260" s="42">
        <f>IF(COUNT(C260:M260)&gt;0,1,0)</f>
        <v/>
      </c>
      <c r="R260" s="42">
        <f>IF(Q260=0,0,R259+1)</f>
        <v/>
      </c>
      <c r="S260" s="42">
        <f>IF(O260="",0,IF(O260=4,S259+1,0))</f>
        <v/>
      </c>
      <c r="T260" s="43">
        <f>IF(Q260=1,A260,"")</f>
        <v/>
      </c>
    </row>
    <row r="261">
      <c r="A261" s="36">
        <f>A260+1</f>
        <v/>
      </c>
      <c r="B261" s="37">
        <f>IF(A261="","",TEXT(A261,"ddd"))</f>
        <v/>
      </c>
      <c r="C261" s="38" t="n"/>
      <c r="D261" s="38" t="n"/>
      <c r="E261" s="38" t="n"/>
      <c r="F261" s="38" t="n"/>
      <c r="G261" s="38" t="n"/>
      <c r="H261" s="38" t="n"/>
      <c r="I261" s="38" t="n"/>
      <c r="J261" s="38" t="n"/>
      <c r="K261" s="38" t="n"/>
      <c r="L261" s="39" t="n"/>
      <c r="M261" s="39" t="n"/>
      <c r="N261" s="38" t="n"/>
      <c r="O261" s="40">
        <f>IF($Q261=0,"",IF(C261&gt;=C$2,1,0)+IF(D261&gt;=D$2,1,0)+IF(E261&gt;=E$2,1,0)+IF(F261&gt;=F$2,1,0))</f>
        <v/>
      </c>
      <c r="P261" s="41" t="n"/>
      <c r="Q261" s="42">
        <f>IF(COUNT(C261:M261)&gt;0,1,0)</f>
        <v/>
      </c>
      <c r="R261" s="42">
        <f>IF(Q261=0,0,R260+1)</f>
        <v/>
      </c>
      <c r="S261" s="42">
        <f>IF(O261="",0,IF(O261=4,S260+1,0))</f>
        <v/>
      </c>
      <c r="T261" s="43">
        <f>IF(Q261=1,A261,"")</f>
        <v/>
      </c>
    </row>
    <row r="262">
      <c r="A262" s="36">
        <f>A261+1</f>
        <v/>
      </c>
      <c r="B262" s="37">
        <f>IF(A262="","",TEXT(A262,"ddd"))</f>
        <v/>
      </c>
      <c r="C262" s="38" t="n"/>
      <c r="D262" s="38" t="n"/>
      <c r="E262" s="38" t="n"/>
      <c r="F262" s="38" t="n"/>
      <c r="G262" s="38" t="n"/>
      <c r="H262" s="38" t="n"/>
      <c r="I262" s="38" t="n"/>
      <c r="J262" s="38" t="n"/>
      <c r="K262" s="38" t="n"/>
      <c r="L262" s="39" t="n"/>
      <c r="M262" s="39" t="n"/>
      <c r="N262" s="38" t="n"/>
      <c r="O262" s="40">
        <f>IF($Q262=0,"",IF(C262&gt;=C$2,1,0)+IF(D262&gt;=D$2,1,0)+IF(E262&gt;=E$2,1,0)+IF(F262&gt;=F$2,1,0))</f>
        <v/>
      </c>
      <c r="P262" s="41" t="n"/>
      <c r="Q262" s="42">
        <f>IF(COUNT(C262:M262)&gt;0,1,0)</f>
        <v/>
      </c>
      <c r="R262" s="42">
        <f>IF(Q262=0,0,R261+1)</f>
        <v/>
      </c>
      <c r="S262" s="42">
        <f>IF(O262="",0,IF(O262=4,S261+1,0))</f>
        <v/>
      </c>
      <c r="T262" s="43">
        <f>IF(Q262=1,A262,"")</f>
        <v/>
      </c>
    </row>
    <row r="263">
      <c r="A263" s="36">
        <f>A262+1</f>
        <v/>
      </c>
      <c r="B263" s="37">
        <f>IF(A263="","",TEXT(A263,"ddd"))</f>
        <v/>
      </c>
      <c r="C263" s="38" t="n"/>
      <c r="D263" s="38" t="n"/>
      <c r="E263" s="38" t="n"/>
      <c r="F263" s="38" t="n"/>
      <c r="G263" s="38" t="n"/>
      <c r="H263" s="38" t="n"/>
      <c r="I263" s="38" t="n"/>
      <c r="J263" s="38" t="n"/>
      <c r="K263" s="38" t="n"/>
      <c r="L263" s="39" t="n"/>
      <c r="M263" s="39" t="n"/>
      <c r="N263" s="38" t="n"/>
      <c r="O263" s="40">
        <f>IF($Q263=0,"",IF(C263&gt;=C$2,1,0)+IF(D263&gt;=D$2,1,0)+IF(E263&gt;=E$2,1,0)+IF(F263&gt;=F$2,1,0))</f>
        <v/>
      </c>
      <c r="P263" s="41" t="n"/>
      <c r="Q263" s="42">
        <f>IF(COUNT(C263:M263)&gt;0,1,0)</f>
        <v/>
      </c>
      <c r="R263" s="42">
        <f>IF(Q263=0,0,R262+1)</f>
        <v/>
      </c>
      <c r="S263" s="42">
        <f>IF(O263="",0,IF(O263=4,S262+1,0))</f>
        <v/>
      </c>
      <c r="T263" s="43">
        <f>IF(Q263=1,A263,"")</f>
        <v/>
      </c>
    </row>
    <row r="264">
      <c r="A264" s="36">
        <f>A263+1</f>
        <v/>
      </c>
      <c r="B264" s="37">
        <f>IF(A264="","",TEXT(A264,"ddd"))</f>
        <v/>
      </c>
      <c r="C264" s="38" t="n"/>
      <c r="D264" s="38" t="n"/>
      <c r="E264" s="38" t="n"/>
      <c r="F264" s="38" t="n"/>
      <c r="G264" s="38" t="n"/>
      <c r="H264" s="38" t="n"/>
      <c r="I264" s="38" t="n"/>
      <c r="J264" s="38" t="n"/>
      <c r="K264" s="38" t="n"/>
      <c r="L264" s="39" t="n"/>
      <c r="M264" s="39" t="n"/>
      <c r="N264" s="38" t="n"/>
      <c r="O264" s="40">
        <f>IF($Q264=0,"",IF(C264&gt;=C$2,1,0)+IF(D264&gt;=D$2,1,0)+IF(E264&gt;=E$2,1,0)+IF(F264&gt;=F$2,1,0))</f>
        <v/>
      </c>
      <c r="P264" s="41" t="n"/>
      <c r="Q264" s="42">
        <f>IF(COUNT(C264:M264)&gt;0,1,0)</f>
        <v/>
      </c>
      <c r="R264" s="42">
        <f>IF(Q264=0,0,R263+1)</f>
        <v/>
      </c>
      <c r="S264" s="42">
        <f>IF(O264="",0,IF(O264=4,S263+1,0))</f>
        <v/>
      </c>
      <c r="T264" s="43">
        <f>IF(Q264=1,A264,"")</f>
        <v/>
      </c>
    </row>
    <row r="265">
      <c r="A265" s="36">
        <f>A264+1</f>
        <v/>
      </c>
      <c r="B265" s="37">
        <f>IF(A265="","",TEXT(A265,"ddd"))</f>
        <v/>
      </c>
      <c r="C265" s="38" t="n"/>
      <c r="D265" s="38" t="n"/>
      <c r="E265" s="38" t="n"/>
      <c r="F265" s="38" t="n"/>
      <c r="G265" s="38" t="n"/>
      <c r="H265" s="38" t="n"/>
      <c r="I265" s="38" t="n"/>
      <c r="J265" s="38" t="n"/>
      <c r="K265" s="38" t="n"/>
      <c r="L265" s="39" t="n"/>
      <c r="M265" s="39" t="n"/>
      <c r="N265" s="38" t="n"/>
      <c r="O265" s="40">
        <f>IF($Q265=0,"",IF(C265&gt;=C$2,1,0)+IF(D265&gt;=D$2,1,0)+IF(E265&gt;=E$2,1,0)+IF(F265&gt;=F$2,1,0))</f>
        <v/>
      </c>
      <c r="P265" s="41" t="n"/>
      <c r="Q265" s="42">
        <f>IF(COUNT(C265:M265)&gt;0,1,0)</f>
        <v/>
      </c>
      <c r="R265" s="42">
        <f>IF(Q265=0,0,R264+1)</f>
        <v/>
      </c>
      <c r="S265" s="42">
        <f>IF(O265="",0,IF(O265=4,S264+1,0))</f>
        <v/>
      </c>
      <c r="T265" s="43">
        <f>IF(Q265=1,A265,"")</f>
        <v/>
      </c>
    </row>
    <row r="266">
      <c r="A266" s="36">
        <f>A265+1</f>
        <v/>
      </c>
      <c r="B266" s="37">
        <f>IF(A266="","",TEXT(A266,"ddd"))</f>
        <v/>
      </c>
      <c r="C266" s="38" t="n"/>
      <c r="D266" s="38" t="n"/>
      <c r="E266" s="38" t="n"/>
      <c r="F266" s="38" t="n"/>
      <c r="G266" s="38" t="n"/>
      <c r="H266" s="38" t="n"/>
      <c r="I266" s="38" t="n"/>
      <c r="J266" s="38" t="n"/>
      <c r="K266" s="38" t="n"/>
      <c r="L266" s="39" t="n"/>
      <c r="M266" s="39" t="n"/>
      <c r="N266" s="38" t="n"/>
      <c r="O266" s="40">
        <f>IF($Q266=0,"",IF(C266&gt;=C$2,1,0)+IF(D266&gt;=D$2,1,0)+IF(E266&gt;=E$2,1,0)+IF(F266&gt;=F$2,1,0))</f>
        <v/>
      </c>
      <c r="P266" s="41" t="n"/>
      <c r="Q266" s="42">
        <f>IF(COUNT(C266:M266)&gt;0,1,0)</f>
        <v/>
      </c>
      <c r="R266" s="42">
        <f>IF(Q266=0,0,R265+1)</f>
        <v/>
      </c>
      <c r="S266" s="42">
        <f>IF(O266="",0,IF(O266=4,S265+1,0))</f>
        <v/>
      </c>
      <c r="T266" s="43">
        <f>IF(Q266=1,A266,"")</f>
        <v/>
      </c>
    </row>
    <row r="267">
      <c r="A267" s="36">
        <f>A266+1</f>
        <v/>
      </c>
      <c r="B267" s="37">
        <f>IF(A267="","",TEXT(A267,"ddd"))</f>
        <v/>
      </c>
      <c r="C267" s="38" t="n"/>
      <c r="D267" s="38" t="n"/>
      <c r="E267" s="38" t="n"/>
      <c r="F267" s="38" t="n"/>
      <c r="G267" s="38" t="n"/>
      <c r="H267" s="38" t="n"/>
      <c r="I267" s="38" t="n"/>
      <c r="J267" s="38" t="n"/>
      <c r="K267" s="38" t="n"/>
      <c r="L267" s="39" t="n"/>
      <c r="M267" s="39" t="n"/>
      <c r="N267" s="38" t="n"/>
      <c r="O267" s="40">
        <f>IF($Q267=0,"",IF(C267&gt;=C$2,1,0)+IF(D267&gt;=D$2,1,0)+IF(E267&gt;=E$2,1,0)+IF(F267&gt;=F$2,1,0))</f>
        <v/>
      </c>
      <c r="P267" s="41" t="n"/>
      <c r="Q267" s="42">
        <f>IF(COUNT(C267:M267)&gt;0,1,0)</f>
        <v/>
      </c>
      <c r="R267" s="42">
        <f>IF(Q267=0,0,R266+1)</f>
        <v/>
      </c>
      <c r="S267" s="42">
        <f>IF(O267="",0,IF(O267=4,S266+1,0))</f>
        <v/>
      </c>
      <c r="T267" s="43">
        <f>IF(Q267=1,A267,"")</f>
        <v/>
      </c>
    </row>
    <row r="268">
      <c r="A268" s="36">
        <f>A267+1</f>
        <v/>
      </c>
      <c r="B268" s="37">
        <f>IF(A268="","",TEXT(A268,"ddd"))</f>
        <v/>
      </c>
      <c r="C268" s="38" t="n"/>
      <c r="D268" s="38" t="n"/>
      <c r="E268" s="38" t="n"/>
      <c r="F268" s="38" t="n"/>
      <c r="G268" s="38" t="n"/>
      <c r="H268" s="38" t="n"/>
      <c r="I268" s="38" t="n"/>
      <c r="J268" s="38" t="n"/>
      <c r="K268" s="38" t="n"/>
      <c r="L268" s="39" t="n"/>
      <c r="M268" s="39" t="n"/>
      <c r="N268" s="38" t="n"/>
      <c r="O268" s="40">
        <f>IF($Q268=0,"",IF(C268&gt;=C$2,1,0)+IF(D268&gt;=D$2,1,0)+IF(E268&gt;=E$2,1,0)+IF(F268&gt;=F$2,1,0))</f>
        <v/>
      </c>
      <c r="P268" s="41" t="n"/>
      <c r="Q268" s="42">
        <f>IF(COUNT(C268:M268)&gt;0,1,0)</f>
        <v/>
      </c>
      <c r="R268" s="42">
        <f>IF(Q268=0,0,R267+1)</f>
        <v/>
      </c>
      <c r="S268" s="42">
        <f>IF(O268="",0,IF(O268=4,S267+1,0))</f>
        <v/>
      </c>
      <c r="T268" s="43">
        <f>IF(Q268=1,A268,"")</f>
        <v/>
      </c>
    </row>
    <row r="269">
      <c r="A269" s="36">
        <f>A268+1</f>
        <v/>
      </c>
      <c r="B269" s="37">
        <f>IF(A269="","",TEXT(A269,"ddd"))</f>
        <v/>
      </c>
      <c r="C269" s="38" t="n"/>
      <c r="D269" s="38" t="n"/>
      <c r="E269" s="38" t="n"/>
      <c r="F269" s="38" t="n"/>
      <c r="G269" s="38" t="n"/>
      <c r="H269" s="38" t="n"/>
      <c r="I269" s="38" t="n"/>
      <c r="J269" s="38" t="n"/>
      <c r="K269" s="38" t="n"/>
      <c r="L269" s="39" t="n"/>
      <c r="M269" s="39" t="n"/>
      <c r="N269" s="38" t="n"/>
      <c r="O269" s="40">
        <f>IF($Q269=0,"",IF(C269&gt;=C$2,1,0)+IF(D269&gt;=D$2,1,0)+IF(E269&gt;=E$2,1,0)+IF(F269&gt;=F$2,1,0))</f>
        <v/>
      </c>
      <c r="P269" s="41" t="n"/>
      <c r="Q269" s="42">
        <f>IF(COUNT(C269:M269)&gt;0,1,0)</f>
        <v/>
      </c>
      <c r="R269" s="42">
        <f>IF(Q269=0,0,R268+1)</f>
        <v/>
      </c>
      <c r="S269" s="42">
        <f>IF(O269="",0,IF(O269=4,S268+1,0))</f>
        <v/>
      </c>
      <c r="T269" s="43">
        <f>IF(Q269=1,A269,"")</f>
        <v/>
      </c>
    </row>
    <row r="270">
      <c r="A270" s="36">
        <f>A269+1</f>
        <v/>
      </c>
      <c r="B270" s="37">
        <f>IF(A270="","",TEXT(A270,"ddd"))</f>
        <v/>
      </c>
      <c r="C270" s="38" t="n"/>
      <c r="D270" s="38" t="n"/>
      <c r="E270" s="38" t="n"/>
      <c r="F270" s="38" t="n"/>
      <c r="G270" s="38" t="n"/>
      <c r="H270" s="38" t="n"/>
      <c r="I270" s="38" t="n"/>
      <c r="J270" s="38" t="n"/>
      <c r="K270" s="38" t="n"/>
      <c r="L270" s="39" t="n"/>
      <c r="M270" s="39" t="n"/>
      <c r="N270" s="38" t="n"/>
      <c r="O270" s="40">
        <f>IF($Q270=0,"",IF(C270&gt;=C$2,1,0)+IF(D270&gt;=D$2,1,0)+IF(E270&gt;=E$2,1,0)+IF(F270&gt;=F$2,1,0))</f>
        <v/>
      </c>
      <c r="P270" s="41" t="n"/>
      <c r="Q270" s="42">
        <f>IF(COUNT(C270:M270)&gt;0,1,0)</f>
        <v/>
      </c>
      <c r="R270" s="42">
        <f>IF(Q270=0,0,R269+1)</f>
        <v/>
      </c>
      <c r="S270" s="42">
        <f>IF(O270="",0,IF(O270=4,S269+1,0))</f>
        <v/>
      </c>
      <c r="T270" s="43">
        <f>IF(Q270=1,A270,"")</f>
        <v/>
      </c>
    </row>
    <row r="271">
      <c r="A271" s="36">
        <f>A270+1</f>
        <v/>
      </c>
      <c r="B271" s="37">
        <f>IF(A271="","",TEXT(A271,"ddd"))</f>
        <v/>
      </c>
      <c r="C271" s="38" t="n"/>
      <c r="D271" s="38" t="n"/>
      <c r="E271" s="38" t="n"/>
      <c r="F271" s="38" t="n"/>
      <c r="G271" s="38" t="n"/>
      <c r="H271" s="38" t="n"/>
      <c r="I271" s="38" t="n"/>
      <c r="J271" s="38" t="n"/>
      <c r="K271" s="38" t="n"/>
      <c r="L271" s="39" t="n"/>
      <c r="M271" s="39" t="n"/>
      <c r="N271" s="38" t="n"/>
      <c r="O271" s="40">
        <f>IF($Q271=0,"",IF(C271&gt;=C$2,1,0)+IF(D271&gt;=D$2,1,0)+IF(E271&gt;=E$2,1,0)+IF(F271&gt;=F$2,1,0))</f>
        <v/>
      </c>
      <c r="P271" s="41" t="n"/>
      <c r="Q271" s="42">
        <f>IF(COUNT(C271:M271)&gt;0,1,0)</f>
        <v/>
      </c>
      <c r="R271" s="42">
        <f>IF(Q271=0,0,R270+1)</f>
        <v/>
      </c>
      <c r="S271" s="42">
        <f>IF(O271="",0,IF(O271=4,S270+1,0))</f>
        <v/>
      </c>
      <c r="T271" s="43">
        <f>IF(Q271=1,A271,"")</f>
        <v/>
      </c>
    </row>
    <row r="272">
      <c r="A272" s="36">
        <f>A271+1</f>
        <v/>
      </c>
      <c r="B272" s="37">
        <f>IF(A272="","",TEXT(A272,"ddd"))</f>
        <v/>
      </c>
      <c r="C272" s="38" t="n"/>
      <c r="D272" s="38" t="n"/>
      <c r="E272" s="38" t="n"/>
      <c r="F272" s="38" t="n"/>
      <c r="G272" s="38" t="n"/>
      <c r="H272" s="38" t="n"/>
      <c r="I272" s="38" t="n"/>
      <c r="J272" s="38" t="n"/>
      <c r="K272" s="38" t="n"/>
      <c r="L272" s="39" t="n"/>
      <c r="M272" s="39" t="n"/>
      <c r="N272" s="38" t="n"/>
      <c r="O272" s="40">
        <f>IF($Q272=0,"",IF(C272&gt;=C$2,1,0)+IF(D272&gt;=D$2,1,0)+IF(E272&gt;=E$2,1,0)+IF(F272&gt;=F$2,1,0))</f>
        <v/>
      </c>
      <c r="P272" s="41" t="n"/>
      <c r="Q272" s="42">
        <f>IF(COUNT(C272:M272)&gt;0,1,0)</f>
        <v/>
      </c>
      <c r="R272" s="42">
        <f>IF(Q272=0,0,R271+1)</f>
        <v/>
      </c>
      <c r="S272" s="42">
        <f>IF(O272="",0,IF(O272=4,S271+1,0))</f>
        <v/>
      </c>
      <c r="T272" s="43">
        <f>IF(Q272=1,A272,"")</f>
        <v/>
      </c>
    </row>
    <row r="273">
      <c r="A273" s="36">
        <f>A272+1</f>
        <v/>
      </c>
      <c r="B273" s="37">
        <f>IF(A273="","",TEXT(A273,"ddd"))</f>
        <v/>
      </c>
      <c r="C273" s="38" t="n"/>
      <c r="D273" s="38" t="n"/>
      <c r="E273" s="38" t="n"/>
      <c r="F273" s="38" t="n"/>
      <c r="G273" s="38" t="n"/>
      <c r="H273" s="38" t="n"/>
      <c r="I273" s="38" t="n"/>
      <c r="J273" s="38" t="n"/>
      <c r="K273" s="38" t="n"/>
      <c r="L273" s="39" t="n"/>
      <c r="M273" s="39" t="n"/>
      <c r="N273" s="38" t="n"/>
      <c r="O273" s="40">
        <f>IF($Q273=0,"",IF(C273&gt;=C$2,1,0)+IF(D273&gt;=D$2,1,0)+IF(E273&gt;=E$2,1,0)+IF(F273&gt;=F$2,1,0))</f>
        <v/>
      </c>
      <c r="P273" s="41" t="n"/>
      <c r="Q273" s="42">
        <f>IF(COUNT(C273:M273)&gt;0,1,0)</f>
        <v/>
      </c>
      <c r="R273" s="42">
        <f>IF(Q273=0,0,R272+1)</f>
        <v/>
      </c>
      <c r="S273" s="42">
        <f>IF(O273="",0,IF(O273=4,S272+1,0))</f>
        <v/>
      </c>
      <c r="T273" s="43">
        <f>IF(Q273=1,A273,"")</f>
        <v/>
      </c>
    </row>
    <row r="274">
      <c r="A274" s="36">
        <f>A273+1</f>
        <v/>
      </c>
      <c r="B274" s="37">
        <f>IF(A274="","",TEXT(A274,"ddd"))</f>
        <v/>
      </c>
      <c r="C274" s="38" t="n"/>
      <c r="D274" s="38" t="n"/>
      <c r="E274" s="38" t="n"/>
      <c r="F274" s="38" t="n"/>
      <c r="G274" s="38" t="n"/>
      <c r="H274" s="38" t="n"/>
      <c r="I274" s="38" t="n"/>
      <c r="J274" s="38" t="n"/>
      <c r="K274" s="38" t="n"/>
      <c r="L274" s="39" t="n"/>
      <c r="M274" s="39" t="n"/>
      <c r="N274" s="38" t="n"/>
      <c r="O274" s="40">
        <f>IF($Q274=0,"",IF(C274&gt;=C$2,1,0)+IF(D274&gt;=D$2,1,0)+IF(E274&gt;=E$2,1,0)+IF(F274&gt;=F$2,1,0))</f>
        <v/>
      </c>
      <c r="P274" s="41" t="n"/>
      <c r="Q274" s="42">
        <f>IF(COUNT(C274:M274)&gt;0,1,0)</f>
        <v/>
      </c>
      <c r="R274" s="42">
        <f>IF(Q274=0,0,R273+1)</f>
        <v/>
      </c>
      <c r="S274" s="42">
        <f>IF(O274="",0,IF(O274=4,S273+1,0))</f>
        <v/>
      </c>
      <c r="T274" s="43">
        <f>IF(Q274=1,A274,"")</f>
        <v/>
      </c>
    </row>
    <row r="275">
      <c r="A275" s="36">
        <f>A274+1</f>
        <v/>
      </c>
      <c r="B275" s="37">
        <f>IF(A275="","",TEXT(A275,"ddd"))</f>
        <v/>
      </c>
      <c r="C275" s="38" t="n"/>
      <c r="D275" s="38" t="n"/>
      <c r="E275" s="38" t="n"/>
      <c r="F275" s="38" t="n"/>
      <c r="G275" s="38" t="n"/>
      <c r="H275" s="38" t="n"/>
      <c r="I275" s="38" t="n"/>
      <c r="J275" s="38" t="n"/>
      <c r="K275" s="38" t="n"/>
      <c r="L275" s="39" t="n"/>
      <c r="M275" s="39" t="n"/>
      <c r="N275" s="38" t="n"/>
      <c r="O275" s="40">
        <f>IF($Q275=0,"",IF(C275&gt;=C$2,1,0)+IF(D275&gt;=D$2,1,0)+IF(E275&gt;=E$2,1,0)+IF(F275&gt;=F$2,1,0))</f>
        <v/>
      </c>
      <c r="P275" s="41" t="n"/>
      <c r="Q275" s="42">
        <f>IF(COUNT(C275:M275)&gt;0,1,0)</f>
        <v/>
      </c>
      <c r="R275" s="42">
        <f>IF(Q275=0,0,R274+1)</f>
        <v/>
      </c>
      <c r="S275" s="42">
        <f>IF(O275="",0,IF(O275=4,S274+1,0))</f>
        <v/>
      </c>
      <c r="T275" s="43">
        <f>IF(Q275=1,A275,"")</f>
        <v/>
      </c>
    </row>
    <row r="276">
      <c r="A276" s="36">
        <f>A275+1</f>
        <v/>
      </c>
      <c r="B276" s="37">
        <f>IF(A276="","",TEXT(A276,"ddd"))</f>
        <v/>
      </c>
      <c r="C276" s="38" t="n"/>
      <c r="D276" s="38" t="n"/>
      <c r="E276" s="38" t="n"/>
      <c r="F276" s="38" t="n"/>
      <c r="G276" s="38" t="n"/>
      <c r="H276" s="38" t="n"/>
      <c r="I276" s="38" t="n"/>
      <c r="J276" s="38" t="n"/>
      <c r="K276" s="38" t="n"/>
      <c r="L276" s="39" t="n"/>
      <c r="M276" s="39" t="n"/>
      <c r="N276" s="38" t="n"/>
      <c r="O276" s="40">
        <f>IF($Q276=0,"",IF(C276&gt;=C$2,1,0)+IF(D276&gt;=D$2,1,0)+IF(E276&gt;=E$2,1,0)+IF(F276&gt;=F$2,1,0))</f>
        <v/>
      </c>
      <c r="P276" s="41" t="n"/>
      <c r="Q276" s="42">
        <f>IF(COUNT(C276:M276)&gt;0,1,0)</f>
        <v/>
      </c>
      <c r="R276" s="42">
        <f>IF(Q276=0,0,R275+1)</f>
        <v/>
      </c>
      <c r="S276" s="42">
        <f>IF(O276="",0,IF(O276=4,S275+1,0))</f>
        <v/>
      </c>
      <c r="T276" s="43">
        <f>IF(Q276=1,A276,"")</f>
        <v/>
      </c>
    </row>
    <row r="277">
      <c r="A277" s="36">
        <f>A276+1</f>
        <v/>
      </c>
      <c r="B277" s="37">
        <f>IF(A277="","",TEXT(A277,"ddd"))</f>
        <v/>
      </c>
      <c r="C277" s="38" t="n"/>
      <c r="D277" s="38" t="n"/>
      <c r="E277" s="38" t="n"/>
      <c r="F277" s="38" t="n"/>
      <c r="G277" s="38" t="n"/>
      <c r="H277" s="38" t="n"/>
      <c r="I277" s="38" t="n"/>
      <c r="J277" s="38" t="n"/>
      <c r="K277" s="38" t="n"/>
      <c r="L277" s="39" t="n"/>
      <c r="M277" s="39" t="n"/>
      <c r="N277" s="38" t="n"/>
      <c r="O277" s="40">
        <f>IF($Q277=0,"",IF(C277&gt;=C$2,1,0)+IF(D277&gt;=D$2,1,0)+IF(E277&gt;=E$2,1,0)+IF(F277&gt;=F$2,1,0))</f>
        <v/>
      </c>
      <c r="P277" s="41" t="n"/>
      <c r="Q277" s="42">
        <f>IF(COUNT(C277:M277)&gt;0,1,0)</f>
        <v/>
      </c>
      <c r="R277" s="42">
        <f>IF(Q277=0,0,R276+1)</f>
        <v/>
      </c>
      <c r="S277" s="42">
        <f>IF(O277="",0,IF(O277=4,S276+1,0))</f>
        <v/>
      </c>
      <c r="T277" s="43">
        <f>IF(Q277=1,A277,"")</f>
        <v/>
      </c>
    </row>
    <row r="278">
      <c r="A278" s="36">
        <f>A277+1</f>
        <v/>
      </c>
      <c r="B278" s="37">
        <f>IF(A278="","",TEXT(A278,"ddd"))</f>
        <v/>
      </c>
      <c r="C278" s="38" t="n"/>
      <c r="D278" s="38" t="n"/>
      <c r="E278" s="38" t="n"/>
      <c r="F278" s="38" t="n"/>
      <c r="G278" s="38" t="n"/>
      <c r="H278" s="38" t="n"/>
      <c r="I278" s="38" t="n"/>
      <c r="J278" s="38" t="n"/>
      <c r="K278" s="38" t="n"/>
      <c r="L278" s="39" t="n"/>
      <c r="M278" s="39" t="n"/>
      <c r="N278" s="38" t="n"/>
      <c r="O278" s="40">
        <f>IF($Q278=0,"",IF(C278&gt;=C$2,1,0)+IF(D278&gt;=D$2,1,0)+IF(E278&gt;=E$2,1,0)+IF(F278&gt;=F$2,1,0))</f>
        <v/>
      </c>
      <c r="P278" s="41" t="n"/>
      <c r="Q278" s="42">
        <f>IF(COUNT(C278:M278)&gt;0,1,0)</f>
        <v/>
      </c>
      <c r="R278" s="42">
        <f>IF(Q278=0,0,R277+1)</f>
        <v/>
      </c>
      <c r="S278" s="42">
        <f>IF(O278="",0,IF(O278=4,S277+1,0))</f>
        <v/>
      </c>
      <c r="T278" s="43">
        <f>IF(Q278=1,A278,"")</f>
        <v/>
      </c>
    </row>
    <row r="279">
      <c r="A279" s="36">
        <f>A278+1</f>
        <v/>
      </c>
      <c r="B279" s="37">
        <f>IF(A279="","",TEXT(A279,"ddd"))</f>
        <v/>
      </c>
      <c r="C279" s="38" t="n"/>
      <c r="D279" s="38" t="n"/>
      <c r="E279" s="38" t="n"/>
      <c r="F279" s="38" t="n"/>
      <c r="G279" s="38" t="n"/>
      <c r="H279" s="38" t="n"/>
      <c r="I279" s="38" t="n"/>
      <c r="J279" s="38" t="n"/>
      <c r="K279" s="38" t="n"/>
      <c r="L279" s="39" t="n"/>
      <c r="M279" s="39" t="n"/>
      <c r="N279" s="38" t="n"/>
      <c r="O279" s="40">
        <f>IF($Q279=0,"",IF(C279&gt;=C$2,1,0)+IF(D279&gt;=D$2,1,0)+IF(E279&gt;=E$2,1,0)+IF(F279&gt;=F$2,1,0))</f>
        <v/>
      </c>
      <c r="P279" s="41" t="n"/>
      <c r="Q279" s="42">
        <f>IF(COUNT(C279:M279)&gt;0,1,0)</f>
        <v/>
      </c>
      <c r="R279" s="42">
        <f>IF(Q279=0,0,R278+1)</f>
        <v/>
      </c>
      <c r="S279" s="42">
        <f>IF(O279="",0,IF(O279=4,S278+1,0))</f>
        <v/>
      </c>
      <c r="T279" s="43">
        <f>IF(Q279=1,A279,"")</f>
        <v/>
      </c>
    </row>
    <row r="280">
      <c r="A280" s="36">
        <f>A279+1</f>
        <v/>
      </c>
      <c r="B280" s="37">
        <f>IF(A280="","",TEXT(A280,"ddd"))</f>
        <v/>
      </c>
      <c r="C280" s="38" t="n"/>
      <c r="D280" s="38" t="n"/>
      <c r="E280" s="38" t="n"/>
      <c r="F280" s="38" t="n"/>
      <c r="G280" s="38" t="n"/>
      <c r="H280" s="38" t="n"/>
      <c r="I280" s="38" t="n"/>
      <c r="J280" s="38" t="n"/>
      <c r="K280" s="38" t="n"/>
      <c r="L280" s="39" t="n"/>
      <c r="M280" s="39" t="n"/>
      <c r="N280" s="38" t="n"/>
      <c r="O280" s="40">
        <f>IF($Q280=0,"",IF(C280&gt;=C$2,1,0)+IF(D280&gt;=D$2,1,0)+IF(E280&gt;=E$2,1,0)+IF(F280&gt;=F$2,1,0))</f>
        <v/>
      </c>
      <c r="P280" s="41" t="n"/>
      <c r="Q280" s="42">
        <f>IF(COUNT(C280:M280)&gt;0,1,0)</f>
        <v/>
      </c>
      <c r="R280" s="42">
        <f>IF(Q280=0,0,R279+1)</f>
        <v/>
      </c>
      <c r="S280" s="42">
        <f>IF(O280="",0,IF(O280=4,S279+1,0))</f>
        <v/>
      </c>
      <c r="T280" s="43">
        <f>IF(Q280=1,A280,"")</f>
        <v/>
      </c>
    </row>
    <row r="281">
      <c r="A281" s="36">
        <f>A280+1</f>
        <v/>
      </c>
      <c r="B281" s="37">
        <f>IF(A281="","",TEXT(A281,"ddd"))</f>
        <v/>
      </c>
      <c r="C281" s="38" t="n"/>
      <c r="D281" s="38" t="n"/>
      <c r="E281" s="38" t="n"/>
      <c r="F281" s="38" t="n"/>
      <c r="G281" s="38" t="n"/>
      <c r="H281" s="38" t="n"/>
      <c r="I281" s="38" t="n"/>
      <c r="J281" s="38" t="n"/>
      <c r="K281" s="38" t="n"/>
      <c r="L281" s="39" t="n"/>
      <c r="M281" s="39" t="n"/>
      <c r="N281" s="38" t="n"/>
      <c r="O281" s="40">
        <f>IF($Q281=0,"",IF(C281&gt;=C$2,1,0)+IF(D281&gt;=D$2,1,0)+IF(E281&gt;=E$2,1,0)+IF(F281&gt;=F$2,1,0))</f>
        <v/>
      </c>
      <c r="P281" s="41" t="n"/>
      <c r="Q281" s="42">
        <f>IF(COUNT(C281:M281)&gt;0,1,0)</f>
        <v/>
      </c>
      <c r="R281" s="42">
        <f>IF(Q281=0,0,R280+1)</f>
        <v/>
      </c>
      <c r="S281" s="42">
        <f>IF(O281="",0,IF(O281=4,S280+1,0))</f>
        <v/>
      </c>
      <c r="T281" s="43">
        <f>IF(Q281=1,A281,"")</f>
        <v/>
      </c>
    </row>
    <row r="282">
      <c r="A282" s="36">
        <f>A281+1</f>
        <v/>
      </c>
      <c r="B282" s="37">
        <f>IF(A282="","",TEXT(A282,"ddd"))</f>
        <v/>
      </c>
      <c r="C282" s="38" t="n"/>
      <c r="D282" s="38" t="n"/>
      <c r="E282" s="38" t="n"/>
      <c r="F282" s="38" t="n"/>
      <c r="G282" s="38" t="n"/>
      <c r="H282" s="38" t="n"/>
      <c r="I282" s="38" t="n"/>
      <c r="J282" s="38" t="n"/>
      <c r="K282" s="38" t="n"/>
      <c r="L282" s="39" t="n"/>
      <c r="M282" s="39" t="n"/>
      <c r="N282" s="38" t="n"/>
      <c r="O282" s="40">
        <f>IF($Q282=0,"",IF(C282&gt;=C$2,1,0)+IF(D282&gt;=D$2,1,0)+IF(E282&gt;=E$2,1,0)+IF(F282&gt;=F$2,1,0))</f>
        <v/>
      </c>
      <c r="P282" s="41" t="n"/>
      <c r="Q282" s="42">
        <f>IF(COUNT(C282:M282)&gt;0,1,0)</f>
        <v/>
      </c>
      <c r="R282" s="42">
        <f>IF(Q282=0,0,R281+1)</f>
        <v/>
      </c>
      <c r="S282" s="42">
        <f>IF(O282="",0,IF(O282=4,S281+1,0))</f>
        <v/>
      </c>
      <c r="T282" s="43">
        <f>IF(Q282=1,A282,"")</f>
        <v/>
      </c>
    </row>
    <row r="283">
      <c r="A283" s="36">
        <f>A282+1</f>
        <v/>
      </c>
      <c r="B283" s="37">
        <f>IF(A283="","",TEXT(A283,"ddd"))</f>
        <v/>
      </c>
      <c r="C283" s="38" t="n"/>
      <c r="D283" s="38" t="n"/>
      <c r="E283" s="38" t="n"/>
      <c r="F283" s="38" t="n"/>
      <c r="G283" s="38" t="n"/>
      <c r="H283" s="38" t="n"/>
      <c r="I283" s="38" t="n"/>
      <c r="J283" s="38" t="n"/>
      <c r="K283" s="38" t="n"/>
      <c r="L283" s="39" t="n"/>
      <c r="M283" s="39" t="n"/>
      <c r="N283" s="38" t="n"/>
      <c r="O283" s="40">
        <f>IF($Q283=0,"",IF(C283&gt;=C$2,1,0)+IF(D283&gt;=D$2,1,0)+IF(E283&gt;=E$2,1,0)+IF(F283&gt;=F$2,1,0))</f>
        <v/>
      </c>
      <c r="P283" s="41" t="n"/>
      <c r="Q283" s="42">
        <f>IF(COUNT(C283:M283)&gt;0,1,0)</f>
        <v/>
      </c>
      <c r="R283" s="42">
        <f>IF(Q283=0,0,R282+1)</f>
        <v/>
      </c>
      <c r="S283" s="42">
        <f>IF(O283="",0,IF(O283=4,S282+1,0))</f>
        <v/>
      </c>
      <c r="T283" s="43">
        <f>IF(Q283=1,A283,"")</f>
        <v/>
      </c>
    </row>
    <row r="284">
      <c r="A284" s="36">
        <f>A283+1</f>
        <v/>
      </c>
      <c r="B284" s="37">
        <f>IF(A284="","",TEXT(A284,"ddd"))</f>
        <v/>
      </c>
      <c r="C284" s="38" t="n"/>
      <c r="D284" s="38" t="n"/>
      <c r="E284" s="38" t="n"/>
      <c r="F284" s="38" t="n"/>
      <c r="G284" s="38" t="n"/>
      <c r="H284" s="38" t="n"/>
      <c r="I284" s="38" t="n"/>
      <c r="J284" s="38" t="n"/>
      <c r="K284" s="38" t="n"/>
      <c r="L284" s="39" t="n"/>
      <c r="M284" s="39" t="n"/>
      <c r="N284" s="38" t="n"/>
      <c r="O284" s="40">
        <f>IF($Q284=0,"",IF(C284&gt;=C$2,1,0)+IF(D284&gt;=D$2,1,0)+IF(E284&gt;=E$2,1,0)+IF(F284&gt;=F$2,1,0))</f>
        <v/>
      </c>
      <c r="P284" s="41" t="n"/>
      <c r="Q284" s="42">
        <f>IF(COUNT(C284:M284)&gt;0,1,0)</f>
        <v/>
      </c>
      <c r="R284" s="42">
        <f>IF(Q284=0,0,R283+1)</f>
        <v/>
      </c>
      <c r="S284" s="42">
        <f>IF(O284="",0,IF(O284=4,S283+1,0))</f>
        <v/>
      </c>
      <c r="T284" s="43">
        <f>IF(Q284=1,A284,"")</f>
        <v/>
      </c>
    </row>
    <row r="285">
      <c r="A285" s="36">
        <f>A284+1</f>
        <v/>
      </c>
      <c r="B285" s="37">
        <f>IF(A285="","",TEXT(A285,"ddd"))</f>
        <v/>
      </c>
      <c r="C285" s="38" t="n"/>
      <c r="D285" s="38" t="n"/>
      <c r="E285" s="38" t="n"/>
      <c r="F285" s="38" t="n"/>
      <c r="G285" s="38" t="n"/>
      <c r="H285" s="38" t="n"/>
      <c r="I285" s="38" t="n"/>
      <c r="J285" s="38" t="n"/>
      <c r="K285" s="38" t="n"/>
      <c r="L285" s="39" t="n"/>
      <c r="M285" s="39" t="n"/>
      <c r="N285" s="38" t="n"/>
      <c r="O285" s="40">
        <f>IF($Q285=0,"",IF(C285&gt;=C$2,1,0)+IF(D285&gt;=D$2,1,0)+IF(E285&gt;=E$2,1,0)+IF(F285&gt;=F$2,1,0))</f>
        <v/>
      </c>
      <c r="P285" s="41" t="n"/>
      <c r="Q285" s="42">
        <f>IF(COUNT(C285:M285)&gt;0,1,0)</f>
        <v/>
      </c>
      <c r="R285" s="42">
        <f>IF(Q285=0,0,R284+1)</f>
        <v/>
      </c>
      <c r="S285" s="42">
        <f>IF(O285="",0,IF(O285=4,S284+1,0))</f>
        <v/>
      </c>
      <c r="T285" s="43">
        <f>IF(Q285=1,A285,"")</f>
        <v/>
      </c>
    </row>
    <row r="286">
      <c r="A286" s="36">
        <f>A285+1</f>
        <v/>
      </c>
      <c r="B286" s="37">
        <f>IF(A286="","",TEXT(A286,"ddd"))</f>
        <v/>
      </c>
      <c r="C286" s="38" t="n"/>
      <c r="D286" s="38" t="n"/>
      <c r="E286" s="38" t="n"/>
      <c r="F286" s="38" t="n"/>
      <c r="G286" s="38" t="n"/>
      <c r="H286" s="38" t="n"/>
      <c r="I286" s="38" t="n"/>
      <c r="J286" s="38" t="n"/>
      <c r="K286" s="38" t="n"/>
      <c r="L286" s="39" t="n"/>
      <c r="M286" s="39" t="n"/>
      <c r="N286" s="38" t="n"/>
      <c r="O286" s="40">
        <f>IF($Q286=0,"",IF(C286&gt;=C$2,1,0)+IF(D286&gt;=D$2,1,0)+IF(E286&gt;=E$2,1,0)+IF(F286&gt;=F$2,1,0))</f>
        <v/>
      </c>
      <c r="P286" s="41" t="n"/>
      <c r="Q286" s="42">
        <f>IF(COUNT(C286:M286)&gt;0,1,0)</f>
        <v/>
      </c>
      <c r="R286" s="42">
        <f>IF(Q286=0,0,R285+1)</f>
        <v/>
      </c>
      <c r="S286" s="42">
        <f>IF(O286="",0,IF(O286=4,S285+1,0))</f>
        <v/>
      </c>
      <c r="T286" s="43">
        <f>IF(Q286=1,A286,"")</f>
        <v/>
      </c>
    </row>
    <row r="287">
      <c r="A287" s="36">
        <f>A286+1</f>
        <v/>
      </c>
      <c r="B287" s="37">
        <f>IF(A287="","",TEXT(A287,"ddd"))</f>
        <v/>
      </c>
      <c r="C287" s="38" t="n"/>
      <c r="D287" s="38" t="n"/>
      <c r="E287" s="38" t="n"/>
      <c r="F287" s="38" t="n"/>
      <c r="G287" s="38" t="n"/>
      <c r="H287" s="38" t="n"/>
      <c r="I287" s="38" t="n"/>
      <c r="J287" s="38" t="n"/>
      <c r="K287" s="38" t="n"/>
      <c r="L287" s="39" t="n"/>
      <c r="M287" s="39" t="n"/>
      <c r="N287" s="38" t="n"/>
      <c r="O287" s="40">
        <f>IF($Q287=0,"",IF(C287&gt;=C$2,1,0)+IF(D287&gt;=D$2,1,0)+IF(E287&gt;=E$2,1,0)+IF(F287&gt;=F$2,1,0))</f>
        <v/>
      </c>
      <c r="P287" s="41" t="n"/>
      <c r="Q287" s="42">
        <f>IF(COUNT(C287:M287)&gt;0,1,0)</f>
        <v/>
      </c>
      <c r="R287" s="42">
        <f>IF(Q287=0,0,R286+1)</f>
        <v/>
      </c>
      <c r="S287" s="42">
        <f>IF(O287="",0,IF(O287=4,S286+1,0))</f>
        <v/>
      </c>
      <c r="T287" s="43">
        <f>IF(Q287=1,A287,"")</f>
        <v/>
      </c>
    </row>
    <row r="288">
      <c r="A288" s="36">
        <f>A287+1</f>
        <v/>
      </c>
      <c r="B288" s="37">
        <f>IF(A288="","",TEXT(A288,"ddd"))</f>
        <v/>
      </c>
      <c r="C288" s="38" t="n"/>
      <c r="D288" s="38" t="n"/>
      <c r="E288" s="38" t="n"/>
      <c r="F288" s="38" t="n"/>
      <c r="G288" s="38" t="n"/>
      <c r="H288" s="38" t="n"/>
      <c r="I288" s="38" t="n"/>
      <c r="J288" s="38" t="n"/>
      <c r="K288" s="38" t="n"/>
      <c r="L288" s="39" t="n"/>
      <c r="M288" s="39" t="n"/>
      <c r="N288" s="38" t="n"/>
      <c r="O288" s="40">
        <f>IF($Q288=0,"",IF(C288&gt;=C$2,1,0)+IF(D288&gt;=D$2,1,0)+IF(E288&gt;=E$2,1,0)+IF(F288&gt;=F$2,1,0))</f>
        <v/>
      </c>
      <c r="P288" s="41" t="n"/>
      <c r="Q288" s="42">
        <f>IF(COUNT(C288:M288)&gt;0,1,0)</f>
        <v/>
      </c>
      <c r="R288" s="42">
        <f>IF(Q288=0,0,R287+1)</f>
        <v/>
      </c>
      <c r="S288" s="42">
        <f>IF(O288="",0,IF(O288=4,S287+1,0))</f>
        <v/>
      </c>
      <c r="T288" s="43">
        <f>IF(Q288=1,A288,"")</f>
        <v/>
      </c>
    </row>
    <row r="289">
      <c r="A289" s="36">
        <f>A288+1</f>
        <v/>
      </c>
      <c r="B289" s="37">
        <f>IF(A289="","",TEXT(A289,"ddd"))</f>
        <v/>
      </c>
      <c r="C289" s="38" t="n"/>
      <c r="D289" s="38" t="n"/>
      <c r="E289" s="38" t="n"/>
      <c r="F289" s="38" t="n"/>
      <c r="G289" s="38" t="n"/>
      <c r="H289" s="38" t="n"/>
      <c r="I289" s="38" t="n"/>
      <c r="J289" s="38" t="n"/>
      <c r="K289" s="38" t="n"/>
      <c r="L289" s="39" t="n"/>
      <c r="M289" s="39" t="n"/>
      <c r="N289" s="38" t="n"/>
      <c r="O289" s="40">
        <f>IF($Q289=0,"",IF(C289&gt;=C$2,1,0)+IF(D289&gt;=D$2,1,0)+IF(E289&gt;=E$2,1,0)+IF(F289&gt;=F$2,1,0))</f>
        <v/>
      </c>
      <c r="P289" s="41" t="n"/>
      <c r="Q289" s="42">
        <f>IF(COUNT(C289:M289)&gt;0,1,0)</f>
        <v/>
      </c>
      <c r="R289" s="42">
        <f>IF(Q289=0,0,R288+1)</f>
        <v/>
      </c>
      <c r="S289" s="42">
        <f>IF(O289="",0,IF(O289=4,S288+1,0))</f>
        <v/>
      </c>
      <c r="T289" s="43">
        <f>IF(Q289=1,A289,"")</f>
        <v/>
      </c>
    </row>
    <row r="290">
      <c r="A290" s="36">
        <f>A289+1</f>
        <v/>
      </c>
      <c r="B290" s="37">
        <f>IF(A290="","",TEXT(A290,"ddd"))</f>
        <v/>
      </c>
      <c r="C290" s="38" t="n"/>
      <c r="D290" s="38" t="n"/>
      <c r="E290" s="38" t="n"/>
      <c r="F290" s="38" t="n"/>
      <c r="G290" s="38" t="n"/>
      <c r="H290" s="38" t="n"/>
      <c r="I290" s="38" t="n"/>
      <c r="J290" s="38" t="n"/>
      <c r="K290" s="38" t="n"/>
      <c r="L290" s="39" t="n"/>
      <c r="M290" s="39" t="n"/>
      <c r="N290" s="38" t="n"/>
      <c r="O290" s="40">
        <f>IF($Q290=0,"",IF(C290&gt;=C$2,1,0)+IF(D290&gt;=D$2,1,0)+IF(E290&gt;=E$2,1,0)+IF(F290&gt;=F$2,1,0))</f>
        <v/>
      </c>
      <c r="P290" s="41" t="n"/>
      <c r="Q290" s="42">
        <f>IF(COUNT(C290:M290)&gt;0,1,0)</f>
        <v/>
      </c>
      <c r="R290" s="42">
        <f>IF(Q290=0,0,R289+1)</f>
        <v/>
      </c>
      <c r="S290" s="42">
        <f>IF(O290="",0,IF(O290=4,S289+1,0))</f>
        <v/>
      </c>
      <c r="T290" s="43">
        <f>IF(Q290=1,A290,"")</f>
        <v/>
      </c>
    </row>
    <row r="291">
      <c r="A291" s="36">
        <f>A290+1</f>
        <v/>
      </c>
      <c r="B291" s="37">
        <f>IF(A291="","",TEXT(A291,"ddd"))</f>
        <v/>
      </c>
      <c r="C291" s="38" t="n"/>
      <c r="D291" s="38" t="n"/>
      <c r="E291" s="38" t="n"/>
      <c r="F291" s="38" t="n"/>
      <c r="G291" s="38" t="n"/>
      <c r="H291" s="38" t="n"/>
      <c r="I291" s="38" t="n"/>
      <c r="J291" s="38" t="n"/>
      <c r="K291" s="38" t="n"/>
      <c r="L291" s="39" t="n"/>
      <c r="M291" s="39" t="n"/>
      <c r="N291" s="38" t="n"/>
      <c r="O291" s="40">
        <f>IF($Q291=0,"",IF(C291&gt;=C$2,1,0)+IF(D291&gt;=D$2,1,0)+IF(E291&gt;=E$2,1,0)+IF(F291&gt;=F$2,1,0))</f>
        <v/>
      </c>
      <c r="P291" s="41" t="n"/>
      <c r="Q291" s="42">
        <f>IF(COUNT(C291:M291)&gt;0,1,0)</f>
        <v/>
      </c>
      <c r="R291" s="42">
        <f>IF(Q291=0,0,R290+1)</f>
        <v/>
      </c>
      <c r="S291" s="42">
        <f>IF(O291="",0,IF(O291=4,S290+1,0))</f>
        <v/>
      </c>
      <c r="T291" s="43">
        <f>IF(Q291=1,A291,"")</f>
        <v/>
      </c>
    </row>
    <row r="292">
      <c r="A292" s="36">
        <f>A291+1</f>
        <v/>
      </c>
      <c r="B292" s="37">
        <f>IF(A292="","",TEXT(A292,"ddd"))</f>
        <v/>
      </c>
      <c r="C292" s="38" t="n"/>
      <c r="D292" s="38" t="n"/>
      <c r="E292" s="38" t="n"/>
      <c r="F292" s="38" t="n"/>
      <c r="G292" s="38" t="n"/>
      <c r="H292" s="38" t="n"/>
      <c r="I292" s="38" t="n"/>
      <c r="J292" s="38" t="n"/>
      <c r="K292" s="38" t="n"/>
      <c r="L292" s="39" t="n"/>
      <c r="M292" s="39" t="n"/>
      <c r="N292" s="38" t="n"/>
      <c r="O292" s="40">
        <f>IF($Q292=0,"",IF(C292&gt;=C$2,1,0)+IF(D292&gt;=D$2,1,0)+IF(E292&gt;=E$2,1,0)+IF(F292&gt;=F$2,1,0))</f>
        <v/>
      </c>
      <c r="P292" s="41" t="n"/>
      <c r="Q292" s="42">
        <f>IF(COUNT(C292:M292)&gt;0,1,0)</f>
        <v/>
      </c>
      <c r="R292" s="42">
        <f>IF(Q292=0,0,R291+1)</f>
        <v/>
      </c>
      <c r="S292" s="42">
        <f>IF(O292="",0,IF(O292=4,S291+1,0))</f>
        <v/>
      </c>
      <c r="T292" s="43">
        <f>IF(Q292=1,A292,"")</f>
        <v/>
      </c>
    </row>
    <row r="293">
      <c r="A293" s="36">
        <f>A292+1</f>
        <v/>
      </c>
      <c r="B293" s="37">
        <f>IF(A293="","",TEXT(A293,"ddd"))</f>
        <v/>
      </c>
      <c r="C293" s="38" t="n"/>
      <c r="D293" s="38" t="n"/>
      <c r="E293" s="38" t="n"/>
      <c r="F293" s="38" t="n"/>
      <c r="G293" s="38" t="n"/>
      <c r="H293" s="38" t="n"/>
      <c r="I293" s="38" t="n"/>
      <c r="J293" s="38" t="n"/>
      <c r="K293" s="38" t="n"/>
      <c r="L293" s="39" t="n"/>
      <c r="M293" s="39" t="n"/>
      <c r="N293" s="38" t="n"/>
      <c r="O293" s="40">
        <f>IF($Q293=0,"",IF(C293&gt;=C$2,1,0)+IF(D293&gt;=D$2,1,0)+IF(E293&gt;=E$2,1,0)+IF(F293&gt;=F$2,1,0))</f>
        <v/>
      </c>
      <c r="P293" s="41" t="n"/>
      <c r="Q293" s="42">
        <f>IF(COUNT(C293:M293)&gt;0,1,0)</f>
        <v/>
      </c>
      <c r="R293" s="42">
        <f>IF(Q293=0,0,R292+1)</f>
        <v/>
      </c>
      <c r="S293" s="42">
        <f>IF(O293="",0,IF(O293=4,S292+1,0))</f>
        <v/>
      </c>
      <c r="T293" s="43">
        <f>IF(Q293=1,A293,"")</f>
        <v/>
      </c>
    </row>
    <row r="294">
      <c r="A294" s="36">
        <f>A293+1</f>
        <v/>
      </c>
      <c r="B294" s="37">
        <f>IF(A294="","",TEXT(A294,"ddd"))</f>
        <v/>
      </c>
      <c r="C294" s="38" t="n"/>
      <c r="D294" s="38" t="n"/>
      <c r="E294" s="38" t="n"/>
      <c r="F294" s="38" t="n"/>
      <c r="G294" s="38" t="n"/>
      <c r="H294" s="38" t="n"/>
      <c r="I294" s="38" t="n"/>
      <c r="J294" s="38" t="n"/>
      <c r="K294" s="38" t="n"/>
      <c r="L294" s="39" t="n"/>
      <c r="M294" s="39" t="n"/>
      <c r="N294" s="38" t="n"/>
      <c r="O294" s="40">
        <f>IF($Q294=0,"",IF(C294&gt;=C$2,1,0)+IF(D294&gt;=D$2,1,0)+IF(E294&gt;=E$2,1,0)+IF(F294&gt;=F$2,1,0))</f>
        <v/>
      </c>
      <c r="P294" s="41" t="n"/>
      <c r="Q294" s="42">
        <f>IF(COUNT(C294:M294)&gt;0,1,0)</f>
        <v/>
      </c>
      <c r="R294" s="42">
        <f>IF(Q294=0,0,R293+1)</f>
        <v/>
      </c>
      <c r="S294" s="42">
        <f>IF(O294="",0,IF(O294=4,S293+1,0))</f>
        <v/>
      </c>
      <c r="T294" s="43">
        <f>IF(Q294=1,A294,"")</f>
        <v/>
      </c>
    </row>
    <row r="295">
      <c r="A295" s="36">
        <f>A294+1</f>
        <v/>
      </c>
      <c r="B295" s="37">
        <f>IF(A295="","",TEXT(A295,"ddd"))</f>
        <v/>
      </c>
      <c r="C295" s="38" t="n"/>
      <c r="D295" s="38" t="n"/>
      <c r="E295" s="38" t="n"/>
      <c r="F295" s="38" t="n"/>
      <c r="G295" s="38" t="n"/>
      <c r="H295" s="38" t="n"/>
      <c r="I295" s="38" t="n"/>
      <c r="J295" s="38" t="n"/>
      <c r="K295" s="38" t="n"/>
      <c r="L295" s="39" t="n"/>
      <c r="M295" s="39" t="n"/>
      <c r="N295" s="38" t="n"/>
      <c r="O295" s="40">
        <f>IF($Q295=0,"",IF(C295&gt;=C$2,1,0)+IF(D295&gt;=D$2,1,0)+IF(E295&gt;=E$2,1,0)+IF(F295&gt;=F$2,1,0))</f>
        <v/>
      </c>
      <c r="P295" s="41" t="n"/>
      <c r="Q295" s="42">
        <f>IF(COUNT(C295:M295)&gt;0,1,0)</f>
        <v/>
      </c>
      <c r="R295" s="42">
        <f>IF(Q295=0,0,R294+1)</f>
        <v/>
      </c>
      <c r="S295" s="42">
        <f>IF(O295="",0,IF(O295=4,S294+1,0))</f>
        <v/>
      </c>
      <c r="T295" s="43">
        <f>IF(Q295=1,A295,"")</f>
        <v/>
      </c>
    </row>
    <row r="296">
      <c r="A296" s="36">
        <f>A295+1</f>
        <v/>
      </c>
      <c r="B296" s="37">
        <f>IF(A296="","",TEXT(A296,"ddd"))</f>
        <v/>
      </c>
      <c r="C296" s="38" t="n"/>
      <c r="D296" s="38" t="n"/>
      <c r="E296" s="38" t="n"/>
      <c r="F296" s="38" t="n"/>
      <c r="G296" s="38" t="n"/>
      <c r="H296" s="38" t="n"/>
      <c r="I296" s="38" t="n"/>
      <c r="J296" s="38" t="n"/>
      <c r="K296" s="38" t="n"/>
      <c r="L296" s="39" t="n"/>
      <c r="M296" s="39" t="n"/>
      <c r="N296" s="38" t="n"/>
      <c r="O296" s="40">
        <f>IF($Q296=0,"",IF(C296&gt;=C$2,1,0)+IF(D296&gt;=D$2,1,0)+IF(E296&gt;=E$2,1,0)+IF(F296&gt;=F$2,1,0))</f>
        <v/>
      </c>
      <c r="P296" s="41" t="n"/>
      <c r="Q296" s="42">
        <f>IF(COUNT(C296:M296)&gt;0,1,0)</f>
        <v/>
      </c>
      <c r="R296" s="42">
        <f>IF(Q296=0,0,R295+1)</f>
        <v/>
      </c>
      <c r="S296" s="42">
        <f>IF(O296="",0,IF(O296=4,S295+1,0))</f>
        <v/>
      </c>
      <c r="T296" s="43">
        <f>IF(Q296=1,A296,"")</f>
        <v/>
      </c>
    </row>
    <row r="297">
      <c r="A297" s="36">
        <f>A296+1</f>
        <v/>
      </c>
      <c r="B297" s="37">
        <f>IF(A297="","",TEXT(A297,"ddd"))</f>
        <v/>
      </c>
      <c r="C297" s="38" t="n"/>
      <c r="D297" s="38" t="n"/>
      <c r="E297" s="38" t="n"/>
      <c r="F297" s="38" t="n"/>
      <c r="G297" s="38" t="n"/>
      <c r="H297" s="38" t="n"/>
      <c r="I297" s="38" t="n"/>
      <c r="J297" s="38" t="n"/>
      <c r="K297" s="38" t="n"/>
      <c r="L297" s="39" t="n"/>
      <c r="M297" s="39" t="n"/>
      <c r="N297" s="38" t="n"/>
      <c r="O297" s="40">
        <f>IF($Q297=0,"",IF(C297&gt;=C$2,1,0)+IF(D297&gt;=D$2,1,0)+IF(E297&gt;=E$2,1,0)+IF(F297&gt;=F$2,1,0))</f>
        <v/>
      </c>
      <c r="P297" s="41" t="n"/>
      <c r="Q297" s="42">
        <f>IF(COUNT(C297:M297)&gt;0,1,0)</f>
        <v/>
      </c>
      <c r="R297" s="42">
        <f>IF(Q297=0,0,R296+1)</f>
        <v/>
      </c>
      <c r="S297" s="42">
        <f>IF(O297="",0,IF(O297=4,S296+1,0))</f>
        <v/>
      </c>
      <c r="T297" s="43">
        <f>IF(Q297=1,A297,"")</f>
        <v/>
      </c>
    </row>
    <row r="298">
      <c r="A298" s="36">
        <f>A297+1</f>
        <v/>
      </c>
      <c r="B298" s="37">
        <f>IF(A298="","",TEXT(A298,"ddd"))</f>
        <v/>
      </c>
      <c r="C298" s="38" t="n"/>
      <c r="D298" s="38" t="n"/>
      <c r="E298" s="38" t="n"/>
      <c r="F298" s="38" t="n"/>
      <c r="G298" s="38" t="n"/>
      <c r="H298" s="38" t="n"/>
      <c r="I298" s="38" t="n"/>
      <c r="J298" s="38" t="n"/>
      <c r="K298" s="38" t="n"/>
      <c r="L298" s="39" t="n"/>
      <c r="M298" s="39" t="n"/>
      <c r="N298" s="38" t="n"/>
      <c r="O298" s="40">
        <f>IF($Q298=0,"",IF(C298&gt;=C$2,1,0)+IF(D298&gt;=D$2,1,0)+IF(E298&gt;=E$2,1,0)+IF(F298&gt;=F$2,1,0))</f>
        <v/>
      </c>
      <c r="P298" s="41" t="n"/>
      <c r="Q298" s="42">
        <f>IF(COUNT(C298:M298)&gt;0,1,0)</f>
        <v/>
      </c>
      <c r="R298" s="42">
        <f>IF(Q298=0,0,R297+1)</f>
        <v/>
      </c>
      <c r="S298" s="42">
        <f>IF(O298="",0,IF(O298=4,S297+1,0))</f>
        <v/>
      </c>
      <c r="T298" s="43">
        <f>IF(Q298=1,A298,"")</f>
        <v/>
      </c>
    </row>
    <row r="299">
      <c r="A299" s="36">
        <f>A298+1</f>
        <v/>
      </c>
      <c r="B299" s="37">
        <f>IF(A299="","",TEXT(A299,"ddd"))</f>
        <v/>
      </c>
      <c r="C299" s="38" t="n"/>
      <c r="D299" s="38" t="n"/>
      <c r="E299" s="38" t="n"/>
      <c r="F299" s="38" t="n"/>
      <c r="G299" s="38" t="n"/>
      <c r="H299" s="38" t="n"/>
      <c r="I299" s="38" t="n"/>
      <c r="J299" s="38" t="n"/>
      <c r="K299" s="38" t="n"/>
      <c r="L299" s="39" t="n"/>
      <c r="M299" s="39" t="n"/>
      <c r="N299" s="38" t="n"/>
      <c r="O299" s="40">
        <f>IF($Q299=0,"",IF(C299&gt;=C$2,1,0)+IF(D299&gt;=D$2,1,0)+IF(E299&gt;=E$2,1,0)+IF(F299&gt;=F$2,1,0))</f>
        <v/>
      </c>
      <c r="P299" s="41" t="n"/>
      <c r="Q299" s="42">
        <f>IF(COUNT(C299:M299)&gt;0,1,0)</f>
        <v/>
      </c>
      <c r="R299" s="42">
        <f>IF(Q299=0,0,R298+1)</f>
        <v/>
      </c>
      <c r="S299" s="42">
        <f>IF(O299="",0,IF(O299=4,S298+1,0))</f>
        <v/>
      </c>
      <c r="T299" s="43">
        <f>IF(Q299=1,A299,"")</f>
        <v/>
      </c>
    </row>
    <row r="300">
      <c r="A300" s="36">
        <f>A299+1</f>
        <v/>
      </c>
      <c r="B300" s="37">
        <f>IF(A300="","",TEXT(A300,"ddd"))</f>
        <v/>
      </c>
      <c r="C300" s="38" t="n"/>
      <c r="D300" s="38" t="n"/>
      <c r="E300" s="38" t="n"/>
      <c r="F300" s="38" t="n"/>
      <c r="G300" s="38" t="n"/>
      <c r="H300" s="38" t="n"/>
      <c r="I300" s="38" t="n"/>
      <c r="J300" s="38" t="n"/>
      <c r="K300" s="38" t="n"/>
      <c r="L300" s="39" t="n"/>
      <c r="M300" s="39" t="n"/>
      <c r="N300" s="38" t="n"/>
      <c r="O300" s="40">
        <f>IF($Q300=0,"",IF(C300&gt;=C$2,1,0)+IF(D300&gt;=D$2,1,0)+IF(E300&gt;=E$2,1,0)+IF(F300&gt;=F$2,1,0))</f>
        <v/>
      </c>
      <c r="P300" s="41" t="n"/>
      <c r="Q300" s="42">
        <f>IF(COUNT(C300:M300)&gt;0,1,0)</f>
        <v/>
      </c>
      <c r="R300" s="42">
        <f>IF(Q300=0,0,R299+1)</f>
        <v/>
      </c>
      <c r="S300" s="42">
        <f>IF(O300="",0,IF(O300=4,S299+1,0))</f>
        <v/>
      </c>
      <c r="T300" s="43">
        <f>IF(Q300=1,A300,"")</f>
        <v/>
      </c>
    </row>
    <row r="301">
      <c r="A301" s="36">
        <f>A300+1</f>
        <v/>
      </c>
      <c r="B301" s="37">
        <f>IF(A301="","",TEXT(A301,"ddd"))</f>
        <v/>
      </c>
      <c r="C301" s="38" t="n"/>
      <c r="D301" s="38" t="n"/>
      <c r="E301" s="38" t="n"/>
      <c r="F301" s="38" t="n"/>
      <c r="G301" s="38" t="n"/>
      <c r="H301" s="38" t="n"/>
      <c r="I301" s="38" t="n"/>
      <c r="J301" s="38" t="n"/>
      <c r="K301" s="38" t="n"/>
      <c r="L301" s="39" t="n"/>
      <c r="M301" s="39" t="n"/>
      <c r="N301" s="38" t="n"/>
      <c r="O301" s="40">
        <f>IF($Q301=0,"",IF(C301&gt;=C$2,1,0)+IF(D301&gt;=D$2,1,0)+IF(E301&gt;=E$2,1,0)+IF(F301&gt;=F$2,1,0))</f>
        <v/>
      </c>
      <c r="P301" s="41" t="n"/>
      <c r="Q301" s="42">
        <f>IF(COUNT(C301:M301)&gt;0,1,0)</f>
        <v/>
      </c>
      <c r="R301" s="42">
        <f>IF(Q301=0,0,R300+1)</f>
        <v/>
      </c>
      <c r="S301" s="42">
        <f>IF(O301="",0,IF(O301=4,S300+1,0))</f>
        <v/>
      </c>
      <c r="T301" s="43">
        <f>IF(Q301=1,A301,"")</f>
        <v/>
      </c>
    </row>
    <row r="302">
      <c r="A302" s="36">
        <f>A301+1</f>
        <v/>
      </c>
      <c r="B302" s="37">
        <f>IF(A302="","",TEXT(A302,"ddd"))</f>
        <v/>
      </c>
      <c r="C302" s="38" t="n"/>
      <c r="D302" s="38" t="n"/>
      <c r="E302" s="38" t="n"/>
      <c r="F302" s="38" t="n"/>
      <c r="G302" s="38" t="n"/>
      <c r="H302" s="38" t="n"/>
      <c r="I302" s="38" t="n"/>
      <c r="J302" s="38" t="n"/>
      <c r="K302" s="38" t="n"/>
      <c r="L302" s="39" t="n"/>
      <c r="M302" s="39" t="n"/>
      <c r="N302" s="38" t="n"/>
      <c r="O302" s="40">
        <f>IF($Q302=0,"",IF(C302&gt;=C$2,1,0)+IF(D302&gt;=D$2,1,0)+IF(E302&gt;=E$2,1,0)+IF(F302&gt;=F$2,1,0))</f>
        <v/>
      </c>
      <c r="P302" s="41" t="n"/>
      <c r="Q302" s="42">
        <f>IF(COUNT(C302:M302)&gt;0,1,0)</f>
        <v/>
      </c>
      <c r="R302" s="42">
        <f>IF(Q302=0,0,R301+1)</f>
        <v/>
      </c>
      <c r="S302" s="42">
        <f>IF(O302="",0,IF(O302=4,S301+1,0))</f>
        <v/>
      </c>
      <c r="T302" s="43">
        <f>IF(Q302=1,A302,"")</f>
        <v/>
      </c>
    </row>
    <row r="303">
      <c r="A303" s="36">
        <f>A302+1</f>
        <v/>
      </c>
      <c r="B303" s="37">
        <f>IF(A303="","",TEXT(A303,"ddd"))</f>
        <v/>
      </c>
      <c r="C303" s="38" t="n"/>
      <c r="D303" s="38" t="n"/>
      <c r="E303" s="38" t="n"/>
      <c r="F303" s="38" t="n"/>
      <c r="G303" s="38" t="n"/>
      <c r="H303" s="38" t="n"/>
      <c r="I303" s="38" t="n"/>
      <c r="J303" s="38" t="n"/>
      <c r="K303" s="38" t="n"/>
      <c r="L303" s="39" t="n"/>
      <c r="M303" s="39" t="n"/>
      <c r="N303" s="38" t="n"/>
      <c r="O303" s="40">
        <f>IF($Q303=0,"",IF(C303&gt;=C$2,1,0)+IF(D303&gt;=D$2,1,0)+IF(E303&gt;=E$2,1,0)+IF(F303&gt;=F$2,1,0))</f>
        <v/>
      </c>
      <c r="P303" s="41" t="n"/>
      <c r="Q303" s="42">
        <f>IF(COUNT(C303:M303)&gt;0,1,0)</f>
        <v/>
      </c>
      <c r="R303" s="42">
        <f>IF(Q303=0,0,R302+1)</f>
        <v/>
      </c>
      <c r="S303" s="42">
        <f>IF(O303="",0,IF(O303=4,S302+1,0))</f>
        <v/>
      </c>
      <c r="T303" s="43">
        <f>IF(Q303=1,A303,"")</f>
        <v/>
      </c>
    </row>
    <row r="304">
      <c r="A304" s="36">
        <f>A303+1</f>
        <v/>
      </c>
      <c r="B304" s="37">
        <f>IF(A304="","",TEXT(A304,"ddd"))</f>
        <v/>
      </c>
      <c r="C304" s="38" t="n"/>
      <c r="D304" s="38" t="n"/>
      <c r="E304" s="38" t="n"/>
      <c r="F304" s="38" t="n"/>
      <c r="G304" s="38" t="n"/>
      <c r="H304" s="38" t="n"/>
      <c r="I304" s="38" t="n"/>
      <c r="J304" s="38" t="n"/>
      <c r="K304" s="38" t="n"/>
      <c r="L304" s="39" t="n"/>
      <c r="M304" s="39" t="n"/>
      <c r="N304" s="38" t="n"/>
      <c r="O304" s="40">
        <f>IF($Q304=0,"",IF(C304&gt;=C$2,1,0)+IF(D304&gt;=D$2,1,0)+IF(E304&gt;=E$2,1,0)+IF(F304&gt;=F$2,1,0))</f>
        <v/>
      </c>
      <c r="P304" s="41" t="n"/>
      <c r="Q304" s="42">
        <f>IF(COUNT(C304:M304)&gt;0,1,0)</f>
        <v/>
      </c>
      <c r="R304" s="42">
        <f>IF(Q304=0,0,R303+1)</f>
        <v/>
      </c>
      <c r="S304" s="42">
        <f>IF(O304="",0,IF(O304=4,S303+1,0))</f>
        <v/>
      </c>
      <c r="T304" s="43">
        <f>IF(Q304=1,A304,"")</f>
        <v/>
      </c>
    </row>
    <row r="305">
      <c r="A305" s="36">
        <f>A304+1</f>
        <v/>
      </c>
      <c r="B305" s="37">
        <f>IF(A305="","",TEXT(A305,"ddd"))</f>
        <v/>
      </c>
      <c r="C305" s="38" t="n"/>
      <c r="D305" s="38" t="n"/>
      <c r="E305" s="38" t="n"/>
      <c r="F305" s="38" t="n"/>
      <c r="G305" s="38" t="n"/>
      <c r="H305" s="38" t="n"/>
      <c r="I305" s="38" t="n"/>
      <c r="J305" s="38" t="n"/>
      <c r="K305" s="38" t="n"/>
      <c r="L305" s="39" t="n"/>
      <c r="M305" s="39" t="n"/>
      <c r="N305" s="38" t="n"/>
      <c r="O305" s="40">
        <f>IF($Q305=0,"",IF(C305&gt;=C$2,1,0)+IF(D305&gt;=D$2,1,0)+IF(E305&gt;=E$2,1,0)+IF(F305&gt;=F$2,1,0))</f>
        <v/>
      </c>
      <c r="P305" s="41" t="n"/>
      <c r="Q305" s="42">
        <f>IF(COUNT(C305:M305)&gt;0,1,0)</f>
        <v/>
      </c>
      <c r="R305" s="42">
        <f>IF(Q305=0,0,R304+1)</f>
        <v/>
      </c>
      <c r="S305" s="42">
        <f>IF(O305="",0,IF(O305=4,S304+1,0))</f>
        <v/>
      </c>
      <c r="T305" s="43">
        <f>IF(Q305=1,A305,"")</f>
        <v/>
      </c>
    </row>
    <row r="306">
      <c r="A306" s="36">
        <f>A305+1</f>
        <v/>
      </c>
      <c r="B306" s="37">
        <f>IF(A306="","",TEXT(A306,"ddd"))</f>
        <v/>
      </c>
      <c r="C306" s="38" t="n"/>
      <c r="D306" s="38" t="n"/>
      <c r="E306" s="38" t="n"/>
      <c r="F306" s="38" t="n"/>
      <c r="G306" s="38" t="n"/>
      <c r="H306" s="38" t="n"/>
      <c r="I306" s="38" t="n"/>
      <c r="J306" s="38" t="n"/>
      <c r="K306" s="38" t="n"/>
      <c r="L306" s="39" t="n"/>
      <c r="M306" s="39" t="n"/>
      <c r="N306" s="38" t="n"/>
      <c r="O306" s="40">
        <f>IF($Q306=0,"",IF(C306&gt;=C$2,1,0)+IF(D306&gt;=D$2,1,0)+IF(E306&gt;=E$2,1,0)+IF(F306&gt;=F$2,1,0))</f>
        <v/>
      </c>
      <c r="P306" s="41" t="n"/>
      <c r="Q306" s="42">
        <f>IF(COUNT(C306:M306)&gt;0,1,0)</f>
        <v/>
      </c>
      <c r="R306" s="42">
        <f>IF(Q306=0,0,R305+1)</f>
        <v/>
      </c>
      <c r="S306" s="42">
        <f>IF(O306="",0,IF(O306=4,S305+1,0))</f>
        <v/>
      </c>
      <c r="T306" s="43">
        <f>IF(Q306=1,A306,"")</f>
        <v/>
      </c>
    </row>
    <row r="307">
      <c r="A307" s="36">
        <f>A306+1</f>
        <v/>
      </c>
      <c r="B307" s="37">
        <f>IF(A307="","",TEXT(A307,"ddd"))</f>
        <v/>
      </c>
      <c r="C307" s="38" t="n"/>
      <c r="D307" s="38" t="n"/>
      <c r="E307" s="38" t="n"/>
      <c r="F307" s="38" t="n"/>
      <c r="G307" s="38" t="n"/>
      <c r="H307" s="38" t="n"/>
      <c r="I307" s="38" t="n"/>
      <c r="J307" s="38" t="n"/>
      <c r="K307" s="38" t="n"/>
      <c r="L307" s="39" t="n"/>
      <c r="M307" s="39" t="n"/>
      <c r="N307" s="38" t="n"/>
      <c r="O307" s="40">
        <f>IF($Q307=0,"",IF(C307&gt;=C$2,1,0)+IF(D307&gt;=D$2,1,0)+IF(E307&gt;=E$2,1,0)+IF(F307&gt;=F$2,1,0))</f>
        <v/>
      </c>
      <c r="P307" s="41" t="n"/>
      <c r="Q307" s="42">
        <f>IF(COUNT(C307:M307)&gt;0,1,0)</f>
        <v/>
      </c>
      <c r="R307" s="42">
        <f>IF(Q307=0,0,R306+1)</f>
        <v/>
      </c>
      <c r="S307" s="42">
        <f>IF(O307="",0,IF(O307=4,S306+1,0))</f>
        <v/>
      </c>
      <c r="T307" s="43">
        <f>IF(Q307=1,A307,"")</f>
        <v/>
      </c>
    </row>
    <row r="308">
      <c r="A308" s="36">
        <f>A307+1</f>
        <v/>
      </c>
      <c r="B308" s="37">
        <f>IF(A308="","",TEXT(A308,"ddd"))</f>
        <v/>
      </c>
      <c r="C308" s="38" t="n"/>
      <c r="D308" s="38" t="n"/>
      <c r="E308" s="38" t="n"/>
      <c r="F308" s="38" t="n"/>
      <c r="G308" s="38" t="n"/>
      <c r="H308" s="38" t="n"/>
      <c r="I308" s="38" t="n"/>
      <c r="J308" s="38" t="n"/>
      <c r="K308" s="38" t="n"/>
      <c r="L308" s="39" t="n"/>
      <c r="M308" s="39" t="n"/>
      <c r="N308" s="38" t="n"/>
      <c r="O308" s="40">
        <f>IF($Q308=0,"",IF(C308&gt;=C$2,1,0)+IF(D308&gt;=D$2,1,0)+IF(E308&gt;=E$2,1,0)+IF(F308&gt;=F$2,1,0))</f>
        <v/>
      </c>
      <c r="P308" s="41" t="n"/>
      <c r="Q308" s="42">
        <f>IF(COUNT(C308:M308)&gt;0,1,0)</f>
        <v/>
      </c>
      <c r="R308" s="42">
        <f>IF(Q308=0,0,R307+1)</f>
        <v/>
      </c>
      <c r="S308" s="42">
        <f>IF(O308="",0,IF(O308=4,S307+1,0))</f>
        <v/>
      </c>
      <c r="T308" s="43">
        <f>IF(Q308=1,A308,"")</f>
        <v/>
      </c>
    </row>
    <row r="309">
      <c r="A309" s="36">
        <f>A308+1</f>
        <v/>
      </c>
      <c r="B309" s="37">
        <f>IF(A309="","",TEXT(A309,"ddd"))</f>
        <v/>
      </c>
      <c r="C309" s="38" t="n"/>
      <c r="D309" s="38" t="n"/>
      <c r="E309" s="38" t="n"/>
      <c r="F309" s="38" t="n"/>
      <c r="G309" s="38" t="n"/>
      <c r="H309" s="38" t="n"/>
      <c r="I309" s="38" t="n"/>
      <c r="J309" s="38" t="n"/>
      <c r="K309" s="38" t="n"/>
      <c r="L309" s="39" t="n"/>
      <c r="M309" s="39" t="n"/>
      <c r="N309" s="38" t="n"/>
      <c r="O309" s="40">
        <f>IF($Q309=0,"",IF(C309&gt;=C$2,1,0)+IF(D309&gt;=D$2,1,0)+IF(E309&gt;=E$2,1,0)+IF(F309&gt;=F$2,1,0))</f>
        <v/>
      </c>
      <c r="P309" s="41" t="n"/>
      <c r="Q309" s="42">
        <f>IF(COUNT(C309:M309)&gt;0,1,0)</f>
        <v/>
      </c>
      <c r="R309" s="42">
        <f>IF(Q309=0,0,R308+1)</f>
        <v/>
      </c>
      <c r="S309" s="42">
        <f>IF(O309="",0,IF(O309=4,S308+1,0))</f>
        <v/>
      </c>
      <c r="T309" s="43">
        <f>IF(Q309=1,A309,"")</f>
        <v/>
      </c>
    </row>
    <row r="310">
      <c r="A310" s="36">
        <f>A309+1</f>
        <v/>
      </c>
      <c r="B310" s="37">
        <f>IF(A310="","",TEXT(A310,"ddd"))</f>
        <v/>
      </c>
      <c r="C310" s="38" t="n"/>
      <c r="D310" s="38" t="n"/>
      <c r="E310" s="38" t="n"/>
      <c r="F310" s="38" t="n"/>
      <c r="G310" s="38" t="n"/>
      <c r="H310" s="38" t="n"/>
      <c r="I310" s="38" t="n"/>
      <c r="J310" s="38" t="n"/>
      <c r="K310" s="38" t="n"/>
      <c r="L310" s="39" t="n"/>
      <c r="M310" s="39" t="n"/>
      <c r="N310" s="38" t="n"/>
      <c r="O310" s="40">
        <f>IF($Q310=0,"",IF(C310&gt;=C$2,1,0)+IF(D310&gt;=D$2,1,0)+IF(E310&gt;=E$2,1,0)+IF(F310&gt;=F$2,1,0))</f>
        <v/>
      </c>
      <c r="P310" s="41" t="n"/>
      <c r="Q310" s="42">
        <f>IF(COUNT(C310:M310)&gt;0,1,0)</f>
        <v/>
      </c>
      <c r="R310" s="42">
        <f>IF(Q310=0,0,R309+1)</f>
        <v/>
      </c>
      <c r="S310" s="42">
        <f>IF(O310="",0,IF(O310=4,S309+1,0))</f>
        <v/>
      </c>
      <c r="T310" s="43">
        <f>IF(Q310=1,A310,"")</f>
        <v/>
      </c>
    </row>
    <row r="311">
      <c r="A311" s="36">
        <f>A310+1</f>
        <v/>
      </c>
      <c r="B311" s="37">
        <f>IF(A311="","",TEXT(A311,"ddd"))</f>
        <v/>
      </c>
      <c r="C311" s="38" t="n"/>
      <c r="D311" s="38" t="n"/>
      <c r="E311" s="38" t="n"/>
      <c r="F311" s="38" t="n"/>
      <c r="G311" s="38" t="n"/>
      <c r="H311" s="38" t="n"/>
      <c r="I311" s="38" t="n"/>
      <c r="J311" s="38" t="n"/>
      <c r="K311" s="38" t="n"/>
      <c r="L311" s="39" t="n"/>
      <c r="M311" s="39" t="n"/>
      <c r="N311" s="38" t="n"/>
      <c r="O311" s="40">
        <f>IF($Q311=0,"",IF(C311&gt;=C$2,1,0)+IF(D311&gt;=D$2,1,0)+IF(E311&gt;=E$2,1,0)+IF(F311&gt;=F$2,1,0))</f>
        <v/>
      </c>
      <c r="P311" s="41" t="n"/>
      <c r="Q311" s="42">
        <f>IF(COUNT(C311:M311)&gt;0,1,0)</f>
        <v/>
      </c>
      <c r="R311" s="42">
        <f>IF(Q311=0,0,R310+1)</f>
        <v/>
      </c>
      <c r="S311" s="42">
        <f>IF(O311="",0,IF(O311=4,S310+1,0))</f>
        <v/>
      </c>
      <c r="T311" s="43">
        <f>IF(Q311=1,A311,"")</f>
        <v/>
      </c>
    </row>
    <row r="312">
      <c r="A312" s="36">
        <f>A311+1</f>
        <v/>
      </c>
      <c r="B312" s="37">
        <f>IF(A312="","",TEXT(A312,"ddd"))</f>
        <v/>
      </c>
      <c r="C312" s="38" t="n"/>
      <c r="D312" s="38" t="n"/>
      <c r="E312" s="38" t="n"/>
      <c r="F312" s="38" t="n"/>
      <c r="G312" s="38" t="n"/>
      <c r="H312" s="38" t="n"/>
      <c r="I312" s="38" t="n"/>
      <c r="J312" s="38" t="n"/>
      <c r="K312" s="38" t="n"/>
      <c r="L312" s="39" t="n"/>
      <c r="M312" s="39" t="n"/>
      <c r="N312" s="38" t="n"/>
      <c r="O312" s="40">
        <f>IF($Q312=0,"",IF(C312&gt;=C$2,1,0)+IF(D312&gt;=D$2,1,0)+IF(E312&gt;=E$2,1,0)+IF(F312&gt;=F$2,1,0))</f>
        <v/>
      </c>
      <c r="P312" s="41" t="n"/>
      <c r="Q312" s="42">
        <f>IF(COUNT(C312:M312)&gt;0,1,0)</f>
        <v/>
      </c>
      <c r="R312" s="42">
        <f>IF(Q312=0,0,R311+1)</f>
        <v/>
      </c>
      <c r="S312" s="42">
        <f>IF(O312="",0,IF(O312=4,S311+1,0))</f>
        <v/>
      </c>
      <c r="T312" s="43">
        <f>IF(Q312=1,A312,"")</f>
        <v/>
      </c>
    </row>
    <row r="313">
      <c r="A313" s="36">
        <f>A312+1</f>
        <v/>
      </c>
      <c r="B313" s="37">
        <f>IF(A313="","",TEXT(A313,"ddd"))</f>
        <v/>
      </c>
      <c r="C313" s="38" t="n"/>
      <c r="D313" s="38" t="n"/>
      <c r="E313" s="38" t="n"/>
      <c r="F313" s="38" t="n"/>
      <c r="G313" s="38" t="n"/>
      <c r="H313" s="38" t="n"/>
      <c r="I313" s="38" t="n"/>
      <c r="J313" s="38" t="n"/>
      <c r="K313" s="38" t="n"/>
      <c r="L313" s="39" t="n"/>
      <c r="M313" s="39" t="n"/>
      <c r="N313" s="38" t="n"/>
      <c r="O313" s="40">
        <f>IF($Q313=0,"",IF(C313&gt;=C$2,1,0)+IF(D313&gt;=D$2,1,0)+IF(E313&gt;=E$2,1,0)+IF(F313&gt;=F$2,1,0))</f>
        <v/>
      </c>
      <c r="P313" s="41" t="n"/>
      <c r="Q313" s="42">
        <f>IF(COUNT(C313:M313)&gt;0,1,0)</f>
        <v/>
      </c>
      <c r="R313" s="42">
        <f>IF(Q313=0,0,R312+1)</f>
        <v/>
      </c>
      <c r="S313" s="42">
        <f>IF(O313="",0,IF(O313=4,S312+1,0))</f>
        <v/>
      </c>
      <c r="T313" s="43">
        <f>IF(Q313=1,A313,"")</f>
        <v/>
      </c>
    </row>
    <row r="314">
      <c r="A314" s="36">
        <f>A313+1</f>
        <v/>
      </c>
      <c r="B314" s="37">
        <f>IF(A314="","",TEXT(A314,"ddd"))</f>
        <v/>
      </c>
      <c r="C314" s="38" t="n"/>
      <c r="D314" s="38" t="n"/>
      <c r="E314" s="38" t="n"/>
      <c r="F314" s="38" t="n"/>
      <c r="G314" s="38" t="n"/>
      <c r="H314" s="38" t="n"/>
      <c r="I314" s="38" t="n"/>
      <c r="J314" s="38" t="n"/>
      <c r="K314" s="38" t="n"/>
      <c r="L314" s="39" t="n"/>
      <c r="M314" s="39" t="n"/>
      <c r="N314" s="38" t="n"/>
      <c r="O314" s="40">
        <f>IF($Q314=0,"",IF(C314&gt;=C$2,1,0)+IF(D314&gt;=D$2,1,0)+IF(E314&gt;=E$2,1,0)+IF(F314&gt;=F$2,1,0))</f>
        <v/>
      </c>
      <c r="P314" s="41" t="n"/>
      <c r="Q314" s="42">
        <f>IF(COUNT(C314:M314)&gt;0,1,0)</f>
        <v/>
      </c>
      <c r="R314" s="42">
        <f>IF(Q314=0,0,R313+1)</f>
        <v/>
      </c>
      <c r="S314" s="42">
        <f>IF(O314="",0,IF(O314=4,S313+1,0))</f>
        <v/>
      </c>
      <c r="T314" s="43">
        <f>IF(Q314=1,A314,"")</f>
        <v/>
      </c>
    </row>
    <row r="315">
      <c r="A315" s="36">
        <f>A314+1</f>
        <v/>
      </c>
      <c r="B315" s="37">
        <f>IF(A315="","",TEXT(A315,"ddd"))</f>
        <v/>
      </c>
      <c r="C315" s="38" t="n"/>
      <c r="D315" s="38" t="n"/>
      <c r="E315" s="38" t="n"/>
      <c r="F315" s="38" t="n"/>
      <c r="G315" s="38" t="n"/>
      <c r="H315" s="38" t="n"/>
      <c r="I315" s="38" t="n"/>
      <c r="J315" s="38" t="n"/>
      <c r="K315" s="38" t="n"/>
      <c r="L315" s="39" t="n"/>
      <c r="M315" s="39" t="n"/>
      <c r="N315" s="38" t="n"/>
      <c r="O315" s="40">
        <f>IF($Q315=0,"",IF(C315&gt;=C$2,1,0)+IF(D315&gt;=D$2,1,0)+IF(E315&gt;=E$2,1,0)+IF(F315&gt;=F$2,1,0))</f>
        <v/>
      </c>
      <c r="P315" s="41" t="n"/>
      <c r="Q315" s="42">
        <f>IF(COUNT(C315:M315)&gt;0,1,0)</f>
        <v/>
      </c>
      <c r="R315" s="42">
        <f>IF(Q315=0,0,R314+1)</f>
        <v/>
      </c>
      <c r="S315" s="42">
        <f>IF(O315="",0,IF(O315=4,S314+1,0))</f>
        <v/>
      </c>
      <c r="T315" s="43">
        <f>IF(Q315=1,A315,"")</f>
        <v/>
      </c>
    </row>
    <row r="316">
      <c r="A316" s="36">
        <f>A315+1</f>
        <v/>
      </c>
      <c r="B316" s="37">
        <f>IF(A316="","",TEXT(A316,"ddd"))</f>
        <v/>
      </c>
      <c r="C316" s="38" t="n"/>
      <c r="D316" s="38" t="n"/>
      <c r="E316" s="38" t="n"/>
      <c r="F316" s="38" t="n"/>
      <c r="G316" s="38" t="n"/>
      <c r="H316" s="38" t="n"/>
      <c r="I316" s="38" t="n"/>
      <c r="J316" s="38" t="n"/>
      <c r="K316" s="38" t="n"/>
      <c r="L316" s="39" t="n"/>
      <c r="M316" s="39" t="n"/>
      <c r="N316" s="38" t="n"/>
      <c r="O316" s="40">
        <f>IF($Q316=0,"",IF(C316&gt;=C$2,1,0)+IF(D316&gt;=D$2,1,0)+IF(E316&gt;=E$2,1,0)+IF(F316&gt;=F$2,1,0))</f>
        <v/>
      </c>
      <c r="P316" s="41" t="n"/>
      <c r="Q316" s="42">
        <f>IF(COUNT(C316:M316)&gt;0,1,0)</f>
        <v/>
      </c>
      <c r="R316" s="42">
        <f>IF(Q316=0,0,R315+1)</f>
        <v/>
      </c>
      <c r="S316" s="42">
        <f>IF(O316="",0,IF(O316=4,S315+1,0))</f>
        <v/>
      </c>
      <c r="T316" s="43">
        <f>IF(Q316=1,A316,"")</f>
        <v/>
      </c>
    </row>
    <row r="317">
      <c r="A317" s="36">
        <f>A316+1</f>
        <v/>
      </c>
      <c r="B317" s="37">
        <f>IF(A317="","",TEXT(A317,"ddd"))</f>
        <v/>
      </c>
      <c r="C317" s="38" t="n"/>
      <c r="D317" s="38" t="n"/>
      <c r="E317" s="38" t="n"/>
      <c r="F317" s="38" t="n"/>
      <c r="G317" s="38" t="n"/>
      <c r="H317" s="38" t="n"/>
      <c r="I317" s="38" t="n"/>
      <c r="J317" s="38" t="n"/>
      <c r="K317" s="38" t="n"/>
      <c r="L317" s="39" t="n"/>
      <c r="M317" s="39" t="n"/>
      <c r="N317" s="38" t="n"/>
      <c r="O317" s="40">
        <f>IF($Q317=0,"",IF(C317&gt;=C$2,1,0)+IF(D317&gt;=D$2,1,0)+IF(E317&gt;=E$2,1,0)+IF(F317&gt;=F$2,1,0))</f>
        <v/>
      </c>
      <c r="P317" s="41" t="n"/>
      <c r="Q317" s="42">
        <f>IF(COUNT(C317:M317)&gt;0,1,0)</f>
        <v/>
      </c>
      <c r="R317" s="42">
        <f>IF(Q317=0,0,R316+1)</f>
        <v/>
      </c>
      <c r="S317" s="42">
        <f>IF(O317="",0,IF(O317=4,S316+1,0))</f>
        <v/>
      </c>
      <c r="T317" s="43">
        <f>IF(Q317=1,A317,"")</f>
        <v/>
      </c>
    </row>
    <row r="318">
      <c r="A318" s="36">
        <f>A317+1</f>
        <v/>
      </c>
      <c r="B318" s="37">
        <f>IF(A318="","",TEXT(A318,"ddd"))</f>
        <v/>
      </c>
      <c r="C318" s="38" t="n"/>
      <c r="D318" s="38" t="n"/>
      <c r="E318" s="38" t="n"/>
      <c r="F318" s="38" t="n"/>
      <c r="G318" s="38" t="n"/>
      <c r="H318" s="38" t="n"/>
      <c r="I318" s="38" t="n"/>
      <c r="J318" s="38" t="n"/>
      <c r="K318" s="38" t="n"/>
      <c r="L318" s="39" t="n"/>
      <c r="M318" s="39" t="n"/>
      <c r="N318" s="38" t="n"/>
      <c r="O318" s="40">
        <f>IF($Q318=0,"",IF(C318&gt;=C$2,1,0)+IF(D318&gt;=D$2,1,0)+IF(E318&gt;=E$2,1,0)+IF(F318&gt;=F$2,1,0))</f>
        <v/>
      </c>
      <c r="P318" s="41" t="n"/>
      <c r="Q318" s="42">
        <f>IF(COUNT(C318:M318)&gt;0,1,0)</f>
        <v/>
      </c>
      <c r="R318" s="42">
        <f>IF(Q318=0,0,R317+1)</f>
        <v/>
      </c>
      <c r="S318" s="42">
        <f>IF(O318="",0,IF(O318=4,S317+1,0))</f>
        <v/>
      </c>
      <c r="T318" s="43">
        <f>IF(Q318=1,A318,"")</f>
        <v/>
      </c>
    </row>
    <row r="319">
      <c r="A319" s="36">
        <f>A318+1</f>
        <v/>
      </c>
      <c r="B319" s="37">
        <f>IF(A319="","",TEXT(A319,"ddd"))</f>
        <v/>
      </c>
      <c r="C319" s="38" t="n"/>
      <c r="D319" s="38" t="n"/>
      <c r="E319" s="38" t="n"/>
      <c r="F319" s="38" t="n"/>
      <c r="G319" s="38" t="n"/>
      <c r="H319" s="38" t="n"/>
      <c r="I319" s="38" t="n"/>
      <c r="J319" s="38" t="n"/>
      <c r="K319" s="38" t="n"/>
      <c r="L319" s="39" t="n"/>
      <c r="M319" s="39" t="n"/>
      <c r="N319" s="38" t="n"/>
      <c r="O319" s="40">
        <f>IF($Q319=0,"",IF(C319&gt;=C$2,1,0)+IF(D319&gt;=D$2,1,0)+IF(E319&gt;=E$2,1,0)+IF(F319&gt;=F$2,1,0))</f>
        <v/>
      </c>
      <c r="P319" s="41" t="n"/>
      <c r="Q319" s="42">
        <f>IF(COUNT(C319:M319)&gt;0,1,0)</f>
        <v/>
      </c>
      <c r="R319" s="42">
        <f>IF(Q319=0,0,R318+1)</f>
        <v/>
      </c>
      <c r="S319" s="42">
        <f>IF(O319="",0,IF(O319=4,S318+1,0))</f>
        <v/>
      </c>
      <c r="T319" s="43">
        <f>IF(Q319=1,A319,"")</f>
        <v/>
      </c>
    </row>
    <row r="320">
      <c r="A320" s="36">
        <f>A319+1</f>
        <v/>
      </c>
      <c r="B320" s="37">
        <f>IF(A320="","",TEXT(A320,"ddd"))</f>
        <v/>
      </c>
      <c r="C320" s="38" t="n"/>
      <c r="D320" s="38" t="n"/>
      <c r="E320" s="38" t="n"/>
      <c r="F320" s="38" t="n"/>
      <c r="G320" s="38" t="n"/>
      <c r="H320" s="38" t="n"/>
      <c r="I320" s="38" t="n"/>
      <c r="J320" s="38" t="n"/>
      <c r="K320" s="38" t="n"/>
      <c r="L320" s="39" t="n"/>
      <c r="M320" s="39" t="n"/>
      <c r="N320" s="38" t="n"/>
      <c r="O320" s="40">
        <f>IF($Q320=0,"",IF(C320&gt;=C$2,1,0)+IF(D320&gt;=D$2,1,0)+IF(E320&gt;=E$2,1,0)+IF(F320&gt;=F$2,1,0))</f>
        <v/>
      </c>
      <c r="P320" s="41" t="n"/>
      <c r="Q320" s="42">
        <f>IF(COUNT(C320:M320)&gt;0,1,0)</f>
        <v/>
      </c>
      <c r="R320" s="42">
        <f>IF(Q320=0,0,R319+1)</f>
        <v/>
      </c>
      <c r="S320" s="42">
        <f>IF(O320="",0,IF(O320=4,S319+1,0))</f>
        <v/>
      </c>
      <c r="T320" s="43">
        <f>IF(Q320=1,A320,"")</f>
        <v/>
      </c>
    </row>
    <row r="321">
      <c r="A321" s="36">
        <f>A320+1</f>
        <v/>
      </c>
      <c r="B321" s="37">
        <f>IF(A321="","",TEXT(A321,"ddd"))</f>
        <v/>
      </c>
      <c r="C321" s="38" t="n"/>
      <c r="D321" s="38" t="n"/>
      <c r="E321" s="38" t="n"/>
      <c r="F321" s="38" t="n"/>
      <c r="G321" s="38" t="n"/>
      <c r="H321" s="38" t="n"/>
      <c r="I321" s="38" t="n"/>
      <c r="J321" s="38" t="n"/>
      <c r="K321" s="38" t="n"/>
      <c r="L321" s="39" t="n"/>
      <c r="M321" s="39" t="n"/>
      <c r="N321" s="38" t="n"/>
      <c r="O321" s="40">
        <f>IF($Q321=0,"",IF(C321&gt;=C$2,1,0)+IF(D321&gt;=D$2,1,0)+IF(E321&gt;=E$2,1,0)+IF(F321&gt;=F$2,1,0))</f>
        <v/>
      </c>
      <c r="P321" s="41" t="n"/>
      <c r="Q321" s="42">
        <f>IF(COUNT(C321:M321)&gt;0,1,0)</f>
        <v/>
      </c>
      <c r="R321" s="42">
        <f>IF(Q321=0,0,R320+1)</f>
        <v/>
      </c>
      <c r="S321" s="42">
        <f>IF(O321="",0,IF(O321=4,S320+1,0))</f>
        <v/>
      </c>
      <c r="T321" s="43">
        <f>IF(Q321=1,A321,"")</f>
        <v/>
      </c>
    </row>
    <row r="322">
      <c r="A322" s="36">
        <f>A321+1</f>
        <v/>
      </c>
      <c r="B322" s="37">
        <f>IF(A322="","",TEXT(A322,"ddd"))</f>
        <v/>
      </c>
      <c r="C322" s="38" t="n"/>
      <c r="D322" s="38" t="n"/>
      <c r="E322" s="38" t="n"/>
      <c r="F322" s="38" t="n"/>
      <c r="G322" s="38" t="n"/>
      <c r="H322" s="38" t="n"/>
      <c r="I322" s="38" t="n"/>
      <c r="J322" s="38" t="n"/>
      <c r="K322" s="38" t="n"/>
      <c r="L322" s="39" t="n"/>
      <c r="M322" s="39" t="n"/>
      <c r="N322" s="38" t="n"/>
      <c r="O322" s="40">
        <f>IF($Q322=0,"",IF(C322&gt;=C$2,1,0)+IF(D322&gt;=D$2,1,0)+IF(E322&gt;=E$2,1,0)+IF(F322&gt;=F$2,1,0))</f>
        <v/>
      </c>
      <c r="P322" s="41" t="n"/>
      <c r="Q322" s="42">
        <f>IF(COUNT(C322:M322)&gt;0,1,0)</f>
        <v/>
      </c>
      <c r="R322" s="42">
        <f>IF(Q322=0,0,R321+1)</f>
        <v/>
      </c>
      <c r="S322" s="42">
        <f>IF(O322="",0,IF(O322=4,S321+1,0))</f>
        <v/>
      </c>
      <c r="T322" s="43">
        <f>IF(Q322=1,A322,"")</f>
        <v/>
      </c>
    </row>
    <row r="323">
      <c r="A323" s="36">
        <f>A322+1</f>
        <v/>
      </c>
      <c r="B323" s="37">
        <f>IF(A323="","",TEXT(A323,"ddd"))</f>
        <v/>
      </c>
      <c r="C323" s="38" t="n"/>
      <c r="D323" s="38" t="n"/>
      <c r="E323" s="38" t="n"/>
      <c r="F323" s="38" t="n"/>
      <c r="G323" s="38" t="n"/>
      <c r="H323" s="38" t="n"/>
      <c r="I323" s="38" t="n"/>
      <c r="J323" s="38" t="n"/>
      <c r="K323" s="38" t="n"/>
      <c r="L323" s="39" t="n"/>
      <c r="M323" s="39" t="n"/>
      <c r="N323" s="38" t="n"/>
      <c r="O323" s="40">
        <f>IF($Q323=0,"",IF(C323&gt;=C$2,1,0)+IF(D323&gt;=D$2,1,0)+IF(E323&gt;=E$2,1,0)+IF(F323&gt;=F$2,1,0))</f>
        <v/>
      </c>
      <c r="P323" s="41" t="n"/>
      <c r="Q323" s="42">
        <f>IF(COUNT(C323:M323)&gt;0,1,0)</f>
        <v/>
      </c>
      <c r="R323" s="42">
        <f>IF(Q323=0,0,R322+1)</f>
        <v/>
      </c>
      <c r="S323" s="42">
        <f>IF(O323="",0,IF(O323=4,S322+1,0))</f>
        <v/>
      </c>
      <c r="T323" s="43">
        <f>IF(Q323=1,A323,"")</f>
        <v/>
      </c>
    </row>
    <row r="324">
      <c r="A324" s="36">
        <f>A323+1</f>
        <v/>
      </c>
      <c r="B324" s="37">
        <f>IF(A324="","",TEXT(A324,"ddd"))</f>
        <v/>
      </c>
      <c r="C324" s="38" t="n"/>
      <c r="D324" s="38" t="n"/>
      <c r="E324" s="38" t="n"/>
      <c r="F324" s="38" t="n"/>
      <c r="G324" s="38" t="n"/>
      <c r="H324" s="38" t="n"/>
      <c r="I324" s="38" t="n"/>
      <c r="J324" s="38" t="n"/>
      <c r="K324" s="38" t="n"/>
      <c r="L324" s="39" t="n"/>
      <c r="M324" s="39" t="n"/>
      <c r="N324" s="38" t="n"/>
      <c r="O324" s="40">
        <f>IF($Q324=0,"",IF(C324&gt;=C$2,1,0)+IF(D324&gt;=D$2,1,0)+IF(E324&gt;=E$2,1,0)+IF(F324&gt;=F$2,1,0))</f>
        <v/>
      </c>
      <c r="P324" s="41" t="n"/>
      <c r="Q324" s="42">
        <f>IF(COUNT(C324:M324)&gt;0,1,0)</f>
        <v/>
      </c>
      <c r="R324" s="42">
        <f>IF(Q324=0,0,R323+1)</f>
        <v/>
      </c>
      <c r="S324" s="42">
        <f>IF(O324="",0,IF(O324=4,S323+1,0))</f>
        <v/>
      </c>
      <c r="T324" s="43">
        <f>IF(Q324=1,A324,"")</f>
        <v/>
      </c>
    </row>
    <row r="325">
      <c r="A325" s="36">
        <f>A324+1</f>
        <v/>
      </c>
      <c r="B325" s="37">
        <f>IF(A325="","",TEXT(A325,"ddd"))</f>
        <v/>
      </c>
      <c r="C325" s="38" t="n"/>
      <c r="D325" s="38" t="n"/>
      <c r="E325" s="38" t="n"/>
      <c r="F325" s="38" t="n"/>
      <c r="G325" s="38" t="n"/>
      <c r="H325" s="38" t="n"/>
      <c r="I325" s="38" t="n"/>
      <c r="J325" s="38" t="n"/>
      <c r="K325" s="38" t="n"/>
      <c r="L325" s="39" t="n"/>
      <c r="M325" s="39" t="n"/>
      <c r="N325" s="38" t="n"/>
      <c r="O325" s="40">
        <f>IF($Q325=0,"",IF(C325&gt;=C$2,1,0)+IF(D325&gt;=D$2,1,0)+IF(E325&gt;=E$2,1,0)+IF(F325&gt;=F$2,1,0))</f>
        <v/>
      </c>
      <c r="P325" s="41" t="n"/>
      <c r="Q325" s="42">
        <f>IF(COUNT(C325:M325)&gt;0,1,0)</f>
        <v/>
      </c>
      <c r="R325" s="42">
        <f>IF(Q325=0,0,R324+1)</f>
        <v/>
      </c>
      <c r="S325" s="42">
        <f>IF(O325="",0,IF(O325=4,S324+1,0))</f>
        <v/>
      </c>
      <c r="T325" s="43">
        <f>IF(Q325=1,A325,"")</f>
        <v/>
      </c>
    </row>
    <row r="326">
      <c r="A326" s="36">
        <f>A325+1</f>
        <v/>
      </c>
      <c r="B326" s="37">
        <f>IF(A326="","",TEXT(A326,"ddd"))</f>
        <v/>
      </c>
      <c r="C326" s="38" t="n"/>
      <c r="D326" s="38" t="n"/>
      <c r="E326" s="38" t="n"/>
      <c r="F326" s="38" t="n"/>
      <c r="G326" s="38" t="n"/>
      <c r="H326" s="38" t="n"/>
      <c r="I326" s="38" t="n"/>
      <c r="J326" s="38" t="n"/>
      <c r="K326" s="38" t="n"/>
      <c r="L326" s="39" t="n"/>
      <c r="M326" s="39" t="n"/>
      <c r="N326" s="38" t="n"/>
      <c r="O326" s="40">
        <f>IF($Q326=0,"",IF(C326&gt;=C$2,1,0)+IF(D326&gt;=D$2,1,0)+IF(E326&gt;=E$2,1,0)+IF(F326&gt;=F$2,1,0))</f>
        <v/>
      </c>
      <c r="P326" s="41" t="n"/>
      <c r="Q326" s="42">
        <f>IF(COUNT(C326:M326)&gt;0,1,0)</f>
        <v/>
      </c>
      <c r="R326" s="42">
        <f>IF(Q326=0,0,R325+1)</f>
        <v/>
      </c>
      <c r="S326" s="42">
        <f>IF(O326="",0,IF(O326=4,S325+1,0))</f>
        <v/>
      </c>
      <c r="T326" s="43">
        <f>IF(Q326=1,A326,"")</f>
        <v/>
      </c>
    </row>
    <row r="327">
      <c r="A327" s="36">
        <f>A326+1</f>
        <v/>
      </c>
      <c r="B327" s="37">
        <f>IF(A327="","",TEXT(A327,"ddd"))</f>
        <v/>
      </c>
      <c r="C327" s="38" t="n"/>
      <c r="D327" s="38" t="n"/>
      <c r="E327" s="38" t="n"/>
      <c r="F327" s="38" t="n"/>
      <c r="G327" s="38" t="n"/>
      <c r="H327" s="38" t="n"/>
      <c r="I327" s="38" t="n"/>
      <c r="J327" s="38" t="n"/>
      <c r="K327" s="38" t="n"/>
      <c r="L327" s="39" t="n"/>
      <c r="M327" s="39" t="n"/>
      <c r="N327" s="38" t="n"/>
      <c r="O327" s="40">
        <f>IF($Q327=0,"",IF(C327&gt;=C$2,1,0)+IF(D327&gt;=D$2,1,0)+IF(E327&gt;=E$2,1,0)+IF(F327&gt;=F$2,1,0))</f>
        <v/>
      </c>
      <c r="P327" s="41" t="n"/>
      <c r="Q327" s="42">
        <f>IF(COUNT(C327:M327)&gt;0,1,0)</f>
        <v/>
      </c>
      <c r="R327" s="42">
        <f>IF(Q327=0,0,R326+1)</f>
        <v/>
      </c>
      <c r="S327" s="42">
        <f>IF(O327="",0,IF(O327=4,S326+1,0))</f>
        <v/>
      </c>
      <c r="T327" s="43">
        <f>IF(Q327=1,A327,"")</f>
        <v/>
      </c>
    </row>
    <row r="328">
      <c r="A328" s="36">
        <f>A327+1</f>
        <v/>
      </c>
      <c r="B328" s="37">
        <f>IF(A328="","",TEXT(A328,"ddd"))</f>
        <v/>
      </c>
      <c r="C328" s="38" t="n"/>
      <c r="D328" s="38" t="n"/>
      <c r="E328" s="38" t="n"/>
      <c r="F328" s="38" t="n"/>
      <c r="G328" s="38" t="n"/>
      <c r="H328" s="38" t="n"/>
      <c r="I328" s="38" t="n"/>
      <c r="J328" s="38" t="n"/>
      <c r="K328" s="38" t="n"/>
      <c r="L328" s="39" t="n"/>
      <c r="M328" s="39" t="n"/>
      <c r="N328" s="38" t="n"/>
      <c r="O328" s="40">
        <f>IF($Q328=0,"",IF(C328&gt;=C$2,1,0)+IF(D328&gt;=D$2,1,0)+IF(E328&gt;=E$2,1,0)+IF(F328&gt;=F$2,1,0))</f>
        <v/>
      </c>
      <c r="P328" s="41" t="n"/>
      <c r="Q328" s="42">
        <f>IF(COUNT(C328:M328)&gt;0,1,0)</f>
        <v/>
      </c>
      <c r="R328" s="42">
        <f>IF(Q328=0,0,R327+1)</f>
        <v/>
      </c>
      <c r="S328" s="42">
        <f>IF(O328="",0,IF(O328=4,S327+1,0))</f>
        <v/>
      </c>
      <c r="T328" s="43">
        <f>IF(Q328=1,A328,"")</f>
        <v/>
      </c>
    </row>
    <row r="329">
      <c r="A329" s="36">
        <f>A328+1</f>
        <v/>
      </c>
      <c r="B329" s="37">
        <f>IF(A329="","",TEXT(A329,"ddd"))</f>
        <v/>
      </c>
      <c r="C329" s="38" t="n"/>
      <c r="D329" s="38" t="n"/>
      <c r="E329" s="38" t="n"/>
      <c r="F329" s="38" t="n"/>
      <c r="G329" s="38" t="n"/>
      <c r="H329" s="38" t="n"/>
      <c r="I329" s="38" t="n"/>
      <c r="J329" s="38" t="n"/>
      <c r="K329" s="38" t="n"/>
      <c r="L329" s="39" t="n"/>
      <c r="M329" s="39" t="n"/>
      <c r="N329" s="38" t="n"/>
      <c r="O329" s="40">
        <f>IF($Q329=0,"",IF(C329&gt;=C$2,1,0)+IF(D329&gt;=D$2,1,0)+IF(E329&gt;=E$2,1,0)+IF(F329&gt;=F$2,1,0))</f>
        <v/>
      </c>
      <c r="P329" s="41" t="n"/>
      <c r="Q329" s="42">
        <f>IF(COUNT(C329:M329)&gt;0,1,0)</f>
        <v/>
      </c>
      <c r="R329" s="42">
        <f>IF(Q329=0,0,R328+1)</f>
        <v/>
      </c>
      <c r="S329" s="42">
        <f>IF(O329="",0,IF(O329=4,S328+1,0))</f>
        <v/>
      </c>
      <c r="T329" s="43">
        <f>IF(Q329=1,A329,"")</f>
        <v/>
      </c>
    </row>
    <row r="330">
      <c r="A330" s="36">
        <f>A329+1</f>
        <v/>
      </c>
      <c r="B330" s="37">
        <f>IF(A330="","",TEXT(A330,"ddd"))</f>
        <v/>
      </c>
      <c r="C330" s="38" t="n"/>
      <c r="D330" s="38" t="n"/>
      <c r="E330" s="38" t="n"/>
      <c r="F330" s="38" t="n"/>
      <c r="G330" s="38" t="n"/>
      <c r="H330" s="38" t="n"/>
      <c r="I330" s="38" t="n"/>
      <c r="J330" s="38" t="n"/>
      <c r="K330" s="38" t="n"/>
      <c r="L330" s="39" t="n"/>
      <c r="M330" s="39" t="n"/>
      <c r="N330" s="38" t="n"/>
      <c r="O330" s="40">
        <f>IF($Q330=0,"",IF(C330&gt;=C$2,1,0)+IF(D330&gt;=D$2,1,0)+IF(E330&gt;=E$2,1,0)+IF(F330&gt;=F$2,1,0))</f>
        <v/>
      </c>
      <c r="P330" s="41" t="n"/>
      <c r="Q330" s="42">
        <f>IF(COUNT(C330:M330)&gt;0,1,0)</f>
        <v/>
      </c>
      <c r="R330" s="42">
        <f>IF(Q330=0,0,R329+1)</f>
        <v/>
      </c>
      <c r="S330" s="42">
        <f>IF(O330="",0,IF(O330=4,S329+1,0))</f>
        <v/>
      </c>
      <c r="T330" s="43">
        <f>IF(Q330=1,A330,"")</f>
        <v/>
      </c>
    </row>
    <row r="331">
      <c r="A331" s="36">
        <f>A330+1</f>
        <v/>
      </c>
      <c r="B331" s="37">
        <f>IF(A331="","",TEXT(A331,"ddd"))</f>
        <v/>
      </c>
      <c r="C331" s="38" t="n"/>
      <c r="D331" s="38" t="n"/>
      <c r="E331" s="38" t="n"/>
      <c r="F331" s="38" t="n"/>
      <c r="G331" s="38" t="n"/>
      <c r="H331" s="38" t="n"/>
      <c r="I331" s="38" t="n"/>
      <c r="J331" s="38" t="n"/>
      <c r="K331" s="38" t="n"/>
      <c r="L331" s="39" t="n"/>
      <c r="M331" s="39" t="n"/>
      <c r="N331" s="38" t="n"/>
      <c r="O331" s="40">
        <f>IF($Q331=0,"",IF(C331&gt;=C$2,1,0)+IF(D331&gt;=D$2,1,0)+IF(E331&gt;=E$2,1,0)+IF(F331&gt;=F$2,1,0))</f>
        <v/>
      </c>
      <c r="P331" s="41" t="n"/>
      <c r="Q331" s="42">
        <f>IF(COUNT(C331:M331)&gt;0,1,0)</f>
        <v/>
      </c>
      <c r="R331" s="42">
        <f>IF(Q331=0,0,R330+1)</f>
        <v/>
      </c>
      <c r="S331" s="42">
        <f>IF(O331="",0,IF(O331=4,S330+1,0))</f>
        <v/>
      </c>
      <c r="T331" s="43">
        <f>IF(Q331=1,A331,"")</f>
        <v/>
      </c>
    </row>
    <row r="332">
      <c r="A332" s="36">
        <f>A331+1</f>
        <v/>
      </c>
      <c r="B332" s="37">
        <f>IF(A332="","",TEXT(A332,"ddd"))</f>
        <v/>
      </c>
      <c r="C332" s="38" t="n"/>
      <c r="D332" s="38" t="n"/>
      <c r="E332" s="38" t="n"/>
      <c r="F332" s="38" t="n"/>
      <c r="G332" s="38" t="n"/>
      <c r="H332" s="38" t="n"/>
      <c r="I332" s="38" t="n"/>
      <c r="J332" s="38" t="n"/>
      <c r="K332" s="38" t="n"/>
      <c r="L332" s="39" t="n"/>
      <c r="M332" s="39" t="n"/>
      <c r="N332" s="38" t="n"/>
      <c r="O332" s="40">
        <f>IF($Q332=0,"",IF(C332&gt;=C$2,1,0)+IF(D332&gt;=D$2,1,0)+IF(E332&gt;=E$2,1,0)+IF(F332&gt;=F$2,1,0))</f>
        <v/>
      </c>
      <c r="P332" s="41" t="n"/>
      <c r="Q332" s="42">
        <f>IF(COUNT(C332:M332)&gt;0,1,0)</f>
        <v/>
      </c>
      <c r="R332" s="42">
        <f>IF(Q332=0,0,R331+1)</f>
        <v/>
      </c>
      <c r="S332" s="42">
        <f>IF(O332="",0,IF(O332=4,S331+1,0))</f>
        <v/>
      </c>
      <c r="T332" s="43">
        <f>IF(Q332=1,A332,"")</f>
        <v/>
      </c>
    </row>
    <row r="333">
      <c r="A333" s="36">
        <f>A332+1</f>
        <v/>
      </c>
      <c r="B333" s="37">
        <f>IF(A333="","",TEXT(A333,"ddd"))</f>
        <v/>
      </c>
      <c r="C333" s="38" t="n"/>
      <c r="D333" s="38" t="n"/>
      <c r="E333" s="38" t="n"/>
      <c r="F333" s="38" t="n"/>
      <c r="G333" s="38" t="n"/>
      <c r="H333" s="38" t="n"/>
      <c r="I333" s="38" t="n"/>
      <c r="J333" s="38" t="n"/>
      <c r="K333" s="38" t="n"/>
      <c r="L333" s="39" t="n"/>
      <c r="M333" s="39" t="n"/>
      <c r="N333" s="38" t="n"/>
      <c r="O333" s="40">
        <f>IF($Q333=0,"",IF(C333&gt;=C$2,1,0)+IF(D333&gt;=D$2,1,0)+IF(E333&gt;=E$2,1,0)+IF(F333&gt;=F$2,1,0))</f>
        <v/>
      </c>
      <c r="P333" s="41" t="n"/>
      <c r="Q333" s="42">
        <f>IF(COUNT(C333:M333)&gt;0,1,0)</f>
        <v/>
      </c>
      <c r="R333" s="42">
        <f>IF(Q333=0,0,R332+1)</f>
        <v/>
      </c>
      <c r="S333" s="42">
        <f>IF(O333="",0,IF(O333=4,S332+1,0))</f>
        <v/>
      </c>
      <c r="T333" s="43">
        <f>IF(Q333=1,A333,"")</f>
        <v/>
      </c>
    </row>
    <row r="334">
      <c r="A334" s="36">
        <f>A333+1</f>
        <v/>
      </c>
      <c r="B334" s="37">
        <f>IF(A334="","",TEXT(A334,"ddd"))</f>
        <v/>
      </c>
      <c r="C334" s="38" t="n"/>
      <c r="D334" s="38" t="n"/>
      <c r="E334" s="38" t="n"/>
      <c r="F334" s="38" t="n"/>
      <c r="G334" s="38" t="n"/>
      <c r="H334" s="38" t="n"/>
      <c r="I334" s="38" t="n"/>
      <c r="J334" s="38" t="n"/>
      <c r="K334" s="38" t="n"/>
      <c r="L334" s="39" t="n"/>
      <c r="M334" s="39" t="n"/>
      <c r="N334" s="38" t="n"/>
      <c r="O334" s="40">
        <f>IF($Q334=0,"",IF(C334&gt;=C$2,1,0)+IF(D334&gt;=D$2,1,0)+IF(E334&gt;=E$2,1,0)+IF(F334&gt;=F$2,1,0))</f>
        <v/>
      </c>
      <c r="P334" s="41" t="n"/>
      <c r="Q334" s="42">
        <f>IF(COUNT(C334:M334)&gt;0,1,0)</f>
        <v/>
      </c>
      <c r="R334" s="42">
        <f>IF(Q334=0,0,R333+1)</f>
        <v/>
      </c>
      <c r="S334" s="42">
        <f>IF(O334="",0,IF(O334=4,S333+1,0))</f>
        <v/>
      </c>
      <c r="T334" s="43">
        <f>IF(Q334=1,A334,"")</f>
        <v/>
      </c>
    </row>
    <row r="335">
      <c r="A335" s="36">
        <f>A334+1</f>
        <v/>
      </c>
      <c r="B335" s="37">
        <f>IF(A335="","",TEXT(A335,"ddd"))</f>
        <v/>
      </c>
      <c r="C335" s="38" t="n"/>
      <c r="D335" s="38" t="n"/>
      <c r="E335" s="38" t="n"/>
      <c r="F335" s="38" t="n"/>
      <c r="G335" s="38" t="n"/>
      <c r="H335" s="38" t="n"/>
      <c r="I335" s="38" t="n"/>
      <c r="J335" s="38" t="n"/>
      <c r="K335" s="38" t="n"/>
      <c r="L335" s="39" t="n"/>
      <c r="M335" s="39" t="n"/>
      <c r="N335" s="38" t="n"/>
      <c r="O335" s="40">
        <f>IF($Q335=0,"",IF(C335&gt;=C$2,1,0)+IF(D335&gt;=D$2,1,0)+IF(E335&gt;=E$2,1,0)+IF(F335&gt;=F$2,1,0))</f>
        <v/>
      </c>
      <c r="P335" s="41" t="n"/>
      <c r="Q335" s="42">
        <f>IF(COUNT(C335:M335)&gt;0,1,0)</f>
        <v/>
      </c>
      <c r="R335" s="42">
        <f>IF(Q335=0,0,R334+1)</f>
        <v/>
      </c>
      <c r="S335" s="42">
        <f>IF(O335="",0,IF(O335=4,S334+1,0))</f>
        <v/>
      </c>
      <c r="T335" s="43">
        <f>IF(Q335=1,A335,"")</f>
        <v/>
      </c>
    </row>
    <row r="336">
      <c r="A336" s="36">
        <f>A335+1</f>
        <v/>
      </c>
      <c r="B336" s="37">
        <f>IF(A336="","",TEXT(A336,"ddd"))</f>
        <v/>
      </c>
      <c r="C336" s="38" t="n"/>
      <c r="D336" s="38" t="n"/>
      <c r="E336" s="38" t="n"/>
      <c r="F336" s="38" t="n"/>
      <c r="G336" s="38" t="n"/>
      <c r="H336" s="38" t="n"/>
      <c r="I336" s="38" t="n"/>
      <c r="J336" s="38" t="n"/>
      <c r="K336" s="38" t="n"/>
      <c r="L336" s="39" t="n"/>
      <c r="M336" s="39" t="n"/>
      <c r="N336" s="38" t="n"/>
      <c r="O336" s="40">
        <f>IF($Q336=0,"",IF(C336&gt;=C$2,1,0)+IF(D336&gt;=D$2,1,0)+IF(E336&gt;=E$2,1,0)+IF(F336&gt;=F$2,1,0))</f>
        <v/>
      </c>
      <c r="P336" s="41" t="n"/>
      <c r="Q336" s="42">
        <f>IF(COUNT(C336:M336)&gt;0,1,0)</f>
        <v/>
      </c>
      <c r="R336" s="42">
        <f>IF(Q336=0,0,R335+1)</f>
        <v/>
      </c>
      <c r="S336" s="42">
        <f>IF(O336="",0,IF(O336=4,S335+1,0))</f>
        <v/>
      </c>
      <c r="T336" s="43">
        <f>IF(Q336=1,A336,"")</f>
        <v/>
      </c>
    </row>
    <row r="337">
      <c r="A337" s="36">
        <f>A336+1</f>
        <v/>
      </c>
      <c r="B337" s="37">
        <f>IF(A337="","",TEXT(A337,"ddd"))</f>
        <v/>
      </c>
      <c r="C337" s="38" t="n"/>
      <c r="D337" s="38" t="n"/>
      <c r="E337" s="38" t="n"/>
      <c r="F337" s="38" t="n"/>
      <c r="G337" s="38" t="n"/>
      <c r="H337" s="38" t="n"/>
      <c r="I337" s="38" t="n"/>
      <c r="J337" s="38" t="n"/>
      <c r="K337" s="38" t="n"/>
      <c r="L337" s="39" t="n"/>
      <c r="M337" s="39" t="n"/>
      <c r="N337" s="38" t="n"/>
      <c r="O337" s="40">
        <f>IF($Q337=0,"",IF(C337&gt;=C$2,1,0)+IF(D337&gt;=D$2,1,0)+IF(E337&gt;=E$2,1,0)+IF(F337&gt;=F$2,1,0))</f>
        <v/>
      </c>
      <c r="P337" s="41" t="n"/>
      <c r="Q337" s="42">
        <f>IF(COUNT(C337:M337)&gt;0,1,0)</f>
        <v/>
      </c>
      <c r="R337" s="42">
        <f>IF(Q337=0,0,R336+1)</f>
        <v/>
      </c>
      <c r="S337" s="42">
        <f>IF(O337="",0,IF(O337=4,S336+1,0))</f>
        <v/>
      </c>
      <c r="T337" s="43">
        <f>IF(Q337=1,A337,"")</f>
        <v/>
      </c>
    </row>
    <row r="338">
      <c r="A338" s="36">
        <f>A337+1</f>
        <v/>
      </c>
      <c r="B338" s="37">
        <f>IF(A338="","",TEXT(A338,"ddd"))</f>
        <v/>
      </c>
      <c r="C338" s="38" t="n"/>
      <c r="D338" s="38" t="n"/>
      <c r="E338" s="38" t="n"/>
      <c r="F338" s="38" t="n"/>
      <c r="G338" s="38" t="n"/>
      <c r="H338" s="38" t="n"/>
      <c r="I338" s="38" t="n"/>
      <c r="J338" s="38" t="n"/>
      <c r="K338" s="38" t="n"/>
      <c r="L338" s="39" t="n"/>
      <c r="M338" s="39" t="n"/>
      <c r="N338" s="38" t="n"/>
      <c r="O338" s="40">
        <f>IF($Q338=0,"",IF(C338&gt;=C$2,1,0)+IF(D338&gt;=D$2,1,0)+IF(E338&gt;=E$2,1,0)+IF(F338&gt;=F$2,1,0))</f>
        <v/>
      </c>
      <c r="P338" s="41" t="n"/>
      <c r="Q338" s="42">
        <f>IF(COUNT(C338:M338)&gt;0,1,0)</f>
        <v/>
      </c>
      <c r="R338" s="42">
        <f>IF(Q338=0,0,R337+1)</f>
        <v/>
      </c>
      <c r="S338" s="42">
        <f>IF(O338="",0,IF(O338=4,S337+1,0))</f>
        <v/>
      </c>
      <c r="T338" s="43">
        <f>IF(Q338=1,A338,"")</f>
        <v/>
      </c>
    </row>
    <row r="339">
      <c r="A339" s="36">
        <f>A338+1</f>
        <v/>
      </c>
      <c r="B339" s="37">
        <f>IF(A339="","",TEXT(A339,"ddd"))</f>
        <v/>
      </c>
      <c r="C339" s="38" t="n"/>
      <c r="D339" s="38" t="n"/>
      <c r="E339" s="38" t="n"/>
      <c r="F339" s="38" t="n"/>
      <c r="G339" s="38" t="n"/>
      <c r="H339" s="38" t="n"/>
      <c r="I339" s="38" t="n"/>
      <c r="J339" s="38" t="n"/>
      <c r="K339" s="38" t="n"/>
      <c r="L339" s="39" t="n"/>
      <c r="M339" s="39" t="n"/>
      <c r="N339" s="38" t="n"/>
      <c r="O339" s="40">
        <f>IF($Q339=0,"",IF(C339&gt;=C$2,1,0)+IF(D339&gt;=D$2,1,0)+IF(E339&gt;=E$2,1,0)+IF(F339&gt;=F$2,1,0))</f>
        <v/>
      </c>
      <c r="P339" s="41" t="n"/>
      <c r="Q339" s="42">
        <f>IF(COUNT(C339:M339)&gt;0,1,0)</f>
        <v/>
      </c>
      <c r="R339" s="42">
        <f>IF(Q339=0,0,R338+1)</f>
        <v/>
      </c>
      <c r="S339" s="42">
        <f>IF(O339="",0,IF(O339=4,S338+1,0))</f>
        <v/>
      </c>
      <c r="T339" s="43">
        <f>IF(Q339=1,A339,"")</f>
        <v/>
      </c>
    </row>
    <row r="340">
      <c r="A340" s="36">
        <f>A339+1</f>
        <v/>
      </c>
      <c r="B340" s="37">
        <f>IF(A340="","",TEXT(A340,"ddd"))</f>
        <v/>
      </c>
      <c r="C340" s="38" t="n"/>
      <c r="D340" s="38" t="n"/>
      <c r="E340" s="38" t="n"/>
      <c r="F340" s="38" t="n"/>
      <c r="G340" s="38" t="n"/>
      <c r="H340" s="38" t="n"/>
      <c r="I340" s="38" t="n"/>
      <c r="J340" s="38" t="n"/>
      <c r="K340" s="38" t="n"/>
      <c r="L340" s="39" t="n"/>
      <c r="M340" s="39" t="n"/>
      <c r="N340" s="38" t="n"/>
      <c r="O340" s="40">
        <f>IF($Q340=0,"",IF(C340&gt;=C$2,1,0)+IF(D340&gt;=D$2,1,0)+IF(E340&gt;=E$2,1,0)+IF(F340&gt;=F$2,1,0))</f>
        <v/>
      </c>
      <c r="P340" s="41" t="n"/>
      <c r="Q340" s="42">
        <f>IF(COUNT(C340:M340)&gt;0,1,0)</f>
        <v/>
      </c>
      <c r="R340" s="42">
        <f>IF(Q340=0,0,R339+1)</f>
        <v/>
      </c>
      <c r="S340" s="42">
        <f>IF(O340="",0,IF(O340=4,S339+1,0))</f>
        <v/>
      </c>
      <c r="T340" s="43">
        <f>IF(Q340=1,A340,"")</f>
        <v/>
      </c>
    </row>
    <row r="341">
      <c r="A341" s="36">
        <f>A340+1</f>
        <v/>
      </c>
      <c r="B341" s="37">
        <f>IF(A341="","",TEXT(A341,"ddd"))</f>
        <v/>
      </c>
      <c r="C341" s="38" t="n"/>
      <c r="D341" s="38" t="n"/>
      <c r="E341" s="38" t="n"/>
      <c r="F341" s="38" t="n"/>
      <c r="G341" s="38" t="n"/>
      <c r="H341" s="38" t="n"/>
      <c r="I341" s="38" t="n"/>
      <c r="J341" s="38" t="n"/>
      <c r="K341" s="38" t="n"/>
      <c r="L341" s="39" t="n"/>
      <c r="M341" s="39" t="n"/>
      <c r="N341" s="38" t="n"/>
      <c r="O341" s="40">
        <f>IF($Q341=0,"",IF(C341&gt;=C$2,1,0)+IF(D341&gt;=D$2,1,0)+IF(E341&gt;=E$2,1,0)+IF(F341&gt;=F$2,1,0))</f>
        <v/>
      </c>
      <c r="P341" s="41" t="n"/>
      <c r="Q341" s="42">
        <f>IF(COUNT(C341:M341)&gt;0,1,0)</f>
        <v/>
      </c>
      <c r="R341" s="42">
        <f>IF(Q341=0,0,R340+1)</f>
        <v/>
      </c>
      <c r="S341" s="42">
        <f>IF(O341="",0,IF(O341=4,S340+1,0))</f>
        <v/>
      </c>
      <c r="T341" s="43">
        <f>IF(Q341=1,A341,"")</f>
        <v/>
      </c>
    </row>
    <row r="342">
      <c r="A342" s="36">
        <f>A341+1</f>
        <v/>
      </c>
      <c r="B342" s="37">
        <f>IF(A342="","",TEXT(A342,"ddd"))</f>
        <v/>
      </c>
      <c r="C342" s="38" t="n"/>
      <c r="D342" s="38" t="n"/>
      <c r="E342" s="38" t="n"/>
      <c r="F342" s="38" t="n"/>
      <c r="G342" s="38" t="n"/>
      <c r="H342" s="38" t="n"/>
      <c r="I342" s="38" t="n"/>
      <c r="J342" s="38" t="n"/>
      <c r="K342" s="38" t="n"/>
      <c r="L342" s="39" t="n"/>
      <c r="M342" s="39" t="n"/>
      <c r="N342" s="38" t="n"/>
      <c r="O342" s="40">
        <f>IF($Q342=0,"",IF(C342&gt;=C$2,1,0)+IF(D342&gt;=D$2,1,0)+IF(E342&gt;=E$2,1,0)+IF(F342&gt;=F$2,1,0))</f>
        <v/>
      </c>
      <c r="P342" s="41" t="n"/>
      <c r="Q342" s="42">
        <f>IF(COUNT(C342:M342)&gt;0,1,0)</f>
        <v/>
      </c>
      <c r="R342" s="42">
        <f>IF(Q342=0,0,R341+1)</f>
        <v/>
      </c>
      <c r="S342" s="42">
        <f>IF(O342="",0,IF(O342=4,S341+1,0))</f>
        <v/>
      </c>
      <c r="T342" s="43">
        <f>IF(Q342=1,A342,"")</f>
        <v/>
      </c>
    </row>
    <row r="343">
      <c r="A343" s="36">
        <f>A342+1</f>
        <v/>
      </c>
      <c r="B343" s="37">
        <f>IF(A343="","",TEXT(A343,"ddd"))</f>
        <v/>
      </c>
      <c r="C343" s="38" t="n"/>
      <c r="D343" s="38" t="n"/>
      <c r="E343" s="38" t="n"/>
      <c r="F343" s="38" t="n"/>
      <c r="G343" s="38" t="n"/>
      <c r="H343" s="38" t="n"/>
      <c r="I343" s="38" t="n"/>
      <c r="J343" s="38" t="n"/>
      <c r="K343" s="38" t="n"/>
      <c r="L343" s="39" t="n"/>
      <c r="M343" s="39" t="n"/>
      <c r="N343" s="38" t="n"/>
      <c r="O343" s="40">
        <f>IF($Q343=0,"",IF(C343&gt;=C$2,1,0)+IF(D343&gt;=D$2,1,0)+IF(E343&gt;=E$2,1,0)+IF(F343&gt;=F$2,1,0))</f>
        <v/>
      </c>
      <c r="P343" s="41" t="n"/>
      <c r="Q343" s="42">
        <f>IF(COUNT(C343:M343)&gt;0,1,0)</f>
        <v/>
      </c>
      <c r="R343" s="42">
        <f>IF(Q343=0,0,R342+1)</f>
        <v/>
      </c>
      <c r="S343" s="42">
        <f>IF(O343="",0,IF(O343=4,S342+1,0))</f>
        <v/>
      </c>
      <c r="T343" s="43">
        <f>IF(Q343=1,A343,"")</f>
        <v/>
      </c>
    </row>
    <row r="344">
      <c r="A344" s="36">
        <f>A343+1</f>
        <v/>
      </c>
      <c r="B344" s="37">
        <f>IF(A344="","",TEXT(A344,"ddd"))</f>
        <v/>
      </c>
      <c r="C344" s="38" t="n"/>
      <c r="D344" s="38" t="n"/>
      <c r="E344" s="38" t="n"/>
      <c r="F344" s="38" t="n"/>
      <c r="G344" s="38" t="n"/>
      <c r="H344" s="38" t="n"/>
      <c r="I344" s="38" t="n"/>
      <c r="J344" s="38" t="n"/>
      <c r="K344" s="38" t="n"/>
      <c r="L344" s="39" t="n"/>
      <c r="M344" s="39" t="n"/>
      <c r="N344" s="38" t="n"/>
      <c r="O344" s="40">
        <f>IF($Q344=0,"",IF(C344&gt;=C$2,1,0)+IF(D344&gt;=D$2,1,0)+IF(E344&gt;=E$2,1,0)+IF(F344&gt;=F$2,1,0))</f>
        <v/>
      </c>
      <c r="P344" s="41" t="n"/>
      <c r="Q344" s="42">
        <f>IF(COUNT(C344:M344)&gt;0,1,0)</f>
        <v/>
      </c>
      <c r="R344" s="42">
        <f>IF(Q344=0,0,R343+1)</f>
        <v/>
      </c>
      <c r="S344" s="42">
        <f>IF(O344="",0,IF(O344=4,S343+1,0))</f>
        <v/>
      </c>
      <c r="T344" s="43">
        <f>IF(Q344=1,A344,"")</f>
        <v/>
      </c>
    </row>
    <row r="345">
      <c r="A345" s="36">
        <f>A344+1</f>
        <v/>
      </c>
      <c r="B345" s="37">
        <f>IF(A345="","",TEXT(A345,"ddd"))</f>
        <v/>
      </c>
      <c r="C345" s="38" t="n"/>
      <c r="D345" s="38" t="n"/>
      <c r="E345" s="38" t="n"/>
      <c r="F345" s="38" t="n"/>
      <c r="G345" s="38" t="n"/>
      <c r="H345" s="38" t="n"/>
      <c r="I345" s="38" t="n"/>
      <c r="J345" s="38" t="n"/>
      <c r="K345" s="38" t="n"/>
      <c r="L345" s="39" t="n"/>
      <c r="M345" s="39" t="n"/>
      <c r="N345" s="38" t="n"/>
      <c r="O345" s="40">
        <f>IF($Q345=0,"",IF(C345&gt;=C$2,1,0)+IF(D345&gt;=D$2,1,0)+IF(E345&gt;=E$2,1,0)+IF(F345&gt;=F$2,1,0))</f>
        <v/>
      </c>
      <c r="P345" s="41" t="n"/>
      <c r="Q345" s="42">
        <f>IF(COUNT(C345:M345)&gt;0,1,0)</f>
        <v/>
      </c>
      <c r="R345" s="42">
        <f>IF(Q345=0,0,R344+1)</f>
        <v/>
      </c>
      <c r="S345" s="42">
        <f>IF(O345="",0,IF(O345=4,S344+1,0))</f>
        <v/>
      </c>
      <c r="T345" s="43">
        <f>IF(Q345=1,A345,"")</f>
        <v/>
      </c>
    </row>
    <row r="346">
      <c r="A346" s="36">
        <f>A345+1</f>
        <v/>
      </c>
      <c r="B346" s="37">
        <f>IF(A346="","",TEXT(A346,"ddd"))</f>
        <v/>
      </c>
      <c r="C346" s="38" t="n"/>
      <c r="D346" s="38" t="n"/>
      <c r="E346" s="38" t="n"/>
      <c r="F346" s="38" t="n"/>
      <c r="G346" s="38" t="n"/>
      <c r="H346" s="38" t="n"/>
      <c r="I346" s="38" t="n"/>
      <c r="J346" s="38" t="n"/>
      <c r="K346" s="38" t="n"/>
      <c r="L346" s="39" t="n"/>
      <c r="M346" s="39" t="n"/>
      <c r="N346" s="38" t="n"/>
      <c r="O346" s="40">
        <f>IF($Q346=0,"",IF(C346&gt;=C$2,1,0)+IF(D346&gt;=D$2,1,0)+IF(E346&gt;=E$2,1,0)+IF(F346&gt;=F$2,1,0))</f>
        <v/>
      </c>
      <c r="P346" s="41" t="n"/>
      <c r="Q346" s="42">
        <f>IF(COUNT(C346:M346)&gt;0,1,0)</f>
        <v/>
      </c>
      <c r="R346" s="42">
        <f>IF(Q346=0,0,R345+1)</f>
        <v/>
      </c>
      <c r="S346" s="42">
        <f>IF(O346="",0,IF(O346=4,S345+1,0))</f>
        <v/>
      </c>
      <c r="T346" s="43">
        <f>IF(Q346=1,A346,"")</f>
        <v/>
      </c>
    </row>
    <row r="347">
      <c r="A347" s="36">
        <f>A346+1</f>
        <v/>
      </c>
      <c r="B347" s="37">
        <f>IF(A347="","",TEXT(A347,"ddd"))</f>
        <v/>
      </c>
      <c r="C347" s="38" t="n"/>
      <c r="D347" s="38" t="n"/>
      <c r="E347" s="38" t="n"/>
      <c r="F347" s="38" t="n"/>
      <c r="G347" s="38" t="n"/>
      <c r="H347" s="38" t="n"/>
      <c r="I347" s="38" t="n"/>
      <c r="J347" s="38" t="n"/>
      <c r="K347" s="38" t="n"/>
      <c r="L347" s="39" t="n"/>
      <c r="M347" s="39" t="n"/>
      <c r="N347" s="38" t="n"/>
      <c r="O347" s="40">
        <f>IF($Q347=0,"",IF(C347&gt;=C$2,1,0)+IF(D347&gt;=D$2,1,0)+IF(E347&gt;=E$2,1,0)+IF(F347&gt;=F$2,1,0))</f>
        <v/>
      </c>
      <c r="P347" s="41" t="n"/>
      <c r="Q347" s="42">
        <f>IF(COUNT(C347:M347)&gt;0,1,0)</f>
        <v/>
      </c>
      <c r="R347" s="42">
        <f>IF(Q347=0,0,R346+1)</f>
        <v/>
      </c>
      <c r="S347" s="42">
        <f>IF(O347="",0,IF(O347=4,S346+1,0))</f>
        <v/>
      </c>
      <c r="T347" s="43">
        <f>IF(Q347=1,A347,"")</f>
        <v/>
      </c>
    </row>
    <row r="348">
      <c r="A348" s="36">
        <f>A347+1</f>
        <v/>
      </c>
      <c r="B348" s="37">
        <f>IF(A348="","",TEXT(A348,"ddd"))</f>
        <v/>
      </c>
      <c r="C348" s="38" t="n"/>
      <c r="D348" s="38" t="n"/>
      <c r="E348" s="38" t="n"/>
      <c r="F348" s="38" t="n"/>
      <c r="G348" s="38" t="n"/>
      <c r="H348" s="38" t="n"/>
      <c r="I348" s="38" t="n"/>
      <c r="J348" s="38" t="n"/>
      <c r="K348" s="38" t="n"/>
      <c r="L348" s="39" t="n"/>
      <c r="M348" s="39" t="n"/>
      <c r="N348" s="38" t="n"/>
      <c r="O348" s="40">
        <f>IF($Q348=0,"",IF(C348&gt;=C$2,1,0)+IF(D348&gt;=D$2,1,0)+IF(E348&gt;=E$2,1,0)+IF(F348&gt;=F$2,1,0))</f>
        <v/>
      </c>
      <c r="P348" s="41" t="n"/>
      <c r="Q348" s="42">
        <f>IF(COUNT(C348:M348)&gt;0,1,0)</f>
        <v/>
      </c>
      <c r="R348" s="42">
        <f>IF(Q348=0,0,R347+1)</f>
        <v/>
      </c>
      <c r="S348" s="42">
        <f>IF(O348="",0,IF(O348=4,S347+1,0))</f>
        <v/>
      </c>
      <c r="T348" s="43">
        <f>IF(Q348=1,A348,"")</f>
        <v/>
      </c>
    </row>
    <row r="349">
      <c r="A349" s="36">
        <f>A348+1</f>
        <v/>
      </c>
      <c r="B349" s="37">
        <f>IF(A349="","",TEXT(A349,"ddd"))</f>
        <v/>
      </c>
      <c r="C349" s="38" t="n"/>
      <c r="D349" s="38" t="n"/>
      <c r="E349" s="38" t="n"/>
      <c r="F349" s="38" t="n"/>
      <c r="G349" s="38" t="n"/>
      <c r="H349" s="38" t="n"/>
      <c r="I349" s="38" t="n"/>
      <c r="J349" s="38" t="n"/>
      <c r="K349" s="38" t="n"/>
      <c r="L349" s="39" t="n"/>
      <c r="M349" s="39" t="n"/>
      <c r="N349" s="38" t="n"/>
      <c r="O349" s="40">
        <f>IF($Q349=0,"",IF(C349&gt;=C$2,1,0)+IF(D349&gt;=D$2,1,0)+IF(E349&gt;=E$2,1,0)+IF(F349&gt;=F$2,1,0))</f>
        <v/>
      </c>
      <c r="P349" s="41" t="n"/>
      <c r="Q349" s="42">
        <f>IF(COUNT(C349:M349)&gt;0,1,0)</f>
        <v/>
      </c>
      <c r="R349" s="42">
        <f>IF(Q349=0,0,R348+1)</f>
        <v/>
      </c>
      <c r="S349" s="42">
        <f>IF(O349="",0,IF(O349=4,S348+1,0))</f>
        <v/>
      </c>
      <c r="T349" s="43">
        <f>IF(Q349=1,A349,"")</f>
        <v/>
      </c>
    </row>
    <row r="350">
      <c r="A350" s="36">
        <f>A349+1</f>
        <v/>
      </c>
      <c r="B350" s="37">
        <f>IF(A350="","",TEXT(A350,"ddd"))</f>
        <v/>
      </c>
      <c r="C350" s="38" t="n"/>
      <c r="D350" s="38" t="n"/>
      <c r="E350" s="38" t="n"/>
      <c r="F350" s="38" t="n"/>
      <c r="G350" s="38" t="n"/>
      <c r="H350" s="38" t="n"/>
      <c r="I350" s="38" t="n"/>
      <c r="J350" s="38" t="n"/>
      <c r="K350" s="38" t="n"/>
      <c r="L350" s="39" t="n"/>
      <c r="M350" s="39" t="n"/>
      <c r="N350" s="38" t="n"/>
      <c r="O350" s="40">
        <f>IF($Q350=0,"",IF(C350&gt;=C$2,1,0)+IF(D350&gt;=D$2,1,0)+IF(E350&gt;=E$2,1,0)+IF(F350&gt;=F$2,1,0))</f>
        <v/>
      </c>
      <c r="P350" s="41" t="n"/>
      <c r="Q350" s="42">
        <f>IF(COUNT(C350:M350)&gt;0,1,0)</f>
        <v/>
      </c>
      <c r="R350" s="42">
        <f>IF(Q350=0,0,R349+1)</f>
        <v/>
      </c>
      <c r="S350" s="42">
        <f>IF(O350="",0,IF(O350=4,S349+1,0))</f>
        <v/>
      </c>
      <c r="T350" s="43">
        <f>IF(Q350=1,A350,"")</f>
        <v/>
      </c>
    </row>
    <row r="351">
      <c r="A351" s="36">
        <f>A350+1</f>
        <v/>
      </c>
      <c r="B351" s="37">
        <f>IF(A351="","",TEXT(A351,"ddd"))</f>
        <v/>
      </c>
      <c r="C351" s="38" t="n"/>
      <c r="D351" s="38" t="n"/>
      <c r="E351" s="38" t="n"/>
      <c r="F351" s="38" t="n"/>
      <c r="G351" s="38" t="n"/>
      <c r="H351" s="38" t="n"/>
      <c r="I351" s="38" t="n"/>
      <c r="J351" s="38" t="n"/>
      <c r="K351" s="38" t="n"/>
      <c r="L351" s="39" t="n"/>
      <c r="M351" s="39" t="n"/>
      <c r="N351" s="38" t="n"/>
      <c r="O351" s="40">
        <f>IF($Q351=0,"",IF(C351&gt;=C$2,1,0)+IF(D351&gt;=D$2,1,0)+IF(E351&gt;=E$2,1,0)+IF(F351&gt;=F$2,1,0))</f>
        <v/>
      </c>
      <c r="P351" s="41" t="n"/>
      <c r="Q351" s="42">
        <f>IF(COUNT(C351:M351)&gt;0,1,0)</f>
        <v/>
      </c>
      <c r="R351" s="42">
        <f>IF(Q351=0,0,R350+1)</f>
        <v/>
      </c>
      <c r="S351" s="42">
        <f>IF(O351="",0,IF(O351=4,S350+1,0))</f>
        <v/>
      </c>
      <c r="T351" s="43">
        <f>IF(Q351=1,A351,"")</f>
        <v/>
      </c>
    </row>
    <row r="352">
      <c r="A352" s="36">
        <f>A351+1</f>
        <v/>
      </c>
      <c r="B352" s="37">
        <f>IF(A352="","",TEXT(A352,"ddd"))</f>
        <v/>
      </c>
      <c r="C352" s="38" t="n"/>
      <c r="D352" s="38" t="n"/>
      <c r="E352" s="38" t="n"/>
      <c r="F352" s="38" t="n"/>
      <c r="G352" s="38" t="n"/>
      <c r="H352" s="38" t="n"/>
      <c r="I352" s="38" t="n"/>
      <c r="J352" s="38" t="n"/>
      <c r="K352" s="38" t="n"/>
      <c r="L352" s="39" t="n"/>
      <c r="M352" s="39" t="n"/>
      <c r="N352" s="38" t="n"/>
      <c r="O352" s="40">
        <f>IF($Q352=0,"",IF(C352&gt;=C$2,1,0)+IF(D352&gt;=D$2,1,0)+IF(E352&gt;=E$2,1,0)+IF(F352&gt;=F$2,1,0))</f>
        <v/>
      </c>
      <c r="P352" s="41" t="n"/>
      <c r="Q352" s="42">
        <f>IF(COUNT(C352:M352)&gt;0,1,0)</f>
        <v/>
      </c>
      <c r="R352" s="42">
        <f>IF(Q352=0,0,R351+1)</f>
        <v/>
      </c>
      <c r="S352" s="42">
        <f>IF(O352="",0,IF(O352=4,S351+1,0))</f>
        <v/>
      </c>
      <c r="T352" s="43">
        <f>IF(Q352=1,A352,"")</f>
        <v/>
      </c>
    </row>
    <row r="353">
      <c r="A353" s="36">
        <f>A352+1</f>
        <v/>
      </c>
      <c r="B353" s="37">
        <f>IF(A353="","",TEXT(A353,"ddd"))</f>
        <v/>
      </c>
      <c r="C353" s="38" t="n"/>
      <c r="D353" s="38" t="n"/>
      <c r="E353" s="38" t="n"/>
      <c r="F353" s="38" t="n"/>
      <c r="G353" s="38" t="n"/>
      <c r="H353" s="38" t="n"/>
      <c r="I353" s="38" t="n"/>
      <c r="J353" s="38" t="n"/>
      <c r="K353" s="38" t="n"/>
      <c r="L353" s="39" t="n"/>
      <c r="M353" s="39" t="n"/>
      <c r="N353" s="38" t="n"/>
      <c r="O353" s="40">
        <f>IF($Q353=0,"",IF(C353&gt;=C$2,1,0)+IF(D353&gt;=D$2,1,0)+IF(E353&gt;=E$2,1,0)+IF(F353&gt;=F$2,1,0))</f>
        <v/>
      </c>
      <c r="P353" s="41" t="n"/>
      <c r="Q353" s="42">
        <f>IF(COUNT(C353:M353)&gt;0,1,0)</f>
        <v/>
      </c>
      <c r="R353" s="42">
        <f>IF(Q353=0,0,R352+1)</f>
        <v/>
      </c>
      <c r="S353" s="42">
        <f>IF(O353="",0,IF(O353=4,S352+1,0))</f>
        <v/>
      </c>
      <c r="T353" s="43">
        <f>IF(Q353=1,A353,"")</f>
        <v/>
      </c>
    </row>
    <row r="354">
      <c r="A354" s="36">
        <f>A353+1</f>
        <v/>
      </c>
      <c r="B354" s="37">
        <f>IF(A354="","",TEXT(A354,"ddd"))</f>
        <v/>
      </c>
      <c r="C354" s="38" t="n"/>
      <c r="D354" s="38" t="n"/>
      <c r="E354" s="38" t="n"/>
      <c r="F354" s="38" t="n"/>
      <c r="G354" s="38" t="n"/>
      <c r="H354" s="38" t="n"/>
      <c r="I354" s="38" t="n"/>
      <c r="J354" s="38" t="n"/>
      <c r="K354" s="38" t="n"/>
      <c r="L354" s="39" t="n"/>
      <c r="M354" s="39" t="n"/>
      <c r="N354" s="38" t="n"/>
      <c r="O354" s="40">
        <f>IF($Q354=0,"",IF(C354&gt;=C$2,1,0)+IF(D354&gt;=D$2,1,0)+IF(E354&gt;=E$2,1,0)+IF(F354&gt;=F$2,1,0))</f>
        <v/>
      </c>
      <c r="P354" s="41" t="n"/>
      <c r="Q354" s="42">
        <f>IF(COUNT(C354:M354)&gt;0,1,0)</f>
        <v/>
      </c>
      <c r="R354" s="42">
        <f>IF(Q354=0,0,R353+1)</f>
        <v/>
      </c>
      <c r="S354" s="42">
        <f>IF(O354="",0,IF(O354=4,S353+1,0))</f>
        <v/>
      </c>
      <c r="T354" s="43">
        <f>IF(Q354=1,A354,"")</f>
        <v/>
      </c>
    </row>
    <row r="355">
      <c r="A355" s="36">
        <f>A354+1</f>
        <v/>
      </c>
      <c r="B355" s="37">
        <f>IF(A355="","",TEXT(A355,"ddd"))</f>
        <v/>
      </c>
      <c r="C355" s="38" t="n"/>
      <c r="D355" s="38" t="n"/>
      <c r="E355" s="38" t="n"/>
      <c r="F355" s="38" t="n"/>
      <c r="G355" s="38" t="n"/>
      <c r="H355" s="38" t="n"/>
      <c r="I355" s="38" t="n"/>
      <c r="J355" s="38" t="n"/>
      <c r="K355" s="38" t="n"/>
      <c r="L355" s="39" t="n"/>
      <c r="M355" s="39" t="n"/>
      <c r="N355" s="38" t="n"/>
      <c r="O355" s="40">
        <f>IF($Q355=0,"",IF(C355&gt;=C$2,1,0)+IF(D355&gt;=D$2,1,0)+IF(E355&gt;=E$2,1,0)+IF(F355&gt;=F$2,1,0))</f>
        <v/>
      </c>
      <c r="P355" s="41" t="n"/>
      <c r="Q355" s="42">
        <f>IF(COUNT(C355:M355)&gt;0,1,0)</f>
        <v/>
      </c>
      <c r="R355" s="42">
        <f>IF(Q355=0,0,R354+1)</f>
        <v/>
      </c>
      <c r="S355" s="42">
        <f>IF(O355="",0,IF(O355=4,S354+1,0))</f>
        <v/>
      </c>
      <c r="T355" s="43">
        <f>IF(Q355=1,A355,"")</f>
        <v/>
      </c>
    </row>
    <row r="356">
      <c r="A356" s="36">
        <f>A355+1</f>
        <v/>
      </c>
      <c r="B356" s="37">
        <f>IF(A356="","",TEXT(A356,"ddd"))</f>
        <v/>
      </c>
      <c r="C356" s="38" t="n"/>
      <c r="D356" s="38" t="n"/>
      <c r="E356" s="38" t="n"/>
      <c r="F356" s="38" t="n"/>
      <c r="G356" s="38" t="n"/>
      <c r="H356" s="38" t="n"/>
      <c r="I356" s="38" t="n"/>
      <c r="J356" s="38" t="n"/>
      <c r="K356" s="38" t="n"/>
      <c r="L356" s="39" t="n"/>
      <c r="M356" s="39" t="n"/>
      <c r="N356" s="38" t="n"/>
      <c r="O356" s="40">
        <f>IF($Q356=0,"",IF(C356&gt;=C$2,1,0)+IF(D356&gt;=D$2,1,0)+IF(E356&gt;=E$2,1,0)+IF(F356&gt;=F$2,1,0))</f>
        <v/>
      </c>
      <c r="P356" s="41" t="n"/>
      <c r="Q356" s="42">
        <f>IF(COUNT(C356:M356)&gt;0,1,0)</f>
        <v/>
      </c>
      <c r="R356" s="42">
        <f>IF(Q356=0,0,R355+1)</f>
        <v/>
      </c>
      <c r="S356" s="42">
        <f>IF(O356="",0,IF(O356=4,S355+1,0))</f>
        <v/>
      </c>
      <c r="T356" s="43">
        <f>IF(Q356=1,A356,"")</f>
        <v/>
      </c>
    </row>
    <row r="357">
      <c r="A357" s="36">
        <f>A356+1</f>
        <v/>
      </c>
      <c r="B357" s="37">
        <f>IF(A357="","",TEXT(A357,"ddd"))</f>
        <v/>
      </c>
      <c r="C357" s="38" t="n"/>
      <c r="D357" s="38" t="n"/>
      <c r="E357" s="38" t="n"/>
      <c r="F357" s="38" t="n"/>
      <c r="G357" s="38" t="n"/>
      <c r="H357" s="38" t="n"/>
      <c r="I357" s="38" t="n"/>
      <c r="J357" s="38" t="n"/>
      <c r="K357" s="38" t="n"/>
      <c r="L357" s="39" t="n"/>
      <c r="M357" s="39" t="n"/>
      <c r="N357" s="38" t="n"/>
      <c r="O357" s="40">
        <f>IF($Q357=0,"",IF(C357&gt;=C$2,1,0)+IF(D357&gt;=D$2,1,0)+IF(E357&gt;=E$2,1,0)+IF(F357&gt;=F$2,1,0))</f>
        <v/>
      </c>
      <c r="P357" s="41" t="n"/>
      <c r="Q357" s="42">
        <f>IF(COUNT(C357:M357)&gt;0,1,0)</f>
        <v/>
      </c>
      <c r="R357" s="42">
        <f>IF(Q357=0,0,R356+1)</f>
        <v/>
      </c>
      <c r="S357" s="42">
        <f>IF(O357="",0,IF(O357=4,S356+1,0))</f>
        <v/>
      </c>
      <c r="T357" s="43">
        <f>IF(Q357=1,A357,"")</f>
        <v/>
      </c>
    </row>
    <row r="358">
      <c r="A358" s="36">
        <f>A357+1</f>
        <v/>
      </c>
      <c r="B358" s="37">
        <f>IF(A358="","",TEXT(A358,"ddd"))</f>
        <v/>
      </c>
      <c r="C358" s="38" t="n"/>
      <c r="D358" s="38" t="n"/>
      <c r="E358" s="38" t="n"/>
      <c r="F358" s="38" t="n"/>
      <c r="G358" s="38" t="n"/>
      <c r="H358" s="38" t="n"/>
      <c r="I358" s="38" t="n"/>
      <c r="J358" s="38" t="n"/>
      <c r="K358" s="38" t="n"/>
      <c r="L358" s="39" t="n"/>
      <c r="M358" s="39" t="n"/>
      <c r="N358" s="38" t="n"/>
      <c r="O358" s="40">
        <f>IF($Q358=0,"",IF(C358&gt;=C$2,1,0)+IF(D358&gt;=D$2,1,0)+IF(E358&gt;=E$2,1,0)+IF(F358&gt;=F$2,1,0))</f>
        <v/>
      </c>
      <c r="P358" s="41" t="n"/>
      <c r="Q358" s="42">
        <f>IF(COUNT(C358:M358)&gt;0,1,0)</f>
        <v/>
      </c>
      <c r="R358" s="42">
        <f>IF(Q358=0,0,R357+1)</f>
        <v/>
      </c>
      <c r="S358" s="42">
        <f>IF(O358="",0,IF(O358=4,S357+1,0))</f>
        <v/>
      </c>
      <c r="T358" s="43">
        <f>IF(Q358=1,A358,"")</f>
        <v/>
      </c>
    </row>
    <row r="359">
      <c r="A359" s="36">
        <f>A358+1</f>
        <v/>
      </c>
      <c r="B359" s="37">
        <f>IF(A359="","",TEXT(A359,"ddd"))</f>
        <v/>
      </c>
      <c r="C359" s="38" t="n"/>
      <c r="D359" s="38" t="n"/>
      <c r="E359" s="38" t="n"/>
      <c r="F359" s="38" t="n"/>
      <c r="G359" s="38" t="n"/>
      <c r="H359" s="38" t="n"/>
      <c r="I359" s="38" t="n"/>
      <c r="J359" s="38" t="n"/>
      <c r="K359" s="38" t="n"/>
      <c r="L359" s="39" t="n"/>
      <c r="M359" s="39" t="n"/>
      <c r="N359" s="38" t="n"/>
      <c r="O359" s="40">
        <f>IF($Q359=0,"",IF(C359&gt;=C$2,1,0)+IF(D359&gt;=D$2,1,0)+IF(E359&gt;=E$2,1,0)+IF(F359&gt;=F$2,1,0))</f>
        <v/>
      </c>
      <c r="P359" s="41" t="n"/>
      <c r="Q359" s="42">
        <f>IF(COUNT(C359:M359)&gt;0,1,0)</f>
        <v/>
      </c>
      <c r="R359" s="42">
        <f>IF(Q359=0,0,R358+1)</f>
        <v/>
      </c>
      <c r="S359" s="42">
        <f>IF(O359="",0,IF(O359=4,S358+1,0))</f>
        <v/>
      </c>
      <c r="T359" s="43">
        <f>IF(Q359=1,A359,"")</f>
        <v/>
      </c>
    </row>
    <row r="360">
      <c r="A360" s="36">
        <f>A359+1</f>
        <v/>
      </c>
      <c r="B360" s="37">
        <f>IF(A360="","",TEXT(A360,"ddd"))</f>
        <v/>
      </c>
      <c r="C360" s="38" t="n"/>
      <c r="D360" s="38" t="n"/>
      <c r="E360" s="38" t="n"/>
      <c r="F360" s="38" t="n"/>
      <c r="G360" s="38" t="n"/>
      <c r="H360" s="38" t="n"/>
      <c r="I360" s="38" t="n"/>
      <c r="J360" s="38" t="n"/>
      <c r="K360" s="38" t="n"/>
      <c r="L360" s="39" t="n"/>
      <c r="M360" s="39" t="n"/>
      <c r="N360" s="38" t="n"/>
      <c r="O360" s="40">
        <f>IF($Q360=0,"",IF(C360&gt;=C$2,1,0)+IF(D360&gt;=D$2,1,0)+IF(E360&gt;=E$2,1,0)+IF(F360&gt;=F$2,1,0))</f>
        <v/>
      </c>
      <c r="P360" s="41" t="n"/>
      <c r="Q360" s="42">
        <f>IF(COUNT(C360:M360)&gt;0,1,0)</f>
        <v/>
      </c>
      <c r="R360" s="42">
        <f>IF(Q360=0,0,R359+1)</f>
        <v/>
      </c>
      <c r="S360" s="42">
        <f>IF(O360="",0,IF(O360=4,S359+1,0))</f>
        <v/>
      </c>
      <c r="T360" s="43">
        <f>IF(Q360=1,A360,"")</f>
        <v/>
      </c>
    </row>
    <row r="361">
      <c r="A361" s="36">
        <f>A360+1</f>
        <v/>
      </c>
      <c r="B361" s="37">
        <f>IF(A361="","",TEXT(A361,"ddd"))</f>
        <v/>
      </c>
      <c r="C361" s="38" t="n"/>
      <c r="D361" s="38" t="n"/>
      <c r="E361" s="38" t="n"/>
      <c r="F361" s="38" t="n"/>
      <c r="G361" s="38" t="n"/>
      <c r="H361" s="38" t="n"/>
      <c r="I361" s="38" t="n"/>
      <c r="J361" s="38" t="n"/>
      <c r="K361" s="38" t="n"/>
      <c r="L361" s="39" t="n"/>
      <c r="M361" s="39" t="n"/>
      <c r="N361" s="38" t="n"/>
      <c r="O361" s="40">
        <f>IF($Q361=0,"",IF(C361&gt;=C$2,1,0)+IF(D361&gt;=D$2,1,0)+IF(E361&gt;=E$2,1,0)+IF(F361&gt;=F$2,1,0))</f>
        <v/>
      </c>
      <c r="P361" s="41" t="n"/>
      <c r="Q361" s="42">
        <f>IF(COUNT(C361:M361)&gt;0,1,0)</f>
        <v/>
      </c>
      <c r="R361" s="42">
        <f>IF(Q361=0,0,R360+1)</f>
        <v/>
      </c>
      <c r="S361" s="42">
        <f>IF(O361="",0,IF(O361=4,S360+1,0))</f>
        <v/>
      </c>
      <c r="T361" s="43">
        <f>IF(Q361=1,A361,"")</f>
        <v/>
      </c>
    </row>
    <row r="362">
      <c r="A362" s="36">
        <f>A361+1</f>
        <v/>
      </c>
      <c r="B362" s="37">
        <f>IF(A362="","",TEXT(A362,"ddd"))</f>
        <v/>
      </c>
      <c r="C362" s="38" t="n"/>
      <c r="D362" s="38" t="n"/>
      <c r="E362" s="38" t="n"/>
      <c r="F362" s="38" t="n"/>
      <c r="G362" s="38" t="n"/>
      <c r="H362" s="38" t="n"/>
      <c r="I362" s="38" t="n"/>
      <c r="J362" s="38" t="n"/>
      <c r="K362" s="38" t="n"/>
      <c r="L362" s="39" t="n"/>
      <c r="M362" s="39" t="n"/>
      <c r="N362" s="38" t="n"/>
      <c r="O362" s="40">
        <f>IF($Q362=0,"",IF(C362&gt;=C$2,1,0)+IF(D362&gt;=D$2,1,0)+IF(E362&gt;=E$2,1,0)+IF(F362&gt;=F$2,1,0))</f>
        <v/>
      </c>
      <c r="P362" s="41" t="n"/>
      <c r="Q362" s="42">
        <f>IF(COUNT(C362:M362)&gt;0,1,0)</f>
        <v/>
      </c>
      <c r="R362" s="42">
        <f>IF(Q362=0,0,R361+1)</f>
        <v/>
      </c>
      <c r="S362" s="42">
        <f>IF(O362="",0,IF(O362=4,S361+1,0))</f>
        <v/>
      </c>
      <c r="T362" s="43">
        <f>IF(Q362=1,A362,"")</f>
        <v/>
      </c>
    </row>
    <row r="363">
      <c r="A363" s="36">
        <f>A362+1</f>
        <v/>
      </c>
      <c r="B363" s="37">
        <f>IF(A363="","",TEXT(A363,"ddd"))</f>
        <v/>
      </c>
      <c r="C363" s="38" t="n"/>
      <c r="D363" s="38" t="n"/>
      <c r="E363" s="38" t="n"/>
      <c r="F363" s="38" t="n"/>
      <c r="G363" s="38" t="n"/>
      <c r="H363" s="38" t="n"/>
      <c r="I363" s="38" t="n"/>
      <c r="J363" s="38" t="n"/>
      <c r="K363" s="38" t="n"/>
      <c r="L363" s="39" t="n"/>
      <c r="M363" s="39" t="n"/>
      <c r="N363" s="38" t="n"/>
      <c r="O363" s="40">
        <f>IF($Q363=0,"",IF(C363&gt;=C$2,1,0)+IF(D363&gt;=D$2,1,0)+IF(E363&gt;=E$2,1,0)+IF(F363&gt;=F$2,1,0))</f>
        <v/>
      </c>
      <c r="P363" s="41" t="n"/>
      <c r="Q363" s="42">
        <f>IF(COUNT(C363:M363)&gt;0,1,0)</f>
        <v/>
      </c>
      <c r="R363" s="42">
        <f>IF(Q363=0,0,R362+1)</f>
        <v/>
      </c>
      <c r="S363" s="42">
        <f>IF(O363="",0,IF(O363=4,S362+1,0))</f>
        <v/>
      </c>
      <c r="T363" s="43">
        <f>IF(Q363=1,A363,"")</f>
        <v/>
      </c>
    </row>
    <row r="364">
      <c r="A364" s="36">
        <f>A363+1</f>
        <v/>
      </c>
      <c r="B364" s="37">
        <f>IF(A364="","",TEXT(A364,"ddd"))</f>
        <v/>
      </c>
      <c r="C364" s="38" t="n"/>
      <c r="D364" s="38" t="n"/>
      <c r="E364" s="38" t="n"/>
      <c r="F364" s="38" t="n"/>
      <c r="G364" s="38" t="n"/>
      <c r="H364" s="38" t="n"/>
      <c r="I364" s="38" t="n"/>
      <c r="J364" s="38" t="n"/>
      <c r="K364" s="38" t="n"/>
      <c r="L364" s="39" t="n"/>
      <c r="M364" s="39" t="n"/>
      <c r="N364" s="38" t="n"/>
      <c r="O364" s="40">
        <f>IF($Q364=0,"",IF(C364&gt;=C$2,1,0)+IF(D364&gt;=D$2,1,0)+IF(E364&gt;=E$2,1,0)+IF(F364&gt;=F$2,1,0))</f>
        <v/>
      </c>
      <c r="P364" s="41" t="n"/>
      <c r="Q364" s="42">
        <f>IF(COUNT(C364:M364)&gt;0,1,0)</f>
        <v/>
      </c>
      <c r="R364" s="42">
        <f>IF(Q364=0,0,R363+1)</f>
        <v/>
      </c>
      <c r="S364" s="42">
        <f>IF(O364="",0,IF(O364=4,S363+1,0))</f>
        <v/>
      </c>
      <c r="T364" s="43">
        <f>IF(Q364=1,A364,"")</f>
        <v/>
      </c>
    </row>
    <row r="365">
      <c r="A365" s="36">
        <f>A364+1</f>
        <v/>
      </c>
      <c r="B365" s="37">
        <f>IF(A365="","",TEXT(A365,"ddd"))</f>
        <v/>
      </c>
      <c r="C365" s="38" t="n"/>
      <c r="D365" s="38" t="n"/>
      <c r="E365" s="38" t="n"/>
      <c r="F365" s="38" t="n"/>
      <c r="G365" s="38" t="n"/>
      <c r="H365" s="38" t="n"/>
      <c r="I365" s="38" t="n"/>
      <c r="J365" s="38" t="n"/>
      <c r="K365" s="38" t="n"/>
      <c r="L365" s="39" t="n"/>
      <c r="M365" s="39" t="n"/>
      <c r="N365" s="38" t="n"/>
      <c r="O365" s="40">
        <f>IF($Q365=0,"",IF(C365&gt;=C$2,1,0)+IF(D365&gt;=D$2,1,0)+IF(E365&gt;=E$2,1,0)+IF(F365&gt;=F$2,1,0))</f>
        <v/>
      </c>
      <c r="P365" s="41" t="n"/>
      <c r="Q365" s="42">
        <f>IF(COUNT(C365:M365)&gt;0,1,0)</f>
        <v/>
      </c>
      <c r="R365" s="42">
        <f>IF(Q365=0,0,R364+1)</f>
        <v/>
      </c>
      <c r="S365" s="42">
        <f>IF(O365="",0,IF(O365=4,S364+1,0))</f>
        <v/>
      </c>
      <c r="T365" s="43">
        <f>IF(Q365=1,A365,"")</f>
        <v/>
      </c>
    </row>
    <row r="366">
      <c r="A366" s="36">
        <f>A365+1</f>
        <v/>
      </c>
      <c r="B366" s="37">
        <f>IF(A366="","",TEXT(A366,"ddd"))</f>
        <v/>
      </c>
      <c r="C366" s="38" t="n"/>
      <c r="D366" s="38" t="n"/>
      <c r="E366" s="38" t="n"/>
      <c r="F366" s="38" t="n"/>
      <c r="G366" s="38" t="n"/>
      <c r="H366" s="38" t="n"/>
      <c r="I366" s="38" t="n"/>
      <c r="J366" s="38" t="n"/>
      <c r="K366" s="38" t="n"/>
      <c r="L366" s="39" t="n"/>
      <c r="M366" s="39" t="n"/>
      <c r="N366" s="38" t="n"/>
      <c r="O366" s="40">
        <f>IF($Q366=0,"",IF(C366&gt;=C$2,1,0)+IF(D366&gt;=D$2,1,0)+IF(E366&gt;=E$2,1,0)+IF(F366&gt;=F$2,1,0))</f>
        <v/>
      </c>
      <c r="P366" s="41" t="n"/>
      <c r="Q366" s="42">
        <f>IF(COUNT(C366:M366)&gt;0,1,0)</f>
        <v/>
      </c>
      <c r="R366" s="42">
        <f>IF(Q366=0,0,R365+1)</f>
        <v/>
      </c>
      <c r="S366" s="42">
        <f>IF(O366="",0,IF(O366=4,S365+1,0))</f>
        <v/>
      </c>
      <c r="T366" s="43">
        <f>IF(Q366=1,A366,"")</f>
        <v/>
      </c>
    </row>
    <row r="367">
      <c r="A367" s="36">
        <f>A366+1</f>
        <v/>
      </c>
      <c r="B367" s="37">
        <f>IF(A367="","",TEXT(A367,"ddd"))</f>
        <v/>
      </c>
      <c r="C367" s="38" t="n"/>
      <c r="D367" s="38" t="n"/>
      <c r="E367" s="38" t="n"/>
      <c r="F367" s="38" t="n"/>
      <c r="G367" s="38" t="n"/>
      <c r="H367" s="38" t="n"/>
      <c r="I367" s="38" t="n"/>
      <c r="J367" s="38" t="n"/>
      <c r="K367" s="38" t="n"/>
      <c r="L367" s="39" t="n"/>
      <c r="M367" s="39" t="n"/>
      <c r="N367" s="38" t="n"/>
      <c r="O367" s="40">
        <f>IF($Q367=0,"",IF(C367&gt;=C$2,1,0)+IF(D367&gt;=D$2,1,0)+IF(E367&gt;=E$2,1,0)+IF(F367&gt;=F$2,1,0))</f>
        <v/>
      </c>
      <c r="P367" s="41" t="n"/>
      <c r="Q367" s="42">
        <f>IF(COUNT(C367:M367)&gt;0,1,0)</f>
        <v/>
      </c>
      <c r="R367" s="42">
        <f>IF(Q367=0,0,R366+1)</f>
        <v/>
      </c>
      <c r="S367" s="42">
        <f>IF(O367="",0,IF(O367=4,S366+1,0))</f>
        <v/>
      </c>
      <c r="T367" s="43">
        <f>IF(Q367=1,A367,"")</f>
        <v/>
      </c>
    </row>
    <row r="368">
      <c r="A368" s="36">
        <f>A367+1</f>
        <v/>
      </c>
      <c r="B368" s="37">
        <f>IF(A368="","",TEXT(A368,"ddd"))</f>
        <v/>
      </c>
      <c r="C368" s="38" t="n"/>
      <c r="D368" s="38" t="n"/>
      <c r="E368" s="38" t="n"/>
      <c r="F368" s="38" t="n"/>
      <c r="G368" s="38" t="n"/>
      <c r="H368" s="38" t="n"/>
      <c r="I368" s="38" t="n"/>
      <c r="J368" s="38" t="n"/>
      <c r="K368" s="38" t="n"/>
      <c r="L368" s="39" t="n"/>
      <c r="M368" s="39" t="n"/>
      <c r="N368" s="38" t="n"/>
      <c r="O368" s="40">
        <f>IF($Q368=0,"",IF(C368&gt;=C$2,1,0)+IF(D368&gt;=D$2,1,0)+IF(E368&gt;=E$2,1,0)+IF(F368&gt;=F$2,1,0))</f>
        <v/>
      </c>
      <c r="P368" s="41" t="n"/>
      <c r="Q368" s="42">
        <f>IF(COUNT(C368:M368)&gt;0,1,0)</f>
        <v/>
      </c>
      <c r="R368" s="42">
        <f>IF(Q368=0,0,R367+1)</f>
        <v/>
      </c>
      <c r="S368" s="42">
        <f>IF(O368="",0,IF(O368=4,S367+1,0))</f>
        <v/>
      </c>
      <c r="T368" s="43">
        <f>IF(Q368=1,A368,"")</f>
        <v/>
      </c>
    </row>
    <row r="369">
      <c r="A369" s="36">
        <f>A368+1</f>
        <v/>
      </c>
      <c r="B369" s="37">
        <f>IF(A369="","",TEXT(A369,"ddd"))</f>
        <v/>
      </c>
      <c r="C369" s="38" t="n"/>
      <c r="D369" s="38" t="n"/>
      <c r="E369" s="38" t="n"/>
      <c r="F369" s="38" t="n"/>
      <c r="G369" s="38" t="n"/>
      <c r="H369" s="38" t="n"/>
      <c r="I369" s="38" t="n"/>
      <c r="J369" s="38" t="n"/>
      <c r="K369" s="38" t="n"/>
      <c r="L369" s="39" t="n"/>
      <c r="M369" s="39" t="n"/>
      <c r="N369" s="38" t="n"/>
      <c r="O369" s="40">
        <f>IF($Q369=0,"",IF(C369&gt;=C$2,1,0)+IF(D369&gt;=D$2,1,0)+IF(E369&gt;=E$2,1,0)+IF(F369&gt;=F$2,1,0))</f>
        <v/>
      </c>
      <c r="P369" s="41" t="n"/>
      <c r="Q369" s="42">
        <f>IF(COUNT(C369:M369)&gt;0,1,0)</f>
        <v/>
      </c>
      <c r="R369" s="42">
        <f>IF(Q369=0,0,R368+1)</f>
        <v/>
      </c>
      <c r="S369" s="42">
        <f>IF(O369="",0,IF(O369=4,S368+1,0))</f>
        <v/>
      </c>
      <c r="T369" s="43">
        <f>IF(Q369=1,A369,"")</f>
        <v/>
      </c>
    </row>
  </sheetData>
  <mergeCells count="2">
    <mergeCell ref="A1:T1"/>
    <mergeCell ref="H2:P2"/>
  </mergeCells>
  <conditionalFormatting sqref="C4:F369">
    <cfRule type="expression" priority="1" dxfId="0" stopIfTrue="0">
      <formula>AND($Q4=1,C4&gt;=C$2)</formula>
    </cfRule>
    <cfRule type="expression" priority="2" dxfId="1" stopIfTrue="0">
      <formula>AND($Q4=1,C4&lt;C$2)</formula>
    </cfRule>
  </conditionalFormatting>
  <conditionalFormatting sqref="O4:O369">
    <cfRule type="expression" priority="3" dxfId="0" stopIfTrue="0">
      <formula>$O4=4</formula>
    </cfRule>
    <cfRule type="expression" priority="4" dxfId="2" stopIfTrue="0">
      <formula>AND($Q4=1,$O4&lt;2)</formula>
    </cfRule>
  </conditionalFormatting>
  <conditionalFormatting sqref="A4:B369">
    <cfRule type="expression" priority="5" dxfId="3" stopIfTrue="0">
      <formula>$A4=TODAY()</formula>
    </cfRule>
  </conditionalFormatting>
  <conditionalFormatting sqref="G4:N369">
    <cfRule type="expression" priority="6" dxfId="3" stopIfTrue="0">
      <formula>$A4=TODAY()</formula>
    </cfRule>
  </conditionalFormatting>
  <conditionalFormatting sqref="P4:T369">
    <cfRule type="expression" priority="7" dxfId="3" stopIfTrue="0">
      <formula>$A4=TODAY()</formula>
    </cfRule>
  </conditionalFormatting>
  <dataValidations count="2">
    <dataValidation sqref="C4:C369 D4:D369 E4:E369 F4:F369 G4:G369 H4:H369 I4:I369 J4:J369 K4:K369 N4:N369" showDropDown="0" showInputMessage="0" showErrorMessage="1" allowBlank="1" errorTitle="Whole numbers only" error="Enter a whole number of 0 or more." type="whole" operator="greaterThanOrEqual">
      <formula1>0</formula1>
    </dataValidation>
    <dataValidation sqref="L4:L369 M4:M369" showDropDown="0" showInputMessage="0" showErrorMessage="1" allowBlank="1" errorTitle="Amount only" error="Enter a dollar amount of 0 or more."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C4552B"/>
    <outlinePr summaryBelow="1" summaryRight="1"/>
    <pageSetUpPr/>
  </sheetPr>
  <dimension ref="A1:G41"/>
  <sheetViews>
    <sheetView showGridLines="0" workbookViewId="0">
      <selection activeCell="A1" sqref="A1"/>
    </sheetView>
  </sheetViews>
  <sheetFormatPr baseColWidth="8" defaultRowHeight="15"/>
  <cols>
    <col width="30" customWidth="1" min="1" max="1"/>
    <col width="15" customWidth="1" min="2" max="2"/>
    <col width="18" customWidth="1" min="3" max="3"/>
    <col width="14" customWidth="1" min="4" max="4"/>
    <col width="14" customWidth="1" min="5" max="5"/>
    <col width="12" customWidth="1" min="6" max="6"/>
    <col width="18" customWidth="1" min="7" max="7"/>
  </cols>
  <sheetData>
    <row r="1" ht="46" customHeight="1">
      <c r="A1" s="1" t="inlineStr">
        <is>
          <t>DEMO · THIS WEEK · SAMPLE DATA — REFERENCE ONLY</t>
        </is>
      </c>
    </row>
    <row r="2">
      <c r="A2" s="2">
        <f>"Week of "&amp;TEXT(B3,"d mmm")&amp;" — day "&amp;D3&amp;" of 7.   Last week: "&amp;TEXT(F3,"d mmm")&amp;" to "&amp;TEXT(G3,"d mmm")</f>
        <v/>
      </c>
    </row>
    <row r="3">
      <c r="A3" s="44" t="inlineStr">
        <is>
          <t>Week starts</t>
        </is>
      </c>
      <c r="B3" s="45">
        <f>TODAY()-WEEKDAY(TODAY(),2)+1</f>
        <v/>
      </c>
      <c r="C3" s="44" t="inlineStr">
        <is>
          <t>Day of week</t>
        </is>
      </c>
      <c r="D3" s="44">
        <f>TODAY()-B3+1</f>
        <v/>
      </c>
      <c r="E3" s="44" t="inlineStr">
        <is>
          <t>Last week</t>
        </is>
      </c>
      <c r="F3" s="45">
        <f>B3-7</f>
        <v/>
      </c>
      <c r="G3" s="45">
        <f>B3-1</f>
        <v/>
      </c>
    </row>
    <row r="5" ht="28" customHeight="1">
      <c r="A5" s="46">
        <f>IF(SUM(B10:B13)=0,"Log a couple of days and this line tells you what to fix first.",IF(MIN($F$10:$F$13)&gt;=1,"Every standard is at or ahead of pace. Hold it — and push volume.","Fix this first: "&amp;INDEX($A$10:$A$13,MATCH(MIN($F$10:$F$13),$F$10:$F$13,0))&amp;" — you are at "&amp;TEXT(MIN($F$10:$F$13),"0%")&amp;" of your target for end of today."))</f>
        <v/>
      </c>
    </row>
    <row r="6" ht="24" customHeight="1">
      <c r="A6" s="47">
        <f>IF(COUNT('Weekly Rollup'!$C$4:$C$16)&lt;3,"Three weeks in, this line names the weakest step in your funnel.",IF(COUNT($D$27:$D$31)=0,"Log some calls and this line compares your rates to your average.",IF(MIN($D$27:$D$31)&gt;=0,"Every rate is at or above your average this week — so push volume.","Biggest drop vs your average: "&amp;INDEX($A$27:$A$31,MATCH(MIN($D$27:$D$31),$D$27:$D$31,0))&amp;", "&amp;TEXT(ABS(MIN($D$27:$D$31)),"0.0%")&amp;" below your usual.")))</f>
        <v/>
      </c>
    </row>
    <row r="8" ht="21" customHeight="1">
      <c r="A8" s="5" t="inlineStr">
        <is>
          <t>THE WORK — this part you control</t>
        </is>
      </c>
    </row>
    <row r="9" ht="32" customHeight="1">
      <c r="A9" s="6" t="inlineStr">
        <is>
          <t>Standard</t>
        </is>
      </c>
      <c r="B9" s="6" t="inlineStr">
        <is>
          <t>This week so far</t>
        </is>
      </c>
      <c r="C9" s="6" t="inlineStr">
        <is>
          <t>Target by
end of today</t>
        </is>
      </c>
      <c r="D9" s="6" t="inlineStr">
        <is>
          <t>Ahead / behind</t>
        </is>
      </c>
      <c r="E9" s="6" t="inlineStr">
        <is>
          <t>Weekly target</t>
        </is>
      </c>
      <c r="F9" s="6" t="inlineStr">
        <is>
          <t>% of pace</t>
        </is>
      </c>
      <c r="G9" s="6" t="inlineStr">
        <is>
          <t>Next week: aim per day</t>
        </is>
      </c>
    </row>
    <row r="10">
      <c r="A10" s="48" t="inlineStr">
        <is>
          <t>Reels / posts</t>
        </is>
      </c>
      <c r="B10" s="49">
        <f>SUMIFS('Daily Log'!$C$4:$C$369,'Daily Log'!$A$4:$A$369,"&gt;="&amp;$B$3,'Daily Log'!$A$4:$A$369,"&lt;="&amp;TODAY())</f>
        <v/>
      </c>
      <c r="C10" s="50">
        <f>Setup!$C$12*$D$3</f>
        <v/>
      </c>
      <c r="D10" s="51">
        <f>B10-C10</f>
        <v/>
      </c>
      <c r="E10" s="50">
        <f>Setup!$C$12*7</f>
        <v/>
      </c>
      <c r="F10" s="52">
        <f>IFERROR(B10/C10,0)</f>
        <v/>
      </c>
      <c r="G10" s="53">
        <f>IF(F10&gt;=1,ROUND(Setup!$C$12*1.1,0),Setup!$C$12)</f>
        <v/>
      </c>
    </row>
    <row r="11">
      <c r="A11" s="48" t="inlineStr">
        <is>
          <t>Stories</t>
        </is>
      </c>
      <c r="B11" s="49">
        <f>SUMIFS('Daily Log'!$D$4:$D$369,'Daily Log'!$A$4:$A$369,"&gt;="&amp;$B$3,'Daily Log'!$A$4:$A$369,"&lt;="&amp;TODAY())</f>
        <v/>
      </c>
      <c r="C11" s="50">
        <f>Setup!$C$13*$D$3</f>
        <v/>
      </c>
      <c r="D11" s="51">
        <f>B11-C11</f>
        <v/>
      </c>
      <c r="E11" s="50">
        <f>Setup!$C$13*7</f>
        <v/>
      </c>
      <c r="F11" s="52">
        <f>IFERROR(B11/C11,0)</f>
        <v/>
      </c>
      <c r="G11" s="53">
        <f>IF(F11&gt;=1,ROUND(Setup!$C$13*1.1,0),Setup!$C$13)</f>
        <v/>
      </c>
    </row>
    <row r="12">
      <c r="A12" s="48" t="inlineStr">
        <is>
          <t>Opener DMs</t>
        </is>
      </c>
      <c r="B12" s="49">
        <f>SUMIFS('Daily Log'!$E$4:$E$369,'Daily Log'!$A$4:$A$369,"&gt;="&amp;$B$3,'Daily Log'!$A$4:$A$369,"&lt;="&amp;TODAY())</f>
        <v/>
      </c>
      <c r="C12" s="50">
        <f>Setup!$C$14*$D$3</f>
        <v/>
      </c>
      <c r="D12" s="51">
        <f>B12-C12</f>
        <v/>
      </c>
      <c r="E12" s="50">
        <f>Setup!$C$14*7</f>
        <v/>
      </c>
      <c r="F12" s="52">
        <f>IFERROR(B12/C12,0)</f>
        <v/>
      </c>
      <c r="G12" s="53">
        <f>IF(F12&gt;=1,ROUND(Setup!$C$14*1.1,0),Setup!$C$14)</f>
        <v/>
      </c>
    </row>
    <row r="13">
      <c r="A13" s="48" t="inlineStr">
        <is>
          <t>Follow-up DMs</t>
        </is>
      </c>
      <c r="B13" s="49">
        <f>SUMIFS('Daily Log'!$F$4:$F$369,'Daily Log'!$A$4:$A$369,"&gt;="&amp;$B$3,'Daily Log'!$A$4:$A$369,"&lt;="&amp;TODAY())</f>
        <v/>
      </c>
      <c r="C13" s="50">
        <f>Setup!$C$15*$D$3</f>
        <v/>
      </c>
      <c r="D13" s="51">
        <f>B13-C13</f>
        <v/>
      </c>
      <c r="E13" s="50">
        <f>Setup!$C$15*7</f>
        <v/>
      </c>
      <c r="F13" s="52">
        <f>IFERROR(B13/C13,0)</f>
        <v/>
      </c>
      <c r="G13" s="53">
        <f>IF(F13&gt;=1,ROUND(Setup!$C$15*1.1,0),Setup!$C$15)</f>
        <v/>
      </c>
    </row>
    <row r="15" ht="21" customHeight="1">
      <c r="A15" s="5" t="inlineStr">
        <is>
          <t>THE RESULT — this part follows</t>
        </is>
      </c>
    </row>
    <row r="16" ht="32" customHeight="1">
      <c r="A16" s="6" t="inlineStr">
        <is>
          <t>Metric</t>
        </is>
      </c>
      <c r="B16" s="6" t="inlineStr">
        <is>
          <t>This week so far</t>
        </is>
      </c>
      <c r="C16" s="6" t="inlineStr">
        <is>
          <t>Last week</t>
        </is>
      </c>
      <c r="D16" s="6" t="inlineStr">
        <is>
          <t>Change</t>
        </is>
      </c>
    </row>
    <row r="17">
      <c r="A17" s="48" t="inlineStr">
        <is>
          <t>Total DMs sent</t>
        </is>
      </c>
      <c r="B17" s="49">
        <f>SUMIFS('Daily Log'!$E$4:$E$369,'Daily Log'!$A$4:$A$369,"&gt;="&amp;$B$3,'Daily Log'!$A$4:$A$369,"&lt;="&amp;TODAY())+SUMIFS('Daily Log'!$F$4:$F$369,'Daily Log'!$A$4:$A$369,"&gt;="&amp;$B$3,'Daily Log'!$A$4:$A$369,"&lt;="&amp;TODAY())</f>
        <v/>
      </c>
      <c r="C17" s="50">
        <f>SUMIFS('Daily Log'!$E$4:$E$369,'Daily Log'!$A$4:$A$369,"&gt;="&amp;$F$3,'Daily Log'!$A$4:$A$369,"&lt;="&amp;$G$3)+SUMIFS('Daily Log'!$F$4:$F$369,'Daily Log'!$A$4:$A$369,"&gt;="&amp;$F$3,'Daily Log'!$A$4:$A$369,"&lt;="&amp;$G$3)</f>
        <v/>
      </c>
      <c r="D17" s="51">
        <f>B17-C17</f>
        <v/>
      </c>
    </row>
    <row r="18">
      <c r="A18" s="54" t="inlineStr">
        <is>
          <t>Replies</t>
        </is>
      </c>
      <c r="B18" s="49">
        <f>SUMIFS('Daily Log'!$G$4:$G$369,'Daily Log'!$A$4:$A$369,"&gt;="&amp;$B$3,'Daily Log'!$A$4:$A$369,"&lt;="&amp;TODAY())</f>
        <v/>
      </c>
      <c r="C18" s="50">
        <f>SUMIFS('Daily Log'!$G$4:$G$369,'Daily Log'!$A$4:$A$369,"&gt;="&amp;$F$3,'Daily Log'!$A$4:$A$369,"&lt;="&amp;$G$3)</f>
        <v/>
      </c>
      <c r="D18" s="51">
        <f>B18-C18</f>
        <v/>
      </c>
    </row>
    <row r="19">
      <c r="A19" s="54" t="inlineStr">
        <is>
          <t>Calls pitched</t>
        </is>
      </c>
      <c r="B19" s="49">
        <f>SUMIFS('Daily Log'!$H$4:$H$369,'Daily Log'!$A$4:$A$369,"&gt;="&amp;$B$3,'Daily Log'!$A$4:$A$369,"&lt;="&amp;TODAY())</f>
        <v/>
      </c>
      <c r="C19" s="50">
        <f>SUMIFS('Daily Log'!$H$4:$H$369,'Daily Log'!$A$4:$A$369,"&gt;="&amp;$F$3,'Daily Log'!$A$4:$A$369,"&lt;="&amp;$G$3)</f>
        <v/>
      </c>
      <c r="D19" s="51">
        <f>B19-C19</f>
        <v/>
      </c>
    </row>
    <row r="20">
      <c r="A20" s="54" t="inlineStr">
        <is>
          <t>Calls booked</t>
        </is>
      </c>
      <c r="B20" s="49">
        <f>SUMIFS('Daily Log'!$I$4:$I$369,'Daily Log'!$A$4:$A$369,"&gt;="&amp;$B$3,'Daily Log'!$A$4:$A$369,"&lt;="&amp;TODAY())</f>
        <v/>
      </c>
      <c r="C20" s="50">
        <f>SUMIFS('Daily Log'!$I$4:$I$369,'Daily Log'!$A$4:$A$369,"&gt;="&amp;$F$3,'Daily Log'!$A$4:$A$369,"&lt;="&amp;$G$3)</f>
        <v/>
      </c>
      <c r="D20" s="51">
        <f>B20-C20</f>
        <v/>
      </c>
    </row>
    <row r="21">
      <c r="A21" s="54" t="inlineStr">
        <is>
          <t>Calls showed</t>
        </is>
      </c>
      <c r="B21" s="49">
        <f>SUMIFS('Daily Log'!$J$4:$J$369,'Daily Log'!$A$4:$A$369,"&gt;="&amp;$B$3,'Daily Log'!$A$4:$A$369,"&lt;="&amp;TODAY())</f>
        <v/>
      </c>
      <c r="C21" s="50">
        <f>SUMIFS('Daily Log'!$J$4:$J$369,'Daily Log'!$A$4:$A$369,"&gt;="&amp;$F$3,'Daily Log'!$A$4:$A$369,"&lt;="&amp;$G$3)</f>
        <v/>
      </c>
      <c r="D21" s="51">
        <f>B21-C21</f>
        <v/>
      </c>
    </row>
    <row r="22">
      <c r="A22" s="54" t="inlineStr">
        <is>
          <t>Closes</t>
        </is>
      </c>
      <c r="B22" s="49">
        <f>SUMIFS('Daily Log'!$K$4:$K$369,'Daily Log'!$A$4:$A$369,"&gt;="&amp;$B$3,'Daily Log'!$A$4:$A$369,"&lt;="&amp;TODAY())</f>
        <v/>
      </c>
      <c r="C22" s="50">
        <f>SUMIFS('Daily Log'!$K$4:$K$369,'Daily Log'!$A$4:$A$369,"&gt;="&amp;$F$3,'Daily Log'!$A$4:$A$369,"&lt;="&amp;$G$3)</f>
        <v/>
      </c>
      <c r="D22" s="51">
        <f>B22-C22</f>
        <v/>
      </c>
    </row>
    <row r="23">
      <c r="A23" s="48" t="inlineStr">
        <is>
          <t>Cash collected</t>
        </is>
      </c>
      <c r="B23" s="55">
        <f>SUMIFS('Daily Log'!$L$4:$L$369,'Daily Log'!$A$4:$A$369,"&gt;="&amp;$B$3,'Daily Log'!$A$4:$A$369,"&lt;="&amp;TODAY())</f>
        <v/>
      </c>
      <c r="C23" s="56">
        <f>SUMIFS('Daily Log'!$L$4:$L$369,'Daily Log'!$A$4:$A$369,"&gt;="&amp;$F$3,'Daily Log'!$A$4:$A$369,"&lt;="&amp;$G$3)</f>
        <v/>
      </c>
      <c r="D23" s="57">
        <f>B23-C23</f>
        <v/>
      </c>
    </row>
    <row r="25" ht="21" customHeight="1">
      <c r="A25" s="5" t="inlineStr">
        <is>
          <t>YOUR RATES vs YOUR OWN 13-WEEK AVERAGE</t>
        </is>
      </c>
    </row>
    <row r="26" ht="32" customHeight="1">
      <c r="A26" s="6" t="inlineStr">
        <is>
          <t>Rate</t>
        </is>
      </c>
      <c r="B26" s="6" t="inlineStr">
        <is>
          <t>This week</t>
        </is>
      </c>
      <c r="C26" s="6" t="inlineStr">
        <is>
          <t>Your average</t>
        </is>
      </c>
      <c r="D26" s="6" t="inlineStr">
        <is>
          <t>Difference</t>
        </is>
      </c>
    </row>
    <row r="27">
      <c r="A27" s="48" t="inlineStr">
        <is>
          <t>Reply rate</t>
        </is>
      </c>
      <c r="B27" s="58">
        <f>IFERROR(B18/B17,"")</f>
        <v/>
      </c>
      <c r="C27" s="59">
        <f>IFERROR(AVERAGE('Weekly Rollup'!$P$4:$P$16),"")</f>
        <v/>
      </c>
      <c r="D27" s="60">
        <f>IFERROR(B27-C27,"")</f>
        <v/>
      </c>
    </row>
    <row r="28">
      <c r="A28" s="48" t="inlineStr">
        <is>
          <t>Pitch rate</t>
        </is>
      </c>
      <c r="B28" s="58">
        <f>IFERROR(B19/B18,"")</f>
        <v/>
      </c>
      <c r="C28" s="59">
        <f>IFERROR(AVERAGE('Weekly Rollup'!$Q$4:$Q$16),"")</f>
        <v/>
      </c>
      <c r="D28" s="60">
        <f>IFERROR(B28-C28,"")</f>
        <v/>
      </c>
    </row>
    <row r="29">
      <c r="A29" s="48" t="inlineStr">
        <is>
          <t>Book rate</t>
        </is>
      </c>
      <c r="B29" s="58">
        <f>IFERROR(B20/B19,"")</f>
        <v/>
      </c>
      <c r="C29" s="59">
        <f>IFERROR(AVERAGE('Weekly Rollup'!$R$4:$R$16),"")</f>
        <v/>
      </c>
      <c r="D29" s="60">
        <f>IFERROR(B29-C29,"")</f>
        <v/>
      </c>
    </row>
    <row r="30">
      <c r="A30" s="48" t="inlineStr">
        <is>
          <t>Show rate</t>
        </is>
      </c>
      <c r="B30" s="58">
        <f>IFERROR(B21/B20,"")</f>
        <v/>
      </c>
      <c r="C30" s="59">
        <f>IFERROR(AVERAGE('Weekly Rollup'!$S$4:$S$16),"")</f>
        <v/>
      </c>
      <c r="D30" s="60">
        <f>IFERROR(B30-C30,"")</f>
        <v/>
      </c>
    </row>
    <row r="31">
      <c r="A31" s="48" t="inlineStr">
        <is>
          <t>Close rate</t>
        </is>
      </c>
      <c r="B31" s="58">
        <f>IFERROR(B22/B21,"")</f>
        <v/>
      </c>
      <c r="C31" s="59">
        <f>IFERROR(AVERAGE('Weekly Rollup'!$T$4:$T$16),"")</f>
        <v/>
      </c>
      <c r="D31" s="60">
        <f>IFERROR(B31-C31,"")</f>
        <v/>
      </c>
    </row>
    <row r="33" ht="21" customHeight="1">
      <c r="A33" s="5" t="inlineStr">
        <is>
          <t>AIM FOR NEXT WEEK</t>
        </is>
      </c>
    </row>
    <row r="34" ht="26" customHeight="1">
      <c r="A34" s="61">
        <f>IF(SUM(B10:B13)=0,"Log this week first — next week's aim builds off it.","Next week, the one to protect: "&amp;INDEX($A$10:$A$13,MATCH(MIN($F$10:$F$13),$F$10:$F$13,0))&amp;" — "&amp;INDEX($G$10:$G$13,MATCH(MIN($F$10:$F$13),$F$10:$F$13,0))&amp;" a day, every day.")</f>
        <v/>
      </c>
    </row>
    <row r="35" ht="32" customHeight="1">
      <c r="A35" s="6" t="inlineStr">
        <is>
          <t>Standard</t>
        </is>
      </c>
      <c r="B35" s="6" t="inlineStr">
        <is>
          <t>This week</t>
        </is>
      </c>
      <c r="C35" s="6" t="inlineStr">
        <is>
          <t>Per day</t>
        </is>
      </c>
      <c r="D35" s="6" t="inlineStr">
        <is>
          <t>Week total</t>
        </is>
      </c>
      <c r="E35" s="6" t="inlineStr">
        <is>
          <t>Why</t>
        </is>
      </c>
      <c r="F35" s="25" t="n"/>
      <c r="G35" s="26" t="n"/>
    </row>
    <row r="36">
      <c r="A36" s="48" t="inlineStr">
        <is>
          <t>Reels / posts</t>
        </is>
      </c>
      <c r="B36" s="50">
        <f>B10</f>
        <v/>
      </c>
      <c r="C36" s="53">
        <f>G10</f>
        <v/>
      </c>
      <c r="D36" s="49">
        <f>C36*7</f>
        <v/>
      </c>
      <c r="E36" s="62">
        <f>IF(F10&gt;=1,"Held the line — push it 10%.","Missed it. Hold the standard and close the gap.")</f>
        <v/>
      </c>
    </row>
    <row r="37">
      <c r="A37" s="48" t="inlineStr">
        <is>
          <t>Stories</t>
        </is>
      </c>
      <c r="B37" s="50">
        <f>B11</f>
        <v/>
      </c>
      <c r="C37" s="53">
        <f>G11</f>
        <v/>
      </c>
      <c r="D37" s="49">
        <f>C37*7</f>
        <v/>
      </c>
      <c r="E37" s="62">
        <f>IF(F11&gt;=1,"Held the line — push it 10%.","Missed it. Hold the standard and close the gap.")</f>
        <v/>
      </c>
    </row>
    <row r="38">
      <c r="A38" s="48" t="inlineStr">
        <is>
          <t>Opener DMs</t>
        </is>
      </c>
      <c r="B38" s="50">
        <f>B12</f>
        <v/>
      </c>
      <c r="C38" s="53">
        <f>G12</f>
        <v/>
      </c>
      <c r="D38" s="49">
        <f>C38*7</f>
        <v/>
      </c>
      <c r="E38" s="62">
        <f>IF(F12&gt;=1,"Held the line — push it 10%.","Missed it. Hold the standard and close the gap.")</f>
        <v/>
      </c>
    </row>
    <row r="39">
      <c r="A39" s="48" t="inlineStr">
        <is>
          <t>Follow-up DMs</t>
        </is>
      </c>
      <c r="B39" s="50">
        <f>B13</f>
        <v/>
      </c>
      <c r="C39" s="53">
        <f>G13</f>
        <v/>
      </c>
      <c r="D39" s="49">
        <f>C39*7</f>
        <v/>
      </c>
      <c r="E39" s="62">
        <f>IF(F13&gt;=1,"Held the line — push it 10%.","Missed it. Hold the standard and close the gap.")</f>
        <v/>
      </c>
    </row>
    <row r="41" ht="26" customHeight="1">
      <c r="A41" s="63" t="inlineStr">
        <is>
          <t>Per day nudges up 10% on anything you hit this week and holds the standard on anything you didn't. It's a suggestion — your actual standards live on Setup.</t>
        </is>
      </c>
    </row>
  </sheetData>
  <mergeCells count="15">
    <mergeCell ref="A1:G1"/>
    <mergeCell ref="E36:G36"/>
    <mergeCell ref="E38:G38"/>
    <mergeCell ref="A8:G8"/>
    <mergeCell ref="A6:G6"/>
    <mergeCell ref="E37:G37"/>
    <mergeCell ref="A34:G34"/>
    <mergeCell ref="E39:G39"/>
    <mergeCell ref="A2:G2"/>
    <mergeCell ref="E35:G35"/>
    <mergeCell ref="A15:G15"/>
    <mergeCell ref="A25:G25"/>
    <mergeCell ref="A41:G41"/>
    <mergeCell ref="A33:G33"/>
    <mergeCell ref="A5:G5"/>
  </mergeCells>
  <conditionalFormatting sqref="D10:D13">
    <cfRule type="expression" priority="1" dxfId="0">
      <formula>D10&gt;=0</formula>
    </cfRule>
    <cfRule type="expression" priority="2" dxfId="2">
      <formula>D10&lt;0</formula>
    </cfRule>
  </conditionalFormatting>
  <conditionalFormatting sqref="D17:D23">
    <cfRule type="expression" priority="3" dxfId="0">
      <formula>D17&gt;0</formula>
    </cfRule>
    <cfRule type="expression" priority="4" dxfId="2">
      <formula>D17&lt;0</formula>
    </cfRule>
  </conditionalFormatting>
  <conditionalFormatting sqref="D27:D31">
    <cfRule type="expression" priority="5" dxfId="0">
      <formula>AND(D27&lt;&gt;"",D27&gt;0)</formula>
    </cfRule>
    <cfRule type="expression" priority="6" dxfId="2">
      <formula>AND(D27&lt;&gt;"",D27&lt;0)</formula>
    </cfRule>
  </conditionalFormatting>
  <conditionalFormatting sqref="F10:F13">
    <cfRule type="expression" priority="7" dxfId="0">
      <formula>F10&gt;=1</formula>
    </cfRule>
    <cfRule type="expression" priority="8" dxfId="4">
      <formula>AND(F10&gt;=0.8,F10&lt;1)</formula>
    </cfRule>
    <cfRule type="expression" priority="9" dxfId="2">
      <formula>F10&lt;0.8</formula>
    </cfRule>
  </conditionalFormatting>
  <pageMargins left="0.75" right="0.75" top="1" bottom="1" header="0.5" footer="0.5"/>
</worksheet>
</file>

<file path=xl/worksheets/sheet5.xml><?xml version="1.0" encoding="utf-8"?>
<worksheet xmlns="http://schemas.openxmlformats.org/spreadsheetml/2006/main">
  <sheetPr>
    <tabColor rgb="00C4552B"/>
    <outlinePr summaryBelow="1" summaryRight="1"/>
    <pageSetUpPr/>
  </sheetPr>
  <dimension ref="A1:K48"/>
  <sheetViews>
    <sheetView showGridLines="0"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1" customWidth="1" min="7" max="7"/>
    <col width="13" customWidth="1" min="8" max="8"/>
    <col width="13" customWidth="1" min="9" max="9"/>
    <col width="13" customWidth="1" min="10" max="10"/>
    <col width="13" customWidth="1" min="11" max="11"/>
  </cols>
  <sheetData>
    <row r="1" ht="46" customHeight="1">
      <c r="A1" s="1" t="inlineStr">
        <is>
          <t>DEMO · KPI DASHBOARD · SAMPLE DATA — REFERENCE ONLY</t>
        </is>
      </c>
    </row>
    <row r="2" ht="18" customHeight="1">
      <c r="A2" s="2" t="inlineStr">
        <is>
          <t>100% automatic. If a number looks wrong, the fix is in the Daily Log — not here.</t>
        </is>
      </c>
    </row>
    <row r="4" ht="16" customHeight="1">
      <c r="B4" s="64" t="inlineStr">
        <is>
          <t>CASH THIS MONTH</t>
        </is>
      </c>
      <c r="D4" s="64" t="inlineStr">
        <is>
          <t>% OF MONTHLY GOAL</t>
        </is>
      </c>
      <c r="F4" s="64" t="inlineStr">
        <is>
          <t>CALLS BOOKED THIS WEEK</t>
        </is>
      </c>
      <c r="H4" s="64" t="inlineStr">
        <is>
          <t>DAYS LOGGED IN A ROW</t>
        </is>
      </c>
      <c r="J4" s="64" t="inlineStr">
        <is>
          <t>PERFECT DAYS IN A ROW</t>
        </is>
      </c>
    </row>
    <row r="5" ht="16" customHeight="1">
      <c r="A5" s="65" t="inlineStr">
        <is>
          <t>AT A GLANCE</t>
        </is>
      </c>
      <c r="B5" s="66">
        <f>SUMIFS('Daily Log'!$L$4:$L$369,'Daily Log'!$A$4:$A$369,"&gt;="&amp;$D$10,'Daily Log'!$A$4:$A$369,"&lt;="&amp;$D$11)</f>
        <v/>
      </c>
      <c r="D5" s="67">
        <f>IFERROR(B5/Setup!$C$18,0)</f>
        <v/>
      </c>
      <c r="F5" s="68">
        <f>SUMIFS('Daily Log'!$I$4:$I$369,'Daily Log'!$A$4:$A$369,"&gt;="&amp;$B$10,'Daily Log'!$A$4:$A$369,"&lt;="&amp;$B$11)</f>
        <v/>
      </c>
      <c r="H5" s="68">
        <f>IFERROR(IF(INDEX('Daily Log'!$R$4:$R$369,MATCH(TODAY(),'Daily Log'!$A$4:$A$369,0))&gt;0,INDEX('Daily Log'!$R$4:$R$369,MATCH(TODAY(),'Daily Log'!$A$4:$A$369,0)),INDEX('Daily Log'!$R$4:$R$369,MATCH(TODAY()-1,'Daily Log'!$A$4:$A$369,0))),0)</f>
        <v/>
      </c>
      <c r="J5" s="68">
        <f>IFERROR(IF(INDEX('Daily Log'!$S$4:$S$369,MATCH(TODAY(),'Daily Log'!$A$4:$A$369,0))&gt;0,INDEX('Daily Log'!$S$4:$S$369,MATCH(TODAY(),'Daily Log'!$A$4:$A$369,0)),INDEX('Daily Log'!$S$4:$S$369,MATCH(TODAY()-1,'Daily Log'!$A$4:$A$369,0))),0)</f>
        <v/>
      </c>
    </row>
    <row r="6" ht="16" customHeight="1"/>
    <row r="7" ht="19" customHeight="1">
      <c r="A7" s="69">
        <f>"Last entry: "&amp;IF($G$7=-1,"nothing logged yet",IF($G$7=0,"today",IF($G$7=1,"yesterday",$G$7&amp;" days ago")))</f>
        <v/>
      </c>
      <c r="G7" s="70">
        <f>IF(MAX('Daily Log'!$T$4:$T$369)=0,-1,TODAY()-MAX('Daily Log'!$T$4:$T$369))</f>
        <v/>
      </c>
    </row>
    <row r="8" ht="20" customHeight="1">
      <c r="B8" s="71" t="inlineStr">
        <is>
          <t>This Week</t>
        </is>
      </c>
      <c r="C8" s="71" t="inlineStr">
        <is>
          <t>Last Week</t>
        </is>
      </c>
      <c r="D8" s="71" t="inlineStr">
        <is>
          <t>This Month</t>
        </is>
      </c>
      <c r="E8" s="71" t="inlineStr">
        <is>
          <t>Last Month</t>
        </is>
      </c>
      <c r="F8" s="71" t="inlineStr">
        <is>
          <t>All Time</t>
        </is>
      </c>
    </row>
    <row r="9">
      <c r="B9" s="72">
        <f>TEXT(B10,"d mmm")&amp;" – "&amp;TEXT(B11,"d mmm")</f>
        <v/>
      </c>
      <c r="C9" s="72">
        <f>TEXT(C10,"d mmm")&amp;" – "&amp;TEXT(C11,"d mmm")</f>
        <v/>
      </c>
      <c r="D9" s="72">
        <f>TEXT(D10,"d mmm")&amp;" – "&amp;TEXT(D11,"d mmm")</f>
        <v/>
      </c>
      <c r="E9" s="72">
        <f>TEXT(E10,"d mmm")&amp;" – "&amp;TEXT(E11,"d mmm")</f>
        <v/>
      </c>
      <c r="F9" s="72">
        <f>TEXT(F10,"d mmm")&amp;" – "&amp;TEXT(F11,"d mmm")</f>
        <v/>
      </c>
    </row>
    <row r="10">
      <c r="A10" s="73" t="inlineStr">
        <is>
          <t>Period start</t>
        </is>
      </c>
      <c r="B10" s="74">
        <f>TODAY()-WEEKDAY(TODAY(),2)+1</f>
        <v/>
      </c>
      <c r="C10" s="74">
        <f>B10-7</f>
        <v/>
      </c>
      <c r="D10" s="74">
        <f>DATE(YEAR(TODAY()),MONTH(TODAY()),1)</f>
        <v/>
      </c>
      <c r="E10" s="74">
        <f>EOMONTH(TODAY(),-2)+1</f>
        <v/>
      </c>
      <c r="F10" s="74">
        <f>Setup!$C$8</f>
        <v/>
      </c>
    </row>
    <row r="11">
      <c r="A11" s="73" t="inlineStr">
        <is>
          <t>Period end</t>
        </is>
      </c>
      <c r="B11" s="74">
        <f>TODAY()</f>
        <v/>
      </c>
      <c r="C11" s="74">
        <f>B10-1</f>
        <v/>
      </c>
      <c r="D11" s="74">
        <f>TODAY()</f>
        <v/>
      </c>
      <c r="E11" s="74">
        <f>EOMONTH(TODAY(),-1)</f>
        <v/>
      </c>
      <c r="F11" s="74">
        <f>TODAY()</f>
        <v/>
      </c>
    </row>
    <row r="13" ht="21" customHeight="1">
      <c r="A13" s="5" t="inlineStr">
        <is>
          <t>ACTIVITY — what you put in</t>
        </is>
      </c>
    </row>
    <row r="14">
      <c r="A14" s="75" t="inlineStr">
        <is>
          <t>Days Logged</t>
        </is>
      </c>
      <c r="B14" s="50">
        <f>SUMIFS('Daily Log'!$Q$4:$Q$369,'Daily Log'!$A$4:$A$369,"&gt;="&amp;B$10,'Daily Log'!$A$4:$A$369,"&lt;="&amp;B$11)</f>
        <v/>
      </c>
      <c r="C14" s="50">
        <f>SUMIFS('Daily Log'!$Q$4:$Q$369,'Daily Log'!$A$4:$A$369,"&gt;="&amp;C$10,'Daily Log'!$A$4:$A$369,"&lt;="&amp;C$11)</f>
        <v/>
      </c>
      <c r="D14" s="50">
        <f>SUMIFS('Daily Log'!$Q$4:$Q$369,'Daily Log'!$A$4:$A$369,"&gt;="&amp;D$10,'Daily Log'!$A$4:$A$369,"&lt;="&amp;D$11)</f>
        <v/>
      </c>
      <c r="E14" s="50">
        <f>SUMIFS('Daily Log'!$Q$4:$Q$369,'Daily Log'!$A$4:$A$369,"&gt;="&amp;E$10,'Daily Log'!$A$4:$A$369,"&lt;="&amp;E$11)</f>
        <v/>
      </c>
      <c r="F14" s="50">
        <f>SUMIFS('Daily Log'!$Q$4:$Q$369,'Daily Log'!$A$4:$A$369,"&gt;="&amp;F$10,'Daily Log'!$A$4:$A$369,"&lt;="&amp;F$11)</f>
        <v/>
      </c>
    </row>
    <row r="15">
      <c r="A15" s="75" t="inlineStr">
        <is>
          <t>Reels / Posts</t>
        </is>
      </c>
      <c r="B15" s="50">
        <f>SUMIFS('Daily Log'!$C$4:$C$369,'Daily Log'!$A$4:$A$369,"&gt;="&amp;B$10,'Daily Log'!$A$4:$A$369,"&lt;="&amp;B$11)</f>
        <v/>
      </c>
      <c r="C15" s="50">
        <f>SUMIFS('Daily Log'!$C$4:$C$369,'Daily Log'!$A$4:$A$369,"&gt;="&amp;C$10,'Daily Log'!$A$4:$A$369,"&lt;="&amp;C$11)</f>
        <v/>
      </c>
      <c r="D15" s="50">
        <f>SUMIFS('Daily Log'!$C$4:$C$369,'Daily Log'!$A$4:$A$369,"&gt;="&amp;D$10,'Daily Log'!$A$4:$A$369,"&lt;="&amp;D$11)</f>
        <v/>
      </c>
      <c r="E15" s="50">
        <f>SUMIFS('Daily Log'!$C$4:$C$369,'Daily Log'!$A$4:$A$369,"&gt;="&amp;E$10,'Daily Log'!$A$4:$A$369,"&lt;="&amp;E$11)</f>
        <v/>
      </c>
      <c r="F15" s="50">
        <f>SUMIFS('Daily Log'!$C$4:$C$369,'Daily Log'!$A$4:$A$369,"&gt;="&amp;F$10,'Daily Log'!$A$4:$A$369,"&lt;="&amp;F$11)</f>
        <v/>
      </c>
    </row>
    <row r="16">
      <c r="A16" s="75" t="inlineStr">
        <is>
          <t>Stories</t>
        </is>
      </c>
      <c r="B16" s="50">
        <f>SUMIFS('Daily Log'!$D$4:$D$369,'Daily Log'!$A$4:$A$369,"&gt;="&amp;B$10,'Daily Log'!$A$4:$A$369,"&lt;="&amp;B$11)</f>
        <v/>
      </c>
      <c r="C16" s="50">
        <f>SUMIFS('Daily Log'!$D$4:$D$369,'Daily Log'!$A$4:$A$369,"&gt;="&amp;C$10,'Daily Log'!$A$4:$A$369,"&lt;="&amp;C$11)</f>
        <v/>
      </c>
      <c r="D16" s="50">
        <f>SUMIFS('Daily Log'!$D$4:$D$369,'Daily Log'!$A$4:$A$369,"&gt;="&amp;D$10,'Daily Log'!$A$4:$A$369,"&lt;="&amp;D$11)</f>
        <v/>
      </c>
      <c r="E16" s="50">
        <f>SUMIFS('Daily Log'!$D$4:$D$369,'Daily Log'!$A$4:$A$369,"&gt;="&amp;E$10,'Daily Log'!$A$4:$A$369,"&lt;="&amp;E$11)</f>
        <v/>
      </c>
      <c r="F16" s="50">
        <f>SUMIFS('Daily Log'!$D$4:$D$369,'Daily Log'!$A$4:$A$369,"&gt;="&amp;F$10,'Daily Log'!$A$4:$A$369,"&lt;="&amp;F$11)</f>
        <v/>
      </c>
    </row>
    <row r="17">
      <c r="A17" s="75" t="inlineStr">
        <is>
          <t>Opener DMs Sent</t>
        </is>
      </c>
      <c r="B17" s="50">
        <f>SUMIFS('Daily Log'!$E$4:$E$369,'Daily Log'!$A$4:$A$369,"&gt;="&amp;B$10,'Daily Log'!$A$4:$A$369,"&lt;="&amp;B$11)</f>
        <v/>
      </c>
      <c r="C17" s="50">
        <f>SUMIFS('Daily Log'!$E$4:$E$369,'Daily Log'!$A$4:$A$369,"&gt;="&amp;C$10,'Daily Log'!$A$4:$A$369,"&lt;="&amp;C$11)</f>
        <v/>
      </c>
      <c r="D17" s="50">
        <f>SUMIFS('Daily Log'!$E$4:$E$369,'Daily Log'!$A$4:$A$369,"&gt;="&amp;D$10,'Daily Log'!$A$4:$A$369,"&lt;="&amp;D$11)</f>
        <v/>
      </c>
      <c r="E17" s="50">
        <f>SUMIFS('Daily Log'!$E$4:$E$369,'Daily Log'!$A$4:$A$369,"&gt;="&amp;E$10,'Daily Log'!$A$4:$A$369,"&lt;="&amp;E$11)</f>
        <v/>
      </c>
      <c r="F17" s="50">
        <f>SUMIFS('Daily Log'!$E$4:$E$369,'Daily Log'!$A$4:$A$369,"&gt;="&amp;F$10,'Daily Log'!$A$4:$A$369,"&lt;="&amp;F$11)</f>
        <v/>
      </c>
    </row>
    <row r="18">
      <c r="A18" s="75" t="inlineStr">
        <is>
          <t>Follow-Up DMs Sent</t>
        </is>
      </c>
      <c r="B18" s="50">
        <f>SUMIFS('Daily Log'!$F$4:$F$369,'Daily Log'!$A$4:$A$369,"&gt;="&amp;B$10,'Daily Log'!$A$4:$A$369,"&lt;="&amp;B$11)</f>
        <v/>
      </c>
      <c r="C18" s="50">
        <f>SUMIFS('Daily Log'!$F$4:$F$369,'Daily Log'!$A$4:$A$369,"&gt;="&amp;C$10,'Daily Log'!$A$4:$A$369,"&lt;="&amp;C$11)</f>
        <v/>
      </c>
      <c r="D18" s="50">
        <f>SUMIFS('Daily Log'!$F$4:$F$369,'Daily Log'!$A$4:$A$369,"&gt;="&amp;D$10,'Daily Log'!$A$4:$A$369,"&lt;="&amp;D$11)</f>
        <v/>
      </c>
      <c r="E18" s="50">
        <f>SUMIFS('Daily Log'!$F$4:$F$369,'Daily Log'!$A$4:$A$369,"&gt;="&amp;E$10,'Daily Log'!$A$4:$A$369,"&lt;="&amp;E$11)</f>
        <v/>
      </c>
      <c r="F18" s="50">
        <f>SUMIFS('Daily Log'!$F$4:$F$369,'Daily Log'!$A$4:$A$369,"&gt;="&amp;F$10,'Daily Log'!$A$4:$A$369,"&lt;="&amp;F$11)</f>
        <v/>
      </c>
    </row>
    <row r="19">
      <c r="A19" s="76" t="inlineStr">
        <is>
          <t>Total DMs Sent</t>
        </is>
      </c>
      <c r="B19" s="49">
        <f>B17+B18</f>
        <v/>
      </c>
      <c r="C19" s="49">
        <f>C17+C18</f>
        <v/>
      </c>
      <c r="D19" s="49">
        <f>D17+D18</f>
        <v/>
      </c>
      <c r="E19" s="49">
        <f>E17+E18</f>
        <v/>
      </c>
      <c r="F19" s="49">
        <f>F17+F18</f>
        <v/>
      </c>
    </row>
    <row r="20">
      <c r="A20" s="75" t="inlineStr">
        <is>
          <t>Replies</t>
        </is>
      </c>
      <c r="B20" s="50">
        <f>SUMIFS('Daily Log'!$G$4:$G$369,'Daily Log'!$A$4:$A$369,"&gt;="&amp;B$10,'Daily Log'!$A$4:$A$369,"&lt;="&amp;B$11)</f>
        <v/>
      </c>
      <c r="C20" s="50">
        <f>SUMIFS('Daily Log'!$G$4:$G$369,'Daily Log'!$A$4:$A$369,"&gt;="&amp;C$10,'Daily Log'!$A$4:$A$369,"&lt;="&amp;C$11)</f>
        <v/>
      </c>
      <c r="D20" s="50">
        <f>SUMIFS('Daily Log'!$G$4:$G$369,'Daily Log'!$A$4:$A$369,"&gt;="&amp;D$10,'Daily Log'!$A$4:$A$369,"&lt;="&amp;D$11)</f>
        <v/>
      </c>
      <c r="E20" s="50">
        <f>SUMIFS('Daily Log'!$G$4:$G$369,'Daily Log'!$A$4:$A$369,"&gt;="&amp;E$10,'Daily Log'!$A$4:$A$369,"&lt;="&amp;E$11)</f>
        <v/>
      </c>
      <c r="F20" s="50">
        <f>SUMIFS('Daily Log'!$G$4:$G$369,'Daily Log'!$A$4:$A$369,"&gt;="&amp;F$10,'Daily Log'!$A$4:$A$369,"&lt;="&amp;F$11)</f>
        <v/>
      </c>
    </row>
    <row r="22" ht="21" customHeight="1">
      <c r="A22" s="5" t="inlineStr">
        <is>
          <t>SALES — what it turned into</t>
        </is>
      </c>
    </row>
    <row r="23">
      <c r="A23" s="75" t="inlineStr">
        <is>
          <t>Calls Pitched</t>
        </is>
      </c>
      <c r="B23" s="50">
        <f>SUMIFS('Daily Log'!$H$4:$H$369,'Daily Log'!$A$4:$A$369,"&gt;="&amp;B$10,'Daily Log'!$A$4:$A$369,"&lt;="&amp;B$11)</f>
        <v/>
      </c>
      <c r="C23" s="50">
        <f>SUMIFS('Daily Log'!$H$4:$H$369,'Daily Log'!$A$4:$A$369,"&gt;="&amp;C$10,'Daily Log'!$A$4:$A$369,"&lt;="&amp;C$11)</f>
        <v/>
      </c>
      <c r="D23" s="50">
        <f>SUMIFS('Daily Log'!$H$4:$H$369,'Daily Log'!$A$4:$A$369,"&gt;="&amp;D$10,'Daily Log'!$A$4:$A$369,"&lt;="&amp;D$11)</f>
        <v/>
      </c>
      <c r="E23" s="50">
        <f>SUMIFS('Daily Log'!$H$4:$H$369,'Daily Log'!$A$4:$A$369,"&gt;="&amp;E$10,'Daily Log'!$A$4:$A$369,"&lt;="&amp;E$11)</f>
        <v/>
      </c>
      <c r="F23" s="50">
        <f>SUMIFS('Daily Log'!$H$4:$H$369,'Daily Log'!$A$4:$A$369,"&gt;="&amp;F$10,'Daily Log'!$A$4:$A$369,"&lt;="&amp;F$11)</f>
        <v/>
      </c>
    </row>
    <row r="24">
      <c r="A24" s="75" t="inlineStr">
        <is>
          <t>Calls Booked</t>
        </is>
      </c>
      <c r="B24" s="50">
        <f>SUMIFS('Daily Log'!$I$4:$I$369,'Daily Log'!$A$4:$A$369,"&gt;="&amp;B$10,'Daily Log'!$A$4:$A$369,"&lt;="&amp;B$11)</f>
        <v/>
      </c>
      <c r="C24" s="50">
        <f>SUMIFS('Daily Log'!$I$4:$I$369,'Daily Log'!$A$4:$A$369,"&gt;="&amp;C$10,'Daily Log'!$A$4:$A$369,"&lt;="&amp;C$11)</f>
        <v/>
      </c>
      <c r="D24" s="50">
        <f>SUMIFS('Daily Log'!$I$4:$I$369,'Daily Log'!$A$4:$A$369,"&gt;="&amp;D$10,'Daily Log'!$A$4:$A$369,"&lt;="&amp;D$11)</f>
        <v/>
      </c>
      <c r="E24" s="50">
        <f>SUMIFS('Daily Log'!$I$4:$I$369,'Daily Log'!$A$4:$A$369,"&gt;="&amp;E$10,'Daily Log'!$A$4:$A$369,"&lt;="&amp;E$11)</f>
        <v/>
      </c>
      <c r="F24" s="50">
        <f>SUMIFS('Daily Log'!$I$4:$I$369,'Daily Log'!$A$4:$A$369,"&gt;="&amp;F$10,'Daily Log'!$A$4:$A$369,"&lt;="&amp;F$11)</f>
        <v/>
      </c>
    </row>
    <row r="25">
      <c r="A25" s="75" t="inlineStr">
        <is>
          <t>Calls Showed</t>
        </is>
      </c>
      <c r="B25" s="50">
        <f>SUMIFS('Daily Log'!$J$4:$J$369,'Daily Log'!$A$4:$A$369,"&gt;="&amp;B$10,'Daily Log'!$A$4:$A$369,"&lt;="&amp;B$11)</f>
        <v/>
      </c>
      <c r="C25" s="50">
        <f>SUMIFS('Daily Log'!$J$4:$J$369,'Daily Log'!$A$4:$A$369,"&gt;="&amp;C$10,'Daily Log'!$A$4:$A$369,"&lt;="&amp;C$11)</f>
        <v/>
      </c>
      <c r="D25" s="50">
        <f>SUMIFS('Daily Log'!$J$4:$J$369,'Daily Log'!$A$4:$A$369,"&gt;="&amp;D$10,'Daily Log'!$A$4:$A$369,"&lt;="&amp;D$11)</f>
        <v/>
      </c>
      <c r="E25" s="50">
        <f>SUMIFS('Daily Log'!$J$4:$J$369,'Daily Log'!$A$4:$A$369,"&gt;="&amp;E$10,'Daily Log'!$A$4:$A$369,"&lt;="&amp;E$11)</f>
        <v/>
      </c>
      <c r="F25" s="50">
        <f>SUMIFS('Daily Log'!$J$4:$J$369,'Daily Log'!$A$4:$A$369,"&gt;="&amp;F$10,'Daily Log'!$A$4:$A$369,"&lt;="&amp;F$11)</f>
        <v/>
      </c>
    </row>
    <row r="26">
      <c r="A26" s="75" t="inlineStr">
        <is>
          <t>Closes</t>
        </is>
      </c>
      <c r="B26" s="50">
        <f>SUMIFS('Daily Log'!$K$4:$K$369,'Daily Log'!$A$4:$A$369,"&gt;="&amp;B$10,'Daily Log'!$A$4:$A$369,"&lt;="&amp;B$11)</f>
        <v/>
      </c>
      <c r="C26" s="50">
        <f>SUMIFS('Daily Log'!$K$4:$K$369,'Daily Log'!$A$4:$A$369,"&gt;="&amp;C$10,'Daily Log'!$A$4:$A$369,"&lt;="&amp;C$11)</f>
        <v/>
      </c>
      <c r="D26" s="50">
        <f>SUMIFS('Daily Log'!$K$4:$K$369,'Daily Log'!$A$4:$A$369,"&gt;="&amp;D$10,'Daily Log'!$A$4:$A$369,"&lt;="&amp;D$11)</f>
        <v/>
      </c>
      <c r="E26" s="50">
        <f>SUMIFS('Daily Log'!$K$4:$K$369,'Daily Log'!$A$4:$A$369,"&gt;="&amp;E$10,'Daily Log'!$A$4:$A$369,"&lt;="&amp;E$11)</f>
        <v/>
      </c>
      <c r="F26" s="50">
        <f>SUMIFS('Daily Log'!$K$4:$K$369,'Daily Log'!$A$4:$A$369,"&gt;="&amp;F$10,'Daily Log'!$A$4:$A$369,"&lt;="&amp;F$11)</f>
        <v/>
      </c>
    </row>
    <row r="27">
      <c r="A27" s="76" t="inlineStr">
        <is>
          <t>Cash Collected</t>
        </is>
      </c>
      <c r="B27" s="55">
        <f>SUMIFS('Daily Log'!$L$4:$L$369,'Daily Log'!$A$4:$A$369,"&gt;="&amp;B$10,'Daily Log'!$A$4:$A$369,"&lt;="&amp;B$11)</f>
        <v/>
      </c>
      <c r="C27" s="55">
        <f>SUMIFS('Daily Log'!$L$4:$L$369,'Daily Log'!$A$4:$A$369,"&gt;="&amp;C$10,'Daily Log'!$A$4:$A$369,"&lt;="&amp;C$11)</f>
        <v/>
      </c>
      <c r="D27" s="55">
        <f>SUMIFS('Daily Log'!$L$4:$L$369,'Daily Log'!$A$4:$A$369,"&gt;="&amp;D$10,'Daily Log'!$A$4:$A$369,"&lt;="&amp;D$11)</f>
        <v/>
      </c>
      <c r="E27" s="55">
        <f>SUMIFS('Daily Log'!$L$4:$L$369,'Daily Log'!$A$4:$A$369,"&gt;="&amp;E$10,'Daily Log'!$A$4:$A$369,"&lt;="&amp;E$11)</f>
        <v/>
      </c>
      <c r="F27" s="55">
        <f>SUMIFS('Daily Log'!$L$4:$L$369,'Daily Log'!$A$4:$A$369,"&gt;="&amp;F$10,'Daily Log'!$A$4:$A$369,"&lt;="&amp;F$11)</f>
        <v/>
      </c>
    </row>
    <row r="28">
      <c r="A28" s="75" t="inlineStr">
        <is>
          <t>Revenue Generated</t>
        </is>
      </c>
      <c r="B28" s="56">
        <f>SUMIFS('Daily Log'!$M$4:$M$369,'Daily Log'!$A$4:$A$369,"&gt;="&amp;B$10,'Daily Log'!$A$4:$A$369,"&lt;="&amp;B$11)</f>
        <v/>
      </c>
      <c r="C28" s="56">
        <f>SUMIFS('Daily Log'!$M$4:$M$369,'Daily Log'!$A$4:$A$369,"&gt;="&amp;C$10,'Daily Log'!$A$4:$A$369,"&lt;="&amp;C$11)</f>
        <v/>
      </c>
      <c r="D28" s="56">
        <f>SUMIFS('Daily Log'!$M$4:$M$369,'Daily Log'!$A$4:$A$369,"&gt;="&amp;D$10,'Daily Log'!$A$4:$A$369,"&lt;="&amp;D$11)</f>
        <v/>
      </c>
      <c r="E28" s="56">
        <f>SUMIFS('Daily Log'!$M$4:$M$369,'Daily Log'!$A$4:$A$369,"&gt;="&amp;E$10,'Daily Log'!$A$4:$A$369,"&lt;="&amp;E$11)</f>
        <v/>
      </c>
      <c r="F28" s="56">
        <f>SUMIFS('Daily Log'!$M$4:$M$369,'Daily Log'!$A$4:$A$369,"&gt;="&amp;F$10,'Daily Log'!$A$4:$A$369,"&lt;="&amp;F$11)</f>
        <v/>
      </c>
    </row>
    <row r="30" ht="21" customHeight="1">
      <c r="A30" s="5" t="inlineStr">
        <is>
          <t>CONVERSION RATES — where you're actually leaking</t>
        </is>
      </c>
      <c r="G30" s="77" t="inlineStr">
        <is>
          <t>Healthy
floor</t>
        </is>
      </c>
    </row>
    <row r="31">
      <c r="A31" s="75" t="inlineStr">
        <is>
          <t>Reply Rate (replies ÷ DMs sent)</t>
        </is>
      </c>
      <c r="B31" s="59">
        <f>IFERROR(B20/B19,"")</f>
        <v/>
      </c>
      <c r="C31" s="59">
        <f>IFERROR(C20/C19,"")</f>
        <v/>
      </c>
      <c r="D31" s="59">
        <f>IFERROR(D20/D19,"")</f>
        <v/>
      </c>
      <c r="E31" s="59">
        <f>IFERROR(E20/E19,"")</f>
        <v/>
      </c>
      <c r="F31" s="59">
        <f>IFERROR(F20/F19,"")</f>
        <v/>
      </c>
      <c r="G31" s="78">
        <f>'Cheat Sheet'!$C$11</f>
        <v/>
      </c>
    </row>
    <row r="32">
      <c r="A32" s="75" t="inlineStr">
        <is>
          <t>Pitch Rate (pitched ÷ replies)</t>
        </is>
      </c>
      <c r="B32" s="59">
        <f>IFERROR(B23/B20,"")</f>
        <v/>
      </c>
      <c r="C32" s="59">
        <f>IFERROR(C23/C20,"")</f>
        <v/>
      </c>
      <c r="D32" s="59">
        <f>IFERROR(D23/D20,"")</f>
        <v/>
      </c>
      <c r="E32" s="59">
        <f>IFERROR(E23/E20,"")</f>
        <v/>
      </c>
      <c r="F32" s="59">
        <f>IFERROR(F23/F20,"")</f>
        <v/>
      </c>
      <c r="G32" s="78">
        <f>'Cheat Sheet'!$C$12</f>
        <v/>
      </c>
    </row>
    <row r="33">
      <c r="A33" s="75" t="inlineStr">
        <is>
          <t>Book Rate (booked ÷ pitched)</t>
        </is>
      </c>
      <c r="B33" s="59">
        <f>IFERROR(B24/B23,"")</f>
        <v/>
      </c>
      <c r="C33" s="59">
        <f>IFERROR(C24/C23,"")</f>
        <v/>
      </c>
      <c r="D33" s="59">
        <f>IFERROR(D24/D23,"")</f>
        <v/>
      </c>
      <c r="E33" s="59">
        <f>IFERROR(E24/E23,"")</f>
        <v/>
      </c>
      <c r="F33" s="59">
        <f>IFERROR(F24/F23,"")</f>
        <v/>
      </c>
      <c r="G33" s="78">
        <f>'Cheat Sheet'!$C$13</f>
        <v/>
      </c>
    </row>
    <row r="34">
      <c r="A34" s="75" t="inlineStr">
        <is>
          <t>Show Rate (showed ÷ booked)</t>
        </is>
      </c>
      <c r="B34" s="59">
        <f>IFERROR(B25/B24,"")</f>
        <v/>
      </c>
      <c r="C34" s="59">
        <f>IFERROR(C25/C24,"")</f>
        <v/>
      </c>
      <c r="D34" s="59">
        <f>IFERROR(D25/D24,"")</f>
        <v/>
      </c>
      <c r="E34" s="59">
        <f>IFERROR(E25/E24,"")</f>
        <v/>
      </c>
      <c r="F34" s="59">
        <f>IFERROR(F25/F24,"")</f>
        <v/>
      </c>
      <c r="G34" s="78">
        <f>'Cheat Sheet'!$C$14</f>
        <v/>
      </c>
    </row>
    <row r="35">
      <c r="A35" s="75" t="inlineStr">
        <is>
          <t>Close Rate (closes ÷ showed)</t>
        </is>
      </c>
      <c r="B35" s="59">
        <f>IFERROR(B26/B25,"")</f>
        <v/>
      </c>
      <c r="C35" s="59">
        <f>IFERROR(C26/C25,"")</f>
        <v/>
      </c>
      <c r="D35" s="59">
        <f>IFERROR(D26/D25,"")</f>
        <v/>
      </c>
      <c r="E35" s="59">
        <f>IFERROR(E26/E25,"")</f>
        <v/>
      </c>
      <c r="F35" s="59">
        <f>IFERROR(F26/F25,"")</f>
        <v/>
      </c>
      <c r="G35" s="78">
        <f>'Cheat Sheet'!$C$15</f>
        <v/>
      </c>
    </row>
    <row r="36">
      <c r="A36" s="75" t="inlineStr">
        <is>
          <t>DMs per Call Booked</t>
        </is>
      </c>
      <c r="B36" s="79">
        <f>IFERROR(B19/B24,"")</f>
        <v/>
      </c>
      <c r="C36" s="79">
        <f>IFERROR(C19/C24,"")</f>
        <v/>
      </c>
      <c r="D36" s="79">
        <f>IFERROR(D19/D24,"")</f>
        <v/>
      </c>
      <c r="E36" s="79">
        <f>IFERROR(E19/E24,"")</f>
        <v/>
      </c>
      <c r="F36" s="79">
        <f>IFERROR(F19/F24,"")</f>
        <v/>
      </c>
    </row>
    <row r="37">
      <c r="A37" s="75" t="inlineStr">
        <is>
          <t>Cash per Call Booked</t>
        </is>
      </c>
      <c r="B37" s="56">
        <f>IFERROR(B27/B24,"")</f>
        <v/>
      </c>
      <c r="C37" s="56">
        <f>IFERROR(C27/C24,"")</f>
        <v/>
      </c>
      <c r="D37" s="56">
        <f>IFERROR(D27/D24,"")</f>
        <v/>
      </c>
      <c r="E37" s="56">
        <f>IFERROR(E27/E24,"")</f>
        <v/>
      </c>
      <c r="F37" s="56">
        <f>IFERROR(F27/F24,"")</f>
        <v/>
      </c>
    </row>
    <row r="38">
      <c r="A38" s="76" t="inlineStr">
        <is>
          <t>Cash per 100 DMs Sent</t>
        </is>
      </c>
      <c r="B38" s="55">
        <f>IFERROR(B27/B19*100,"")</f>
        <v/>
      </c>
      <c r="C38" s="55">
        <f>IFERROR(C27/C19*100,"")</f>
        <v/>
      </c>
      <c r="D38" s="55">
        <f>IFERROR(D27/D19*100,"")</f>
        <v/>
      </c>
      <c r="E38" s="55">
        <f>IFERROR(E27/E19*100,"")</f>
        <v/>
      </c>
      <c r="F38" s="55">
        <f>IFERROR(F27/F19*100,"")</f>
        <v/>
      </c>
    </row>
    <row r="40" ht="21" customHeight="1">
      <c r="A40" s="5" t="inlineStr">
        <is>
          <t>DAILY STANDARDS — are you holding the line?</t>
        </is>
      </c>
      <c r="G40" s="21" t="inlineStr">
        <is>
          <t>Target</t>
        </is>
      </c>
    </row>
    <row r="41">
      <c r="A41" s="75" t="inlineStr">
        <is>
          <t>Avg Reels / day</t>
        </is>
      </c>
      <c r="B41" s="79">
        <f>IFERROR(B15/B14,"")</f>
        <v/>
      </c>
      <c r="C41" s="79">
        <f>IFERROR(C15/C14,"")</f>
        <v/>
      </c>
      <c r="D41" s="79">
        <f>IFERROR(D15/D14,"")</f>
        <v/>
      </c>
      <c r="E41" s="79">
        <f>IFERROR(E15/E14,"")</f>
        <v/>
      </c>
      <c r="F41" s="79">
        <f>IFERROR(F15/F14,"")</f>
        <v/>
      </c>
      <c r="G41" s="80">
        <f>Setup!$C$12</f>
        <v/>
      </c>
    </row>
    <row r="42">
      <c r="A42" s="75" t="inlineStr">
        <is>
          <t>Avg Stories / day</t>
        </is>
      </c>
      <c r="B42" s="79">
        <f>IFERROR(B16/B14,"")</f>
        <v/>
      </c>
      <c r="C42" s="79">
        <f>IFERROR(C16/C14,"")</f>
        <v/>
      </c>
      <c r="D42" s="79">
        <f>IFERROR(D16/D14,"")</f>
        <v/>
      </c>
      <c r="E42" s="79">
        <f>IFERROR(E16/E14,"")</f>
        <v/>
      </c>
      <c r="F42" s="79">
        <f>IFERROR(F16/F14,"")</f>
        <v/>
      </c>
      <c r="G42" s="80">
        <f>Setup!$C$13</f>
        <v/>
      </c>
    </row>
    <row r="43">
      <c r="A43" s="75" t="inlineStr">
        <is>
          <t>Avg Opener DMs / day</t>
        </is>
      </c>
      <c r="B43" s="79">
        <f>IFERROR(B17/B14,"")</f>
        <v/>
      </c>
      <c r="C43" s="79">
        <f>IFERROR(C17/C14,"")</f>
        <v/>
      </c>
      <c r="D43" s="79">
        <f>IFERROR(D17/D14,"")</f>
        <v/>
      </c>
      <c r="E43" s="79">
        <f>IFERROR(E17/E14,"")</f>
        <v/>
      </c>
      <c r="F43" s="79">
        <f>IFERROR(F17/F14,"")</f>
        <v/>
      </c>
      <c r="G43" s="80">
        <f>Setup!$C$14</f>
        <v/>
      </c>
    </row>
    <row r="44">
      <c r="A44" s="75" t="inlineStr">
        <is>
          <t>Avg Follow-Up DMs / day</t>
        </is>
      </c>
      <c r="B44" s="79">
        <f>IFERROR(B18/B14,"")</f>
        <v/>
      </c>
      <c r="C44" s="79">
        <f>IFERROR(C18/C14,"")</f>
        <v/>
      </c>
      <c r="D44" s="79">
        <f>IFERROR(D18/D14,"")</f>
        <v/>
      </c>
      <c r="E44" s="79">
        <f>IFERROR(E18/E14,"")</f>
        <v/>
      </c>
      <c r="F44" s="79">
        <f>IFERROR(F18/F14,"")</f>
        <v/>
      </c>
      <c r="G44" s="80">
        <f>Setup!$C$15</f>
        <v/>
      </c>
    </row>
    <row r="45">
      <c r="A45" s="75" t="inlineStr">
        <is>
          <t>Perfect Days (all 4 standards hit)</t>
        </is>
      </c>
      <c r="B45" s="50">
        <f>COUNTIFS('Daily Log'!$A$4:$A$369,"&gt;="&amp;B$10,'Daily Log'!$A$4:$A$369,"&lt;="&amp;B$11,'Daily Log'!$O$4:$O$369,4)</f>
        <v/>
      </c>
      <c r="C45" s="50">
        <f>COUNTIFS('Daily Log'!$A$4:$A$369,"&gt;="&amp;C$10,'Daily Log'!$A$4:$A$369,"&lt;="&amp;C$11,'Daily Log'!$O$4:$O$369,4)</f>
        <v/>
      </c>
      <c r="D45" s="50">
        <f>COUNTIFS('Daily Log'!$A$4:$A$369,"&gt;="&amp;D$10,'Daily Log'!$A$4:$A$369,"&lt;="&amp;D$11,'Daily Log'!$O$4:$O$369,4)</f>
        <v/>
      </c>
      <c r="E45" s="50">
        <f>COUNTIFS('Daily Log'!$A$4:$A$369,"&gt;="&amp;E$10,'Daily Log'!$A$4:$A$369,"&lt;="&amp;E$11,'Daily Log'!$O$4:$O$369,4)</f>
        <v/>
      </c>
      <c r="F45" s="50">
        <f>COUNTIFS('Daily Log'!$A$4:$A$369,"&gt;="&amp;F$10,'Daily Log'!$A$4:$A$369,"&lt;="&amp;F$11,'Daily Log'!$O$4:$O$369,4)</f>
        <v/>
      </c>
    </row>
    <row r="46">
      <c r="A46" s="76" t="inlineStr">
        <is>
          <t>Standards Hit Rate</t>
        </is>
      </c>
      <c r="B46" s="58">
        <f>IFERROR(B45/B14,"")</f>
        <v/>
      </c>
      <c r="C46" s="58">
        <f>IFERROR(C45/C14,"")</f>
        <v/>
      </c>
      <c r="D46" s="58">
        <f>IFERROR(D45/D14,"")</f>
        <v/>
      </c>
      <c r="E46" s="58">
        <f>IFERROR(E45/E14,"")</f>
        <v/>
      </c>
      <c r="F46" s="58">
        <f>IFERROR(F45/F14,"")</f>
        <v/>
      </c>
    </row>
    <row r="48" ht="21" customHeight="1">
      <c r="A48" s="5" t="inlineStr">
        <is>
          <t>TRENDS — your last 13 weeks</t>
        </is>
      </c>
    </row>
  </sheetData>
  <mergeCells count="18">
    <mergeCell ref="F4:G4"/>
    <mergeCell ref="A22:K22"/>
    <mergeCell ref="J4:K4"/>
    <mergeCell ref="A30:F30"/>
    <mergeCell ref="A48:K48"/>
    <mergeCell ref="A7:E7"/>
    <mergeCell ref="B5:C6"/>
    <mergeCell ref="A2:K2"/>
    <mergeCell ref="D5:E6"/>
    <mergeCell ref="F5:G6"/>
    <mergeCell ref="A13:K13"/>
    <mergeCell ref="D4:E4"/>
    <mergeCell ref="A40:F40"/>
    <mergeCell ref="H4:I4"/>
    <mergeCell ref="H5:I6"/>
    <mergeCell ref="J5:K6"/>
    <mergeCell ref="A1:K1"/>
    <mergeCell ref="B4:C4"/>
  </mergeCells>
  <conditionalFormatting sqref="A7:E7">
    <cfRule type="expression" priority="1" dxfId="2">
      <formula>$G$7&gt;3</formula>
    </cfRule>
    <cfRule type="expression" priority="2" dxfId="0">
      <formula>AND($G$7&gt;=0,$G$7&lt;=1)</formula>
    </cfRule>
  </conditionalFormatting>
  <conditionalFormatting sqref="B31:F35">
    <cfRule type="expression" priority="3" dxfId="0">
      <formula>AND(B31&lt;&gt;"",B31&gt;=$G31)</formula>
    </cfRule>
    <cfRule type="expression" priority="4" dxfId="2">
      <formula>AND(B31&lt;&gt;"",B31&lt;$G31)</formula>
    </cfRule>
  </conditionalFormatting>
  <conditionalFormatting sqref="B41:F44">
    <cfRule type="expression" priority="5" dxfId="0">
      <formula>AND(B41&lt;&gt;"",B41&gt;=$G41)</formula>
    </cfRule>
    <cfRule type="expression" priority="6" dxfId="2">
      <formula>AND(B41&lt;&gt;"",B41&lt;$G41)</formula>
    </cfRule>
  </conditionalFormatting>
  <pageMargins left="0.75" right="0.75" top="1" bottom="1" header="0.5" footer="0.5"/>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tabColor rgb="00C4552B"/>
    <outlinePr summaryBelow="1" summaryRight="1"/>
    <pageSetUpPr/>
  </sheetPr>
  <dimension ref="A1:N72"/>
  <sheetViews>
    <sheetView showGridLines="0" workbookViewId="0">
      <pane xSplit="1" ySplit="19" topLeftCell="B20" activePane="bottomRight" state="frozen"/>
      <selection pane="topRight"/>
      <selection pane="bottomLeft"/>
      <selection pane="bottomRight" activeCell="A1" sqref="A1"/>
    </sheetView>
  </sheetViews>
  <sheetFormatPr baseColWidth="8" defaultRowHeight="15"/>
  <cols>
    <col width="14" customWidth="1" min="1" max="1"/>
    <col width="11" customWidth="1" min="2" max="2"/>
    <col width="10" customWidth="1" min="3" max="3"/>
    <col width="9" customWidth="1" min="4" max="4"/>
    <col width="13" customWidth="1" min="5" max="5"/>
    <col width="11" customWidth="1" min="6" max="6"/>
    <col width="11" customWidth="1" min="7" max="7"/>
    <col width="11" customWidth="1" min="8" max="8"/>
    <col width="10" customWidth="1" min="9" max="9"/>
    <col width="9" customWidth="1" min="10" max="10"/>
    <col width="9" customWidth="1" min="11" max="11"/>
    <col width="10" customWidth="1" min="12" max="12"/>
    <col width="13" customWidth="1" min="13" max="13"/>
    <col width="30" customWidth="1" min="14" max="14"/>
  </cols>
  <sheetData>
    <row r="1" ht="46" customHeight="1">
      <c r="A1" s="1" t="inlineStr">
        <is>
          <t>DEMO · INSTAGRAM TRACKER · SAMPLE DATA — REFERENCE ONLY</t>
        </is>
      </c>
    </row>
    <row r="2" ht="18" customHeight="1">
      <c r="A2" s="2" t="inlineStr">
        <is>
          <t>Weekly numbers off your Professional Dashboard, plus a monthly screenshot for your coach to audit.</t>
        </is>
      </c>
    </row>
    <row r="4" ht="21" customHeight="1">
      <c r="A4" s="5" t="inlineStr">
        <is>
          <t>MONTHLY PROFILE CHECK — first Sunday of the month</t>
        </is>
      </c>
    </row>
    <row r="5">
      <c r="A5" s="81" t="inlineStr">
        <is>
          <t>1.  Screenshot your profile — bio, follower count and the top of your grid.</t>
        </is>
      </c>
    </row>
    <row r="6">
      <c r="A6" s="81" t="inlineStr">
        <is>
          <t>2.  Screenshot Professional Dashboard → Insights (last 30 days).</t>
        </is>
      </c>
    </row>
    <row r="7">
      <c r="A7" s="81" t="inlineStr">
        <is>
          <t>3.  Click a box below, then Insert → Image → Image in cell, and upload.</t>
        </is>
      </c>
    </row>
    <row r="9">
      <c r="A9" s="82" t="inlineStr">
        <is>
          <t>PROFILE SCREENSHOT</t>
        </is>
      </c>
      <c r="G9" s="82" t="inlineStr">
        <is>
          <t>INSIGHTS SCREENSHOT</t>
        </is>
      </c>
    </row>
    <row r="10">
      <c r="A10" s="83" t="inlineStr">
        <is>
          <t>drop image here</t>
        </is>
      </c>
      <c r="B10" s="84" t="n"/>
      <c r="C10" s="84" t="n"/>
      <c r="D10" s="84" t="n"/>
      <c r="E10" s="84" t="n"/>
      <c r="G10" s="83" t="inlineStr">
        <is>
          <t>drop image here</t>
        </is>
      </c>
      <c r="H10" s="84" t="n"/>
      <c r="I10" s="84" t="n"/>
      <c r="J10" s="84" t="n"/>
      <c r="K10" s="84" t="n"/>
    </row>
    <row r="11">
      <c r="A11" s="84" t="n"/>
      <c r="B11" s="84" t="n"/>
      <c r="C11" s="84" t="n"/>
      <c r="D11" s="84" t="n"/>
      <c r="E11" s="84" t="n"/>
      <c r="G11" s="84" t="n"/>
      <c r="H11" s="84" t="n"/>
      <c r="I11" s="84" t="n"/>
      <c r="J11" s="84" t="n"/>
      <c r="K11" s="84" t="n"/>
    </row>
    <row r="12">
      <c r="A12" s="84" t="n"/>
      <c r="B12" s="84" t="n"/>
      <c r="C12" s="84" t="n"/>
      <c r="D12" s="84" t="n"/>
      <c r="E12" s="84" t="n"/>
      <c r="G12" s="84" t="n"/>
      <c r="H12" s="84" t="n"/>
      <c r="I12" s="84" t="n"/>
      <c r="J12" s="84" t="n"/>
      <c r="K12" s="84" t="n"/>
    </row>
    <row r="13">
      <c r="A13" s="84" t="n"/>
      <c r="B13" s="84" t="n"/>
      <c r="C13" s="84" t="n"/>
      <c r="D13" s="84" t="n"/>
      <c r="E13" s="84" t="n"/>
      <c r="G13" s="84" t="n"/>
      <c r="H13" s="84" t="n"/>
      <c r="I13" s="84" t="n"/>
      <c r="J13" s="84" t="n"/>
      <c r="K13" s="84" t="n"/>
    </row>
    <row r="14">
      <c r="A14" s="84" t="n"/>
      <c r="B14" s="84" t="n"/>
      <c r="C14" s="84" t="n"/>
      <c r="D14" s="84" t="n"/>
      <c r="E14" s="84" t="n"/>
      <c r="G14" s="84" t="n"/>
      <c r="H14" s="84" t="n"/>
      <c r="I14" s="84" t="n"/>
      <c r="J14" s="84" t="n"/>
      <c r="K14" s="84" t="n"/>
    </row>
    <row r="15">
      <c r="A15" s="84" t="n"/>
      <c r="B15" s="84" t="n"/>
      <c r="C15" s="84" t="n"/>
      <c r="D15" s="84" t="n"/>
      <c r="E15" s="84" t="n"/>
      <c r="G15" s="84" t="n"/>
      <c r="H15" s="84" t="n"/>
      <c r="I15" s="84" t="n"/>
      <c r="J15" s="84" t="n"/>
      <c r="K15" s="84" t="n"/>
    </row>
    <row r="16">
      <c r="A16" s="84" t="n"/>
      <c r="B16" s="84" t="n"/>
      <c r="C16" s="84" t="n"/>
      <c r="D16" s="84" t="n"/>
      <c r="E16" s="84" t="n"/>
      <c r="G16" s="84" t="n"/>
      <c r="H16" s="84" t="n"/>
      <c r="I16" s="84" t="n"/>
      <c r="J16" s="84" t="n"/>
      <c r="K16" s="84" t="n"/>
    </row>
    <row r="18" ht="21" customHeight="1">
      <c r="A18" s="5" t="inlineStr">
        <is>
          <t>WEEKLY NUMBERS — log every Sunday night</t>
        </is>
      </c>
    </row>
    <row r="19" ht="32" customHeight="1">
      <c r="A19" s="6" t="inlineStr">
        <is>
          <t>Week Starting</t>
        </is>
      </c>
      <c r="B19" s="6" t="inlineStr">
        <is>
          <t>Followers
(end of week)</t>
        </is>
      </c>
      <c r="C19" s="6" t="inlineStr">
        <is>
          <t>Growth
(+/-)</t>
        </is>
      </c>
      <c r="D19" s="6" t="inlineStr">
        <is>
          <t>Growth
%</t>
        </is>
      </c>
      <c r="E19" s="6" t="inlineStr">
        <is>
          <t>Accounts
Reached</t>
        </is>
      </c>
      <c r="F19" s="6" t="inlineStr">
        <is>
          <t>Interactions</t>
        </is>
      </c>
      <c r="G19" s="6" t="inlineStr">
        <is>
          <t>Profile
Visits</t>
        </is>
      </c>
      <c r="H19" s="6" t="inlineStr">
        <is>
          <t>New
Followers</t>
        </is>
      </c>
      <c r="I19" s="6" t="inlineStr">
        <is>
          <t>Link
Clicks</t>
        </is>
      </c>
      <c r="J19" s="6" t="inlineStr">
        <is>
          <t>Posts
(auto)</t>
        </is>
      </c>
      <c r="K19" s="6" t="inlineStr">
        <is>
          <t>Stories
(auto)</t>
        </is>
      </c>
      <c r="L19" s="6" t="inlineStr">
        <is>
          <t>Reach
per Post</t>
        </is>
      </c>
      <c r="M19" s="6" t="inlineStr">
        <is>
          <t>New Followers
per 1k Reached</t>
        </is>
      </c>
      <c r="N19" s="6" t="inlineStr">
        <is>
          <t>Notes</t>
        </is>
      </c>
    </row>
    <row r="20">
      <c r="A20" s="85">
        <f>Setup!$C$9</f>
        <v/>
      </c>
      <c r="B20" s="38" t="n">
        <v>3248</v>
      </c>
      <c r="C20" s="86" t="n"/>
      <c r="D20" s="59" t="n"/>
      <c r="E20" s="38" t="n">
        <v>9800</v>
      </c>
      <c r="F20" s="38" t="n">
        <v>449</v>
      </c>
      <c r="G20" s="38" t="n">
        <v>325</v>
      </c>
      <c r="H20" s="38" t="n">
        <v>68</v>
      </c>
      <c r="I20" s="38" t="n">
        <v>22</v>
      </c>
      <c r="J20" s="50">
        <f>IF($A20&gt;TODAY(),"",SUMIFS('Daily Log'!$C$4:$C$369,'Daily Log'!$A$4:$A$369,"&gt;="&amp;$A20,'Daily Log'!$A$4:$A$369,"&lt;="&amp;$A20+6))</f>
        <v/>
      </c>
      <c r="K20" s="50">
        <f>IF($A20&gt;TODAY(),"",SUMIFS('Daily Log'!$D$4:$D$369,'Daily Log'!$A$4:$A$369,"&gt;="&amp;$A20,'Daily Log'!$A$4:$A$369,"&lt;="&amp;$A20+6))</f>
        <v/>
      </c>
      <c r="L20" s="79">
        <f>IFERROR(E20/J20,"")</f>
        <v/>
      </c>
      <c r="M20" s="79">
        <f>IFERROR(H20/E20*1000,"")</f>
        <v/>
      </c>
      <c r="N20" s="87" t="n"/>
    </row>
    <row r="21">
      <c r="A21" s="85">
        <f>A20+7</f>
        <v/>
      </c>
      <c r="B21" s="38" t="n">
        <v>3344</v>
      </c>
      <c r="C21" s="86">
        <f>IF(OR(B21="",B20=""),"",B21-B20)</f>
        <v/>
      </c>
      <c r="D21" s="59">
        <f>IF(OR(B21="",B20=""),"",IFERROR((B21-B20)/B20,""))</f>
        <v/>
      </c>
      <c r="E21" s="38" t="n">
        <v>11200</v>
      </c>
      <c r="F21" s="38" t="n">
        <v>554</v>
      </c>
      <c r="G21" s="38" t="n">
        <v>362</v>
      </c>
      <c r="H21" s="38" t="n">
        <v>96</v>
      </c>
      <c r="I21" s="38" t="n">
        <v>25</v>
      </c>
      <c r="J21" s="50">
        <f>IF($A21&gt;TODAY(),"",SUMIFS('Daily Log'!$C$4:$C$369,'Daily Log'!$A$4:$A$369,"&gt;="&amp;$A21,'Daily Log'!$A$4:$A$369,"&lt;="&amp;$A21+6))</f>
        <v/>
      </c>
      <c r="K21" s="50">
        <f>IF($A21&gt;TODAY(),"",SUMIFS('Daily Log'!$D$4:$D$369,'Daily Log'!$A$4:$A$369,"&gt;="&amp;$A21,'Daily Log'!$A$4:$A$369,"&lt;="&amp;$A21+6))</f>
        <v/>
      </c>
      <c r="L21" s="79">
        <f>IFERROR(E21/J21,"")</f>
        <v/>
      </c>
      <c r="M21" s="79">
        <f>IFERROR(H21/E21*1000,"")</f>
        <v/>
      </c>
      <c r="N21" s="87" t="n"/>
    </row>
    <row r="22">
      <c r="A22" s="85">
        <f>A21+7</f>
        <v/>
      </c>
      <c r="B22" s="38" t="n">
        <v>3441</v>
      </c>
      <c r="C22" s="86">
        <f>IF(OR(B22="",B21=""),"",B22-B21)</f>
        <v/>
      </c>
      <c r="D22" s="59">
        <f>IF(OR(B22="",B21=""),"",IFERROR((B22-B21)/B21,""))</f>
        <v/>
      </c>
      <c r="E22" s="38" t="n">
        <v>12600</v>
      </c>
      <c r="F22" s="38" t="n">
        <v>635</v>
      </c>
      <c r="G22" s="38" t="n">
        <v>357</v>
      </c>
      <c r="H22" s="38" t="n">
        <v>97</v>
      </c>
      <c r="I22" s="38" t="n">
        <v>36</v>
      </c>
      <c r="J22" s="50">
        <f>IF($A22&gt;TODAY(),"",SUMIFS('Daily Log'!$C$4:$C$369,'Daily Log'!$A$4:$A$369,"&gt;="&amp;$A22,'Daily Log'!$A$4:$A$369,"&lt;="&amp;$A22+6))</f>
        <v/>
      </c>
      <c r="K22" s="50">
        <f>IF($A22&gt;TODAY(),"",SUMIFS('Daily Log'!$D$4:$D$369,'Daily Log'!$A$4:$A$369,"&gt;="&amp;$A22,'Daily Log'!$A$4:$A$369,"&lt;="&amp;$A22+6))</f>
        <v/>
      </c>
      <c r="L22" s="79">
        <f>IFERROR(E22/J22,"")</f>
        <v/>
      </c>
      <c r="M22" s="79">
        <f>IFERROR(H22/E22*1000,"")</f>
        <v/>
      </c>
      <c r="N22" s="87" t="n"/>
    </row>
    <row r="23">
      <c r="A23" s="85">
        <f>A22+7</f>
        <v/>
      </c>
      <c r="B23" s="38" t="n">
        <v>3531</v>
      </c>
      <c r="C23" s="86">
        <f>IF(OR(B23="",B22=""),"",B23-B22)</f>
        <v/>
      </c>
      <c r="D23" s="59">
        <f>IF(OR(B23="",B22=""),"",IFERROR((B23-B22)/B22,""))</f>
        <v/>
      </c>
      <c r="E23" s="38" t="n">
        <v>13900</v>
      </c>
      <c r="F23" s="38" t="n">
        <v>729</v>
      </c>
      <c r="G23" s="38" t="n">
        <v>464</v>
      </c>
      <c r="H23" s="38" t="n">
        <v>90</v>
      </c>
      <c r="I23" s="38" t="n">
        <v>32</v>
      </c>
      <c r="J23" s="50">
        <f>IF($A23&gt;TODAY(),"",SUMIFS('Daily Log'!$C$4:$C$369,'Daily Log'!$A$4:$A$369,"&gt;="&amp;$A23,'Daily Log'!$A$4:$A$369,"&lt;="&amp;$A23+6))</f>
        <v/>
      </c>
      <c r="K23" s="50">
        <f>IF($A23&gt;TODAY(),"",SUMIFS('Daily Log'!$D$4:$D$369,'Daily Log'!$A$4:$A$369,"&gt;="&amp;$A23,'Daily Log'!$A$4:$A$369,"&lt;="&amp;$A23+6))</f>
        <v/>
      </c>
      <c r="L23" s="79">
        <f>IFERROR(E23/J23,"")</f>
        <v/>
      </c>
      <c r="M23" s="79">
        <f>IFERROR(H23/E23*1000,"")</f>
        <v/>
      </c>
      <c r="N23" s="87" t="n"/>
    </row>
    <row r="24">
      <c r="A24" s="85">
        <f>A23+7</f>
        <v/>
      </c>
      <c r="B24" s="38" t="n">
        <v>3628</v>
      </c>
      <c r="C24" s="86">
        <f>IF(OR(B24="",B23=""),"",B24-B23)</f>
        <v/>
      </c>
      <c r="D24" s="59">
        <f>IF(OR(B24="",B23=""),"",IFERROR((B24-B23)/B23,""))</f>
        <v/>
      </c>
      <c r="E24" s="38" t="n">
        <v>15200</v>
      </c>
      <c r="F24" s="38" t="n">
        <v>825</v>
      </c>
      <c r="G24" s="38" t="n">
        <v>425</v>
      </c>
      <c r="H24" s="38" t="n">
        <v>97</v>
      </c>
      <c r="I24" s="38" t="n">
        <v>40</v>
      </c>
      <c r="J24" s="50">
        <f>IF($A24&gt;TODAY(),"",SUMIFS('Daily Log'!$C$4:$C$369,'Daily Log'!$A$4:$A$369,"&gt;="&amp;$A24,'Daily Log'!$A$4:$A$369,"&lt;="&amp;$A24+6))</f>
        <v/>
      </c>
      <c r="K24" s="50">
        <f>IF($A24&gt;TODAY(),"",SUMIFS('Daily Log'!$D$4:$D$369,'Daily Log'!$A$4:$A$369,"&gt;="&amp;$A24,'Daily Log'!$A$4:$A$369,"&lt;="&amp;$A24+6))</f>
        <v/>
      </c>
      <c r="L24" s="79">
        <f>IFERROR(E24/J24,"")</f>
        <v/>
      </c>
      <c r="M24" s="79">
        <f>IFERROR(H24/E24*1000,"")</f>
        <v/>
      </c>
      <c r="N24" s="87" t="n"/>
    </row>
    <row r="25">
      <c r="A25" s="85">
        <f>A24+7</f>
        <v/>
      </c>
      <c r="B25" s="38" t="n">
        <v>3705</v>
      </c>
      <c r="C25" s="86">
        <f>IF(OR(B25="",B24=""),"",B25-B24)</f>
        <v/>
      </c>
      <c r="D25" s="59">
        <f>IF(OR(B25="",B24=""),"",IFERROR((B25-B24)/B24,""))</f>
        <v/>
      </c>
      <c r="E25" s="38" t="n">
        <v>11000</v>
      </c>
      <c r="F25" s="38" t="n">
        <v>578</v>
      </c>
      <c r="G25" s="38" t="n">
        <v>331</v>
      </c>
      <c r="H25" s="38" t="n">
        <v>77</v>
      </c>
      <c r="I25" s="38" t="n">
        <v>23</v>
      </c>
      <c r="J25" s="50">
        <f>IF($A25&gt;TODAY(),"",SUMIFS('Daily Log'!$C$4:$C$369,'Daily Log'!$A$4:$A$369,"&gt;="&amp;$A25,'Daily Log'!$A$4:$A$369,"&lt;="&amp;$A25+6))</f>
        <v/>
      </c>
      <c r="K25" s="50">
        <f>IF($A25&gt;TODAY(),"",SUMIFS('Daily Log'!$D$4:$D$369,'Daily Log'!$A$4:$A$369,"&gt;="&amp;$A25,'Daily Log'!$A$4:$A$369,"&lt;="&amp;$A25+6))</f>
        <v/>
      </c>
      <c r="L25" s="79">
        <f>IFERROR(E25/J25,"")</f>
        <v/>
      </c>
      <c r="M25" s="79">
        <f>IFERROR(H25/E25*1000,"")</f>
        <v/>
      </c>
      <c r="N25" s="87" t="n"/>
    </row>
    <row r="26">
      <c r="A26" s="85">
        <f>A25+7</f>
        <v/>
      </c>
      <c r="B26" s="38" t="n">
        <v>3778</v>
      </c>
      <c r="C26" s="86">
        <f>IF(OR(B26="",B25=""),"",B26-B25)</f>
        <v/>
      </c>
      <c r="D26" s="59">
        <f>IF(OR(B26="",B25=""),"",IFERROR((B26-B25)/B25,""))</f>
        <v/>
      </c>
      <c r="E26" s="38" t="n">
        <v>9400</v>
      </c>
      <c r="F26" s="38" t="n">
        <v>499</v>
      </c>
      <c r="G26" s="38" t="n">
        <v>288</v>
      </c>
      <c r="H26" s="38" t="n">
        <v>73</v>
      </c>
      <c r="I26" s="38" t="n">
        <v>22</v>
      </c>
      <c r="J26" s="50">
        <f>IF($A26&gt;TODAY(),"",SUMIFS('Daily Log'!$C$4:$C$369,'Daily Log'!$A$4:$A$369,"&gt;="&amp;$A26,'Daily Log'!$A$4:$A$369,"&lt;="&amp;$A26+6))</f>
        <v/>
      </c>
      <c r="K26" s="50">
        <f>IF($A26&gt;TODAY(),"",SUMIFS('Daily Log'!$D$4:$D$369,'Daily Log'!$A$4:$A$369,"&gt;="&amp;$A26,'Daily Log'!$A$4:$A$369,"&lt;="&amp;$A26+6))</f>
        <v/>
      </c>
      <c r="L26" s="79">
        <f>IFERROR(E26/J26,"")</f>
        <v/>
      </c>
      <c r="M26" s="79">
        <f>IFERROR(H26/E26*1000,"")</f>
        <v/>
      </c>
      <c r="N26" s="87" t="inlineStr">
        <is>
          <t>Posted less this month — reach went with it</t>
        </is>
      </c>
    </row>
    <row r="27">
      <c r="A27" s="85">
        <f>A26+7</f>
        <v/>
      </c>
      <c r="B27" s="38" t="n">
        <v>3849</v>
      </c>
      <c r="C27" s="86">
        <f>IF(OR(B27="",B26=""),"",B27-B26)</f>
        <v/>
      </c>
      <c r="D27" s="59">
        <f>IF(OR(B27="",B26=""),"",IFERROR((B27-B26)/B26,""))</f>
        <v/>
      </c>
      <c r="E27" s="38" t="n">
        <v>8600</v>
      </c>
      <c r="F27" s="38" t="n">
        <v>466</v>
      </c>
      <c r="G27" s="38" t="n">
        <v>292</v>
      </c>
      <c r="H27" s="38" t="n">
        <v>71</v>
      </c>
      <c r="I27" s="38" t="n">
        <v>18</v>
      </c>
      <c r="J27" s="50">
        <f>IF($A27&gt;TODAY(),"",SUMIFS('Daily Log'!$C$4:$C$369,'Daily Log'!$A$4:$A$369,"&gt;="&amp;$A27,'Daily Log'!$A$4:$A$369,"&lt;="&amp;$A27+6))</f>
        <v/>
      </c>
      <c r="K27" s="50">
        <f>IF($A27&gt;TODAY(),"",SUMIFS('Daily Log'!$D$4:$D$369,'Daily Log'!$A$4:$A$369,"&gt;="&amp;$A27,'Daily Log'!$A$4:$A$369,"&lt;="&amp;$A27+6))</f>
        <v/>
      </c>
      <c r="L27" s="79">
        <f>IFERROR(E27/J27,"")</f>
        <v/>
      </c>
      <c r="M27" s="79">
        <f>IFERROR(H27/E27*1000,"")</f>
        <v/>
      </c>
      <c r="N27" s="87" t="n"/>
    </row>
    <row r="28">
      <c r="A28" s="85">
        <f>A27+7</f>
        <v/>
      </c>
      <c r="B28" s="38" t="n">
        <v>3924</v>
      </c>
      <c r="C28" s="86">
        <f>IF(OR(B28="",B27=""),"",B28-B27)</f>
        <v/>
      </c>
      <c r="D28" s="59">
        <f>IF(OR(B28="",B27=""),"",IFERROR((B28-B27)/B27,""))</f>
        <v/>
      </c>
      <c r="E28" s="38" t="n">
        <v>9100</v>
      </c>
      <c r="F28" s="38" t="n">
        <v>486</v>
      </c>
      <c r="G28" s="38" t="n">
        <v>304</v>
      </c>
      <c r="H28" s="38" t="n">
        <v>75</v>
      </c>
      <c r="I28" s="38" t="n">
        <v>23</v>
      </c>
      <c r="J28" s="50">
        <f>IF($A28&gt;TODAY(),"",SUMIFS('Daily Log'!$C$4:$C$369,'Daily Log'!$A$4:$A$369,"&gt;="&amp;$A28,'Daily Log'!$A$4:$A$369,"&lt;="&amp;$A28+6))</f>
        <v/>
      </c>
      <c r="K28" s="50">
        <f>IF($A28&gt;TODAY(),"",SUMIFS('Daily Log'!$D$4:$D$369,'Daily Log'!$A$4:$A$369,"&gt;="&amp;$A28,'Daily Log'!$A$4:$A$369,"&lt;="&amp;$A28+6))</f>
        <v/>
      </c>
      <c r="L28" s="79">
        <f>IFERROR(E28/J28,"")</f>
        <v/>
      </c>
      <c r="M28" s="79">
        <f>IFERROR(H28/E28*1000,"")</f>
        <v/>
      </c>
      <c r="N28" s="87" t="n"/>
    </row>
    <row r="29">
      <c r="A29" s="85">
        <f>A28+7</f>
        <v/>
      </c>
      <c r="B29" s="38" t="n">
        <v>4017</v>
      </c>
      <c r="C29" s="86">
        <f>IF(OR(B29="",B28=""),"",B29-B28)</f>
        <v/>
      </c>
      <c r="D29" s="59">
        <f>IF(OR(B29="",B28=""),"",IFERROR((B29-B28)/B28,""))</f>
        <v/>
      </c>
      <c r="E29" s="38" t="n">
        <v>11800</v>
      </c>
      <c r="F29" s="38" t="n">
        <v>621</v>
      </c>
      <c r="G29" s="38" t="n">
        <v>341</v>
      </c>
      <c r="H29" s="38" t="n">
        <v>93</v>
      </c>
      <c r="I29" s="38" t="n">
        <v>28</v>
      </c>
      <c r="J29" s="50">
        <f>IF($A29&gt;TODAY(),"",SUMIFS('Daily Log'!$C$4:$C$369,'Daily Log'!$A$4:$A$369,"&gt;="&amp;$A29,'Daily Log'!$A$4:$A$369,"&lt;="&amp;$A29+6))</f>
        <v/>
      </c>
      <c r="K29" s="50">
        <f>IF($A29&gt;TODAY(),"",SUMIFS('Daily Log'!$D$4:$D$369,'Daily Log'!$A$4:$A$369,"&gt;="&amp;$A29,'Daily Log'!$A$4:$A$369,"&lt;="&amp;$A29+6))</f>
        <v/>
      </c>
      <c r="L29" s="79">
        <f>IFERROR(E29/J29,"")</f>
        <v/>
      </c>
      <c r="M29" s="79">
        <f>IFERROR(H29/E29*1000,"")</f>
        <v/>
      </c>
      <c r="N29" s="87" t="n"/>
    </row>
    <row r="30">
      <c r="A30" s="85">
        <f>A29+7</f>
        <v/>
      </c>
      <c r="B30" s="38" t="n">
        <v>4097</v>
      </c>
      <c r="C30" s="86">
        <f>IF(OR(B30="",B29=""),"",B30-B29)</f>
        <v/>
      </c>
      <c r="D30" s="59">
        <f>IF(OR(B30="",B29=""),"",IFERROR((B30-B29)/B29,""))</f>
        <v/>
      </c>
      <c r="E30" s="38" t="n">
        <v>13200</v>
      </c>
      <c r="F30" s="38" t="n">
        <v>663</v>
      </c>
      <c r="G30" s="38" t="n">
        <v>378</v>
      </c>
      <c r="H30" s="38" t="n">
        <v>80</v>
      </c>
      <c r="I30" s="38" t="n">
        <v>31</v>
      </c>
      <c r="J30" s="50">
        <f>IF($A30&gt;TODAY(),"",SUMIFS('Daily Log'!$C$4:$C$369,'Daily Log'!$A$4:$A$369,"&gt;="&amp;$A30,'Daily Log'!$A$4:$A$369,"&lt;="&amp;$A30+6))</f>
        <v/>
      </c>
      <c r="K30" s="50">
        <f>IF($A30&gt;TODAY(),"",SUMIFS('Daily Log'!$D$4:$D$369,'Daily Log'!$A$4:$A$369,"&gt;="&amp;$A30,'Daily Log'!$A$4:$A$369,"&lt;="&amp;$A30+6))</f>
        <v/>
      </c>
      <c r="L30" s="79">
        <f>IFERROR(E30/J30,"")</f>
        <v/>
      </c>
      <c r="M30" s="79">
        <f>IFERROR(H30/E30*1000,"")</f>
        <v/>
      </c>
      <c r="N30" s="87" t="n"/>
    </row>
    <row r="31">
      <c r="A31" s="85">
        <f>A30+7</f>
        <v/>
      </c>
      <c r="B31" s="38" t="n">
        <v>4206</v>
      </c>
      <c r="C31" s="86">
        <f>IF(OR(B31="",B30=""),"",B31-B30)</f>
        <v/>
      </c>
      <c r="D31" s="59">
        <f>IF(OR(B31="",B30=""),"",IFERROR((B31-B30)/B30,""))</f>
        <v/>
      </c>
      <c r="E31" s="38" t="n">
        <v>15600</v>
      </c>
      <c r="F31" s="38" t="n">
        <v>722</v>
      </c>
      <c r="G31" s="38" t="n">
        <v>459</v>
      </c>
      <c r="H31" s="38" t="n">
        <v>109</v>
      </c>
      <c r="I31" s="38" t="n">
        <v>45</v>
      </c>
      <c r="J31" s="50">
        <f>IF($A31&gt;TODAY(),"",SUMIFS('Daily Log'!$C$4:$C$369,'Daily Log'!$A$4:$A$369,"&gt;="&amp;$A31,'Daily Log'!$A$4:$A$369,"&lt;="&amp;$A31+6))</f>
        <v/>
      </c>
      <c r="K31" s="50">
        <f>IF($A31&gt;TODAY(),"",SUMIFS('Daily Log'!$D$4:$D$369,'Daily Log'!$A$4:$A$369,"&gt;="&amp;$A31,'Daily Log'!$A$4:$A$369,"&lt;="&amp;$A31+6))</f>
        <v/>
      </c>
      <c r="L31" s="79">
        <f>IFERROR(E31/J31,"")</f>
        <v/>
      </c>
      <c r="M31" s="79">
        <f>IFERROR(H31/E31*1000,"")</f>
        <v/>
      </c>
      <c r="N31" s="87" t="inlineStr">
        <is>
          <t>Back to 5 a day, reach recovering</t>
        </is>
      </c>
    </row>
    <row r="32">
      <c r="A32" s="85">
        <f>A31+7</f>
        <v/>
      </c>
      <c r="B32" s="38" t="n">
        <v>4313</v>
      </c>
      <c r="C32" s="86">
        <f>IF(OR(B32="",B31=""),"",B32-B31)</f>
        <v/>
      </c>
      <c r="D32" s="59">
        <f>IF(OR(B32="",B31=""),"",IFERROR((B32-B31)/B31,""))</f>
        <v/>
      </c>
      <c r="E32" s="38" t="n">
        <v>17400</v>
      </c>
      <c r="F32" s="38" t="n">
        <v>919</v>
      </c>
      <c r="G32" s="38" t="n">
        <v>562</v>
      </c>
      <c r="H32" s="38" t="n">
        <v>107</v>
      </c>
      <c r="I32" s="38" t="n">
        <v>48</v>
      </c>
      <c r="J32" s="50">
        <f>IF($A32&gt;TODAY(),"",SUMIFS('Daily Log'!$C$4:$C$369,'Daily Log'!$A$4:$A$369,"&gt;="&amp;$A32,'Daily Log'!$A$4:$A$369,"&lt;="&amp;$A32+6))</f>
        <v/>
      </c>
      <c r="K32" s="50">
        <f>IF($A32&gt;TODAY(),"",SUMIFS('Daily Log'!$D$4:$D$369,'Daily Log'!$A$4:$A$369,"&gt;="&amp;$A32,'Daily Log'!$A$4:$A$369,"&lt;="&amp;$A32+6))</f>
        <v/>
      </c>
      <c r="L32" s="79">
        <f>IFERROR(E32/J32,"")</f>
        <v/>
      </c>
      <c r="M32" s="79">
        <f>IFERROR(H32/E32*1000,"")</f>
        <v/>
      </c>
      <c r="N32" s="87" t="n"/>
    </row>
    <row r="33">
      <c r="A33" s="85">
        <f>A32+7</f>
        <v/>
      </c>
      <c r="B33" s="38" t="n">
        <v>4450</v>
      </c>
      <c r="C33" s="86">
        <f>IF(OR(B33="",B32=""),"",B33-B32)</f>
        <v/>
      </c>
      <c r="D33" s="59">
        <f>IF(OR(B33="",B32=""),"",IFERROR((B33-B32)/B32,""))</f>
        <v/>
      </c>
      <c r="E33" s="38" t="n">
        <v>19100</v>
      </c>
      <c r="F33" s="38" t="n">
        <v>954</v>
      </c>
      <c r="G33" s="38" t="n">
        <v>546</v>
      </c>
      <c r="H33" s="38" t="n">
        <v>137</v>
      </c>
      <c r="I33" s="38" t="n">
        <v>44</v>
      </c>
      <c r="J33" s="50">
        <f>IF($A33&gt;TODAY(),"",SUMIFS('Daily Log'!$C$4:$C$369,'Daily Log'!$A$4:$A$369,"&gt;="&amp;$A33,'Daily Log'!$A$4:$A$369,"&lt;="&amp;$A33+6))</f>
        <v/>
      </c>
      <c r="K33" s="50">
        <f>IF($A33&gt;TODAY(),"",SUMIFS('Daily Log'!$D$4:$D$369,'Daily Log'!$A$4:$A$369,"&gt;="&amp;$A33,'Daily Log'!$A$4:$A$369,"&lt;="&amp;$A33+6))</f>
        <v/>
      </c>
      <c r="L33" s="79">
        <f>IFERROR(E33/J33,"")</f>
        <v/>
      </c>
      <c r="M33" s="79">
        <f>IFERROR(H33/E33*1000,"")</f>
        <v/>
      </c>
      <c r="N33" s="87" t="n"/>
    </row>
    <row r="34">
      <c r="A34" s="85">
        <f>A33+7</f>
        <v/>
      </c>
      <c r="B34" s="38" t="n">
        <v>4632</v>
      </c>
      <c r="C34" s="86">
        <f>IF(OR(B34="",B33=""),"",B34-B33)</f>
        <v/>
      </c>
      <c r="D34" s="59">
        <f>IF(OR(B34="",B33=""),"",IFERROR((B34-B33)/B33,""))</f>
        <v/>
      </c>
      <c r="E34" s="38" t="n">
        <v>21000</v>
      </c>
      <c r="F34" s="38" t="n">
        <v>1136</v>
      </c>
      <c r="G34" s="38" t="n">
        <v>659</v>
      </c>
      <c r="H34" s="38" t="n">
        <v>182</v>
      </c>
      <c r="I34" s="38" t="n">
        <v>50</v>
      </c>
      <c r="J34" s="50">
        <f>IF($A34&gt;TODAY(),"",SUMIFS('Daily Log'!$C$4:$C$369,'Daily Log'!$A$4:$A$369,"&gt;="&amp;$A34,'Daily Log'!$A$4:$A$369,"&lt;="&amp;$A34+6))</f>
        <v/>
      </c>
      <c r="K34" s="50">
        <f>IF($A34&gt;TODAY(),"",SUMIFS('Daily Log'!$D$4:$D$369,'Daily Log'!$A$4:$A$369,"&gt;="&amp;$A34,'Daily Log'!$A$4:$A$369,"&lt;="&amp;$A34+6))</f>
        <v/>
      </c>
      <c r="L34" s="79">
        <f>IFERROR(E34/J34,"")</f>
        <v/>
      </c>
      <c r="M34" s="79">
        <f>IFERROR(H34/E34*1000,"")</f>
        <v/>
      </c>
      <c r="N34" s="87" t="n"/>
    </row>
    <row r="35">
      <c r="A35" s="85">
        <f>A34+7</f>
        <v/>
      </c>
      <c r="B35" s="38" t="n">
        <v>4792</v>
      </c>
      <c r="C35" s="86">
        <f>IF(OR(B35="",B34=""),"",B35-B34)</f>
        <v/>
      </c>
      <c r="D35" s="59">
        <f>IF(OR(B35="",B34=""),"",IFERROR((B35-B34)/B34,""))</f>
        <v/>
      </c>
      <c r="E35" s="38" t="n">
        <v>23500</v>
      </c>
      <c r="F35" s="38" t="n">
        <v>1266</v>
      </c>
      <c r="G35" s="38" t="n">
        <v>723</v>
      </c>
      <c r="H35" s="38" t="n">
        <v>160</v>
      </c>
      <c r="I35" s="38" t="n">
        <v>68</v>
      </c>
      <c r="J35" s="50">
        <f>IF($A35&gt;TODAY(),"",SUMIFS('Daily Log'!$C$4:$C$369,'Daily Log'!$A$4:$A$369,"&gt;="&amp;$A35,'Daily Log'!$A$4:$A$369,"&lt;="&amp;$A35+6))</f>
        <v/>
      </c>
      <c r="K35" s="50">
        <f>IF($A35&gt;TODAY(),"",SUMIFS('Daily Log'!$D$4:$D$369,'Daily Log'!$A$4:$A$369,"&gt;="&amp;$A35,'Daily Log'!$A$4:$A$369,"&lt;="&amp;$A35+6))</f>
        <v/>
      </c>
      <c r="L35" s="79">
        <f>IFERROR(E35/J35,"")</f>
        <v/>
      </c>
      <c r="M35" s="79">
        <f>IFERROR(H35/E35*1000,"")</f>
        <v/>
      </c>
      <c r="N35" s="87" t="n"/>
    </row>
    <row r="36">
      <c r="A36" s="85">
        <f>A35+7</f>
        <v/>
      </c>
      <c r="B36" s="38" t="n">
        <v>5008</v>
      </c>
      <c r="C36" s="86">
        <f>IF(OR(B36="",B35=""),"",B36-B35)</f>
        <v/>
      </c>
      <c r="D36" s="59">
        <f>IF(OR(B36="",B35=""),"",IFERROR((B36-B35)/B35,""))</f>
        <v/>
      </c>
      <c r="E36" s="38" t="n">
        <v>26800</v>
      </c>
      <c r="F36" s="38" t="n">
        <v>1427</v>
      </c>
      <c r="G36" s="38" t="n">
        <v>769</v>
      </c>
      <c r="H36" s="38" t="n">
        <v>216</v>
      </c>
      <c r="I36" s="38" t="n">
        <v>56</v>
      </c>
      <c r="J36" s="50">
        <f>IF($A36&gt;TODAY(),"",SUMIFS('Daily Log'!$C$4:$C$369,'Daily Log'!$A$4:$A$369,"&gt;="&amp;$A36,'Daily Log'!$A$4:$A$369,"&lt;="&amp;$A36+6))</f>
        <v/>
      </c>
      <c r="K36" s="50">
        <f>IF($A36&gt;TODAY(),"",SUMIFS('Daily Log'!$D$4:$D$369,'Daily Log'!$A$4:$A$369,"&gt;="&amp;$A36,'Daily Log'!$A$4:$A$369,"&lt;="&amp;$A36+6))</f>
        <v/>
      </c>
      <c r="L36" s="79">
        <f>IFERROR(E36/J36,"")</f>
        <v/>
      </c>
      <c r="M36" s="79">
        <f>IFERROR(H36/E36*1000,"")</f>
        <v/>
      </c>
      <c r="N36" s="87" t="n"/>
    </row>
    <row r="37">
      <c r="A37" s="85">
        <f>A36+7</f>
        <v/>
      </c>
      <c r="B37" s="38" t="n"/>
      <c r="C37" s="86">
        <f>IF(OR(B37="",B36=""),"",B37-B36)</f>
        <v/>
      </c>
      <c r="D37" s="59">
        <f>IF(OR(B37="",B36=""),"",IFERROR((B37-B36)/B36,""))</f>
        <v/>
      </c>
      <c r="E37" s="38" t="n"/>
      <c r="F37" s="38" t="n"/>
      <c r="G37" s="38" t="n"/>
      <c r="H37" s="38" t="n"/>
      <c r="I37" s="38" t="n"/>
      <c r="J37" s="50">
        <f>IF($A37&gt;TODAY(),"",SUMIFS('Daily Log'!$C$4:$C$369,'Daily Log'!$A$4:$A$369,"&gt;="&amp;$A37,'Daily Log'!$A$4:$A$369,"&lt;="&amp;$A37+6))</f>
        <v/>
      </c>
      <c r="K37" s="50">
        <f>IF($A37&gt;TODAY(),"",SUMIFS('Daily Log'!$D$4:$D$369,'Daily Log'!$A$4:$A$369,"&gt;="&amp;$A37,'Daily Log'!$A$4:$A$369,"&lt;="&amp;$A37+6))</f>
        <v/>
      </c>
      <c r="L37" s="79">
        <f>IFERROR(E37/J37,"")</f>
        <v/>
      </c>
      <c r="M37" s="79">
        <f>IFERROR(H37/E37*1000,"")</f>
        <v/>
      </c>
      <c r="N37" s="87" t="n"/>
    </row>
    <row r="38">
      <c r="A38" s="85">
        <f>A37+7</f>
        <v/>
      </c>
      <c r="B38" s="38" t="n"/>
      <c r="C38" s="86">
        <f>IF(OR(B38="",B37=""),"",B38-B37)</f>
        <v/>
      </c>
      <c r="D38" s="59">
        <f>IF(OR(B38="",B37=""),"",IFERROR((B38-B37)/B37,""))</f>
        <v/>
      </c>
      <c r="E38" s="38" t="n"/>
      <c r="F38" s="38" t="n"/>
      <c r="G38" s="38" t="n"/>
      <c r="H38" s="38" t="n"/>
      <c r="I38" s="38" t="n"/>
      <c r="J38" s="50">
        <f>IF($A38&gt;TODAY(),"",SUMIFS('Daily Log'!$C$4:$C$369,'Daily Log'!$A$4:$A$369,"&gt;="&amp;$A38,'Daily Log'!$A$4:$A$369,"&lt;="&amp;$A38+6))</f>
        <v/>
      </c>
      <c r="K38" s="50">
        <f>IF($A38&gt;TODAY(),"",SUMIFS('Daily Log'!$D$4:$D$369,'Daily Log'!$A$4:$A$369,"&gt;="&amp;$A38,'Daily Log'!$A$4:$A$369,"&lt;="&amp;$A38+6))</f>
        <v/>
      </c>
      <c r="L38" s="79">
        <f>IFERROR(E38/J38,"")</f>
        <v/>
      </c>
      <c r="M38" s="79">
        <f>IFERROR(H38/E38*1000,"")</f>
        <v/>
      </c>
      <c r="N38" s="87" t="n"/>
    </row>
    <row r="39">
      <c r="A39" s="85">
        <f>A38+7</f>
        <v/>
      </c>
      <c r="B39" s="38" t="n"/>
      <c r="C39" s="86">
        <f>IF(OR(B39="",B38=""),"",B39-B38)</f>
        <v/>
      </c>
      <c r="D39" s="59">
        <f>IF(OR(B39="",B38=""),"",IFERROR((B39-B38)/B38,""))</f>
        <v/>
      </c>
      <c r="E39" s="38" t="n"/>
      <c r="F39" s="38" t="n"/>
      <c r="G39" s="38" t="n"/>
      <c r="H39" s="38" t="n"/>
      <c r="I39" s="38" t="n"/>
      <c r="J39" s="50">
        <f>IF($A39&gt;TODAY(),"",SUMIFS('Daily Log'!$C$4:$C$369,'Daily Log'!$A$4:$A$369,"&gt;="&amp;$A39,'Daily Log'!$A$4:$A$369,"&lt;="&amp;$A39+6))</f>
        <v/>
      </c>
      <c r="K39" s="50">
        <f>IF($A39&gt;TODAY(),"",SUMIFS('Daily Log'!$D$4:$D$369,'Daily Log'!$A$4:$A$369,"&gt;="&amp;$A39,'Daily Log'!$A$4:$A$369,"&lt;="&amp;$A39+6))</f>
        <v/>
      </c>
      <c r="L39" s="79">
        <f>IFERROR(E39/J39,"")</f>
        <v/>
      </c>
      <c r="M39" s="79">
        <f>IFERROR(H39/E39*1000,"")</f>
        <v/>
      </c>
      <c r="N39" s="87" t="n"/>
    </row>
    <row r="40">
      <c r="A40" s="85">
        <f>A39+7</f>
        <v/>
      </c>
      <c r="B40" s="38" t="n"/>
      <c r="C40" s="86">
        <f>IF(OR(B40="",B39=""),"",B40-B39)</f>
        <v/>
      </c>
      <c r="D40" s="59">
        <f>IF(OR(B40="",B39=""),"",IFERROR((B40-B39)/B39,""))</f>
        <v/>
      </c>
      <c r="E40" s="38" t="n"/>
      <c r="F40" s="38" t="n"/>
      <c r="G40" s="38" t="n"/>
      <c r="H40" s="38" t="n"/>
      <c r="I40" s="38" t="n"/>
      <c r="J40" s="50">
        <f>IF($A40&gt;TODAY(),"",SUMIFS('Daily Log'!$C$4:$C$369,'Daily Log'!$A$4:$A$369,"&gt;="&amp;$A40,'Daily Log'!$A$4:$A$369,"&lt;="&amp;$A40+6))</f>
        <v/>
      </c>
      <c r="K40" s="50">
        <f>IF($A40&gt;TODAY(),"",SUMIFS('Daily Log'!$D$4:$D$369,'Daily Log'!$A$4:$A$369,"&gt;="&amp;$A40,'Daily Log'!$A$4:$A$369,"&lt;="&amp;$A40+6))</f>
        <v/>
      </c>
      <c r="L40" s="79">
        <f>IFERROR(E40/J40,"")</f>
        <v/>
      </c>
      <c r="M40" s="79">
        <f>IFERROR(H40/E40*1000,"")</f>
        <v/>
      </c>
      <c r="N40" s="87" t="n"/>
    </row>
    <row r="41">
      <c r="A41" s="85">
        <f>A40+7</f>
        <v/>
      </c>
      <c r="B41" s="38" t="n"/>
      <c r="C41" s="86">
        <f>IF(OR(B41="",B40=""),"",B41-B40)</f>
        <v/>
      </c>
      <c r="D41" s="59">
        <f>IF(OR(B41="",B40=""),"",IFERROR((B41-B40)/B40,""))</f>
        <v/>
      </c>
      <c r="E41" s="38" t="n"/>
      <c r="F41" s="38" t="n"/>
      <c r="G41" s="38" t="n"/>
      <c r="H41" s="38" t="n"/>
      <c r="I41" s="38" t="n"/>
      <c r="J41" s="50">
        <f>IF($A41&gt;TODAY(),"",SUMIFS('Daily Log'!$C$4:$C$369,'Daily Log'!$A$4:$A$369,"&gt;="&amp;$A41,'Daily Log'!$A$4:$A$369,"&lt;="&amp;$A41+6))</f>
        <v/>
      </c>
      <c r="K41" s="50">
        <f>IF($A41&gt;TODAY(),"",SUMIFS('Daily Log'!$D$4:$D$369,'Daily Log'!$A$4:$A$369,"&gt;="&amp;$A41,'Daily Log'!$A$4:$A$369,"&lt;="&amp;$A41+6))</f>
        <v/>
      </c>
      <c r="L41" s="79">
        <f>IFERROR(E41/J41,"")</f>
        <v/>
      </c>
      <c r="M41" s="79">
        <f>IFERROR(H41/E41*1000,"")</f>
        <v/>
      </c>
      <c r="N41" s="87" t="n"/>
    </row>
    <row r="42">
      <c r="A42" s="85">
        <f>A41+7</f>
        <v/>
      </c>
      <c r="B42" s="38" t="n"/>
      <c r="C42" s="86">
        <f>IF(OR(B42="",B41=""),"",B42-B41)</f>
        <v/>
      </c>
      <c r="D42" s="59">
        <f>IF(OR(B42="",B41=""),"",IFERROR((B42-B41)/B41,""))</f>
        <v/>
      </c>
      <c r="E42" s="38" t="n"/>
      <c r="F42" s="38" t="n"/>
      <c r="G42" s="38" t="n"/>
      <c r="H42" s="38" t="n"/>
      <c r="I42" s="38" t="n"/>
      <c r="J42" s="50">
        <f>IF($A42&gt;TODAY(),"",SUMIFS('Daily Log'!$C$4:$C$369,'Daily Log'!$A$4:$A$369,"&gt;="&amp;$A42,'Daily Log'!$A$4:$A$369,"&lt;="&amp;$A42+6))</f>
        <v/>
      </c>
      <c r="K42" s="50">
        <f>IF($A42&gt;TODAY(),"",SUMIFS('Daily Log'!$D$4:$D$369,'Daily Log'!$A$4:$A$369,"&gt;="&amp;$A42,'Daily Log'!$A$4:$A$369,"&lt;="&amp;$A42+6))</f>
        <v/>
      </c>
      <c r="L42" s="79">
        <f>IFERROR(E42/J42,"")</f>
        <v/>
      </c>
      <c r="M42" s="79">
        <f>IFERROR(H42/E42*1000,"")</f>
        <v/>
      </c>
      <c r="N42" s="87" t="n"/>
    </row>
    <row r="43">
      <c r="A43" s="85">
        <f>A42+7</f>
        <v/>
      </c>
      <c r="B43" s="38" t="n"/>
      <c r="C43" s="86">
        <f>IF(OR(B43="",B42=""),"",B43-B42)</f>
        <v/>
      </c>
      <c r="D43" s="59">
        <f>IF(OR(B43="",B42=""),"",IFERROR((B43-B42)/B42,""))</f>
        <v/>
      </c>
      <c r="E43" s="38" t="n"/>
      <c r="F43" s="38" t="n"/>
      <c r="G43" s="38" t="n"/>
      <c r="H43" s="38" t="n"/>
      <c r="I43" s="38" t="n"/>
      <c r="J43" s="50">
        <f>IF($A43&gt;TODAY(),"",SUMIFS('Daily Log'!$C$4:$C$369,'Daily Log'!$A$4:$A$369,"&gt;="&amp;$A43,'Daily Log'!$A$4:$A$369,"&lt;="&amp;$A43+6))</f>
        <v/>
      </c>
      <c r="K43" s="50">
        <f>IF($A43&gt;TODAY(),"",SUMIFS('Daily Log'!$D$4:$D$369,'Daily Log'!$A$4:$A$369,"&gt;="&amp;$A43,'Daily Log'!$A$4:$A$369,"&lt;="&amp;$A43+6))</f>
        <v/>
      </c>
      <c r="L43" s="79">
        <f>IFERROR(E43/J43,"")</f>
        <v/>
      </c>
      <c r="M43" s="79">
        <f>IFERROR(H43/E43*1000,"")</f>
        <v/>
      </c>
      <c r="N43" s="87" t="n"/>
    </row>
    <row r="44">
      <c r="A44" s="85">
        <f>A43+7</f>
        <v/>
      </c>
      <c r="B44" s="38" t="n"/>
      <c r="C44" s="86">
        <f>IF(OR(B44="",B43=""),"",B44-B43)</f>
        <v/>
      </c>
      <c r="D44" s="59">
        <f>IF(OR(B44="",B43=""),"",IFERROR((B44-B43)/B43,""))</f>
        <v/>
      </c>
      <c r="E44" s="38" t="n"/>
      <c r="F44" s="38" t="n"/>
      <c r="G44" s="38" t="n"/>
      <c r="H44" s="38" t="n"/>
      <c r="I44" s="38" t="n"/>
      <c r="J44" s="50">
        <f>IF($A44&gt;TODAY(),"",SUMIFS('Daily Log'!$C$4:$C$369,'Daily Log'!$A$4:$A$369,"&gt;="&amp;$A44,'Daily Log'!$A$4:$A$369,"&lt;="&amp;$A44+6))</f>
        <v/>
      </c>
      <c r="K44" s="50">
        <f>IF($A44&gt;TODAY(),"",SUMIFS('Daily Log'!$D$4:$D$369,'Daily Log'!$A$4:$A$369,"&gt;="&amp;$A44,'Daily Log'!$A$4:$A$369,"&lt;="&amp;$A44+6))</f>
        <v/>
      </c>
      <c r="L44" s="79">
        <f>IFERROR(E44/J44,"")</f>
        <v/>
      </c>
      <c r="M44" s="79">
        <f>IFERROR(H44/E44*1000,"")</f>
        <v/>
      </c>
      <c r="N44" s="87" t="n"/>
    </row>
    <row r="45">
      <c r="A45" s="85">
        <f>A44+7</f>
        <v/>
      </c>
      <c r="B45" s="38" t="n"/>
      <c r="C45" s="86">
        <f>IF(OR(B45="",B44=""),"",B45-B44)</f>
        <v/>
      </c>
      <c r="D45" s="59">
        <f>IF(OR(B45="",B44=""),"",IFERROR((B45-B44)/B44,""))</f>
        <v/>
      </c>
      <c r="E45" s="38" t="n"/>
      <c r="F45" s="38" t="n"/>
      <c r="G45" s="38" t="n"/>
      <c r="H45" s="38" t="n"/>
      <c r="I45" s="38" t="n"/>
      <c r="J45" s="50">
        <f>IF($A45&gt;TODAY(),"",SUMIFS('Daily Log'!$C$4:$C$369,'Daily Log'!$A$4:$A$369,"&gt;="&amp;$A45,'Daily Log'!$A$4:$A$369,"&lt;="&amp;$A45+6))</f>
        <v/>
      </c>
      <c r="K45" s="50">
        <f>IF($A45&gt;TODAY(),"",SUMIFS('Daily Log'!$D$4:$D$369,'Daily Log'!$A$4:$A$369,"&gt;="&amp;$A45,'Daily Log'!$A$4:$A$369,"&lt;="&amp;$A45+6))</f>
        <v/>
      </c>
      <c r="L45" s="79">
        <f>IFERROR(E45/J45,"")</f>
        <v/>
      </c>
      <c r="M45" s="79">
        <f>IFERROR(H45/E45*1000,"")</f>
        <v/>
      </c>
      <c r="N45" s="87" t="n"/>
    </row>
    <row r="46">
      <c r="A46" s="85">
        <f>A45+7</f>
        <v/>
      </c>
      <c r="B46" s="38" t="n"/>
      <c r="C46" s="86">
        <f>IF(OR(B46="",B45=""),"",B46-B45)</f>
        <v/>
      </c>
      <c r="D46" s="59">
        <f>IF(OR(B46="",B45=""),"",IFERROR((B46-B45)/B45,""))</f>
        <v/>
      </c>
      <c r="E46" s="38" t="n"/>
      <c r="F46" s="38" t="n"/>
      <c r="G46" s="38" t="n"/>
      <c r="H46" s="38" t="n"/>
      <c r="I46" s="38" t="n"/>
      <c r="J46" s="50">
        <f>IF($A46&gt;TODAY(),"",SUMIFS('Daily Log'!$C$4:$C$369,'Daily Log'!$A$4:$A$369,"&gt;="&amp;$A46,'Daily Log'!$A$4:$A$369,"&lt;="&amp;$A46+6))</f>
        <v/>
      </c>
      <c r="K46" s="50">
        <f>IF($A46&gt;TODAY(),"",SUMIFS('Daily Log'!$D$4:$D$369,'Daily Log'!$A$4:$A$369,"&gt;="&amp;$A46,'Daily Log'!$A$4:$A$369,"&lt;="&amp;$A46+6))</f>
        <v/>
      </c>
      <c r="L46" s="79">
        <f>IFERROR(E46/J46,"")</f>
        <v/>
      </c>
      <c r="M46" s="79">
        <f>IFERROR(H46/E46*1000,"")</f>
        <v/>
      </c>
      <c r="N46" s="87" t="n"/>
    </row>
    <row r="47">
      <c r="A47" s="85">
        <f>A46+7</f>
        <v/>
      </c>
      <c r="B47" s="38" t="n"/>
      <c r="C47" s="86">
        <f>IF(OR(B47="",B46=""),"",B47-B46)</f>
        <v/>
      </c>
      <c r="D47" s="59">
        <f>IF(OR(B47="",B46=""),"",IFERROR((B47-B46)/B46,""))</f>
        <v/>
      </c>
      <c r="E47" s="38" t="n"/>
      <c r="F47" s="38" t="n"/>
      <c r="G47" s="38" t="n"/>
      <c r="H47" s="38" t="n"/>
      <c r="I47" s="38" t="n"/>
      <c r="J47" s="50">
        <f>IF($A47&gt;TODAY(),"",SUMIFS('Daily Log'!$C$4:$C$369,'Daily Log'!$A$4:$A$369,"&gt;="&amp;$A47,'Daily Log'!$A$4:$A$369,"&lt;="&amp;$A47+6))</f>
        <v/>
      </c>
      <c r="K47" s="50">
        <f>IF($A47&gt;TODAY(),"",SUMIFS('Daily Log'!$D$4:$D$369,'Daily Log'!$A$4:$A$369,"&gt;="&amp;$A47,'Daily Log'!$A$4:$A$369,"&lt;="&amp;$A47+6))</f>
        <v/>
      </c>
      <c r="L47" s="79">
        <f>IFERROR(E47/J47,"")</f>
        <v/>
      </c>
      <c r="M47" s="79">
        <f>IFERROR(H47/E47*1000,"")</f>
        <v/>
      </c>
      <c r="N47" s="87" t="n"/>
    </row>
    <row r="48">
      <c r="A48" s="85">
        <f>A47+7</f>
        <v/>
      </c>
      <c r="B48" s="38" t="n"/>
      <c r="C48" s="86">
        <f>IF(OR(B48="",B47=""),"",B48-B47)</f>
        <v/>
      </c>
      <c r="D48" s="59">
        <f>IF(OR(B48="",B47=""),"",IFERROR((B48-B47)/B47,""))</f>
        <v/>
      </c>
      <c r="E48" s="38" t="n"/>
      <c r="F48" s="38" t="n"/>
      <c r="G48" s="38" t="n"/>
      <c r="H48" s="38" t="n"/>
      <c r="I48" s="38" t="n"/>
      <c r="J48" s="50">
        <f>IF($A48&gt;TODAY(),"",SUMIFS('Daily Log'!$C$4:$C$369,'Daily Log'!$A$4:$A$369,"&gt;="&amp;$A48,'Daily Log'!$A$4:$A$369,"&lt;="&amp;$A48+6))</f>
        <v/>
      </c>
      <c r="K48" s="50">
        <f>IF($A48&gt;TODAY(),"",SUMIFS('Daily Log'!$D$4:$D$369,'Daily Log'!$A$4:$A$369,"&gt;="&amp;$A48,'Daily Log'!$A$4:$A$369,"&lt;="&amp;$A48+6))</f>
        <v/>
      </c>
      <c r="L48" s="79">
        <f>IFERROR(E48/J48,"")</f>
        <v/>
      </c>
      <c r="M48" s="79">
        <f>IFERROR(H48/E48*1000,"")</f>
        <v/>
      </c>
      <c r="N48" s="87" t="n"/>
    </row>
    <row r="49">
      <c r="A49" s="85">
        <f>A48+7</f>
        <v/>
      </c>
      <c r="B49" s="38" t="n"/>
      <c r="C49" s="86">
        <f>IF(OR(B49="",B48=""),"",B49-B48)</f>
        <v/>
      </c>
      <c r="D49" s="59">
        <f>IF(OR(B49="",B48=""),"",IFERROR((B49-B48)/B48,""))</f>
        <v/>
      </c>
      <c r="E49" s="38" t="n"/>
      <c r="F49" s="38" t="n"/>
      <c r="G49" s="38" t="n"/>
      <c r="H49" s="38" t="n"/>
      <c r="I49" s="38" t="n"/>
      <c r="J49" s="50">
        <f>IF($A49&gt;TODAY(),"",SUMIFS('Daily Log'!$C$4:$C$369,'Daily Log'!$A$4:$A$369,"&gt;="&amp;$A49,'Daily Log'!$A$4:$A$369,"&lt;="&amp;$A49+6))</f>
        <v/>
      </c>
      <c r="K49" s="50">
        <f>IF($A49&gt;TODAY(),"",SUMIFS('Daily Log'!$D$4:$D$369,'Daily Log'!$A$4:$A$369,"&gt;="&amp;$A49,'Daily Log'!$A$4:$A$369,"&lt;="&amp;$A49+6))</f>
        <v/>
      </c>
      <c r="L49" s="79">
        <f>IFERROR(E49/J49,"")</f>
        <v/>
      </c>
      <c r="M49" s="79">
        <f>IFERROR(H49/E49*1000,"")</f>
        <v/>
      </c>
      <c r="N49" s="87" t="n"/>
    </row>
    <row r="50">
      <c r="A50" s="85">
        <f>A49+7</f>
        <v/>
      </c>
      <c r="B50" s="38" t="n"/>
      <c r="C50" s="86">
        <f>IF(OR(B50="",B49=""),"",B50-B49)</f>
        <v/>
      </c>
      <c r="D50" s="59">
        <f>IF(OR(B50="",B49=""),"",IFERROR((B50-B49)/B49,""))</f>
        <v/>
      </c>
      <c r="E50" s="38" t="n"/>
      <c r="F50" s="38" t="n"/>
      <c r="G50" s="38" t="n"/>
      <c r="H50" s="38" t="n"/>
      <c r="I50" s="38" t="n"/>
      <c r="J50" s="50">
        <f>IF($A50&gt;TODAY(),"",SUMIFS('Daily Log'!$C$4:$C$369,'Daily Log'!$A$4:$A$369,"&gt;="&amp;$A50,'Daily Log'!$A$4:$A$369,"&lt;="&amp;$A50+6))</f>
        <v/>
      </c>
      <c r="K50" s="50">
        <f>IF($A50&gt;TODAY(),"",SUMIFS('Daily Log'!$D$4:$D$369,'Daily Log'!$A$4:$A$369,"&gt;="&amp;$A50,'Daily Log'!$A$4:$A$369,"&lt;="&amp;$A50+6))</f>
        <v/>
      </c>
      <c r="L50" s="79">
        <f>IFERROR(E50/J50,"")</f>
        <v/>
      </c>
      <c r="M50" s="79">
        <f>IFERROR(H50/E50*1000,"")</f>
        <v/>
      </c>
      <c r="N50" s="87" t="n"/>
    </row>
    <row r="51">
      <c r="A51" s="85">
        <f>A50+7</f>
        <v/>
      </c>
      <c r="B51" s="38" t="n"/>
      <c r="C51" s="86">
        <f>IF(OR(B51="",B50=""),"",B51-B50)</f>
        <v/>
      </c>
      <c r="D51" s="59">
        <f>IF(OR(B51="",B50=""),"",IFERROR((B51-B50)/B50,""))</f>
        <v/>
      </c>
      <c r="E51" s="38" t="n"/>
      <c r="F51" s="38" t="n"/>
      <c r="G51" s="38" t="n"/>
      <c r="H51" s="38" t="n"/>
      <c r="I51" s="38" t="n"/>
      <c r="J51" s="50">
        <f>IF($A51&gt;TODAY(),"",SUMIFS('Daily Log'!$C$4:$C$369,'Daily Log'!$A$4:$A$369,"&gt;="&amp;$A51,'Daily Log'!$A$4:$A$369,"&lt;="&amp;$A51+6))</f>
        <v/>
      </c>
      <c r="K51" s="50">
        <f>IF($A51&gt;TODAY(),"",SUMIFS('Daily Log'!$D$4:$D$369,'Daily Log'!$A$4:$A$369,"&gt;="&amp;$A51,'Daily Log'!$A$4:$A$369,"&lt;="&amp;$A51+6))</f>
        <v/>
      </c>
      <c r="L51" s="79">
        <f>IFERROR(E51/J51,"")</f>
        <v/>
      </c>
      <c r="M51" s="79">
        <f>IFERROR(H51/E51*1000,"")</f>
        <v/>
      </c>
      <c r="N51" s="87" t="n"/>
    </row>
    <row r="52">
      <c r="A52" s="85">
        <f>A51+7</f>
        <v/>
      </c>
      <c r="B52" s="38" t="n"/>
      <c r="C52" s="86">
        <f>IF(OR(B52="",B51=""),"",B52-B51)</f>
        <v/>
      </c>
      <c r="D52" s="59">
        <f>IF(OR(B52="",B51=""),"",IFERROR((B52-B51)/B51,""))</f>
        <v/>
      </c>
      <c r="E52" s="38" t="n"/>
      <c r="F52" s="38" t="n"/>
      <c r="G52" s="38" t="n"/>
      <c r="H52" s="38" t="n"/>
      <c r="I52" s="38" t="n"/>
      <c r="J52" s="50">
        <f>IF($A52&gt;TODAY(),"",SUMIFS('Daily Log'!$C$4:$C$369,'Daily Log'!$A$4:$A$369,"&gt;="&amp;$A52,'Daily Log'!$A$4:$A$369,"&lt;="&amp;$A52+6))</f>
        <v/>
      </c>
      <c r="K52" s="50">
        <f>IF($A52&gt;TODAY(),"",SUMIFS('Daily Log'!$D$4:$D$369,'Daily Log'!$A$4:$A$369,"&gt;="&amp;$A52,'Daily Log'!$A$4:$A$369,"&lt;="&amp;$A52+6))</f>
        <v/>
      </c>
      <c r="L52" s="79">
        <f>IFERROR(E52/J52,"")</f>
        <v/>
      </c>
      <c r="M52" s="79">
        <f>IFERROR(H52/E52*1000,"")</f>
        <v/>
      </c>
      <c r="N52" s="87" t="n"/>
    </row>
    <row r="53">
      <c r="A53" s="85">
        <f>A52+7</f>
        <v/>
      </c>
      <c r="B53" s="38" t="n"/>
      <c r="C53" s="86">
        <f>IF(OR(B53="",B52=""),"",B53-B52)</f>
        <v/>
      </c>
      <c r="D53" s="59">
        <f>IF(OR(B53="",B52=""),"",IFERROR((B53-B52)/B52,""))</f>
        <v/>
      </c>
      <c r="E53" s="38" t="n"/>
      <c r="F53" s="38" t="n"/>
      <c r="G53" s="38" t="n"/>
      <c r="H53" s="38" t="n"/>
      <c r="I53" s="38" t="n"/>
      <c r="J53" s="50">
        <f>IF($A53&gt;TODAY(),"",SUMIFS('Daily Log'!$C$4:$C$369,'Daily Log'!$A$4:$A$369,"&gt;="&amp;$A53,'Daily Log'!$A$4:$A$369,"&lt;="&amp;$A53+6))</f>
        <v/>
      </c>
      <c r="K53" s="50">
        <f>IF($A53&gt;TODAY(),"",SUMIFS('Daily Log'!$D$4:$D$369,'Daily Log'!$A$4:$A$369,"&gt;="&amp;$A53,'Daily Log'!$A$4:$A$369,"&lt;="&amp;$A53+6))</f>
        <v/>
      </c>
      <c r="L53" s="79">
        <f>IFERROR(E53/J53,"")</f>
        <v/>
      </c>
      <c r="M53" s="79">
        <f>IFERROR(H53/E53*1000,"")</f>
        <v/>
      </c>
      <c r="N53" s="87" t="n"/>
    </row>
    <row r="54">
      <c r="A54" s="85">
        <f>A53+7</f>
        <v/>
      </c>
      <c r="B54" s="38" t="n"/>
      <c r="C54" s="86">
        <f>IF(OR(B54="",B53=""),"",B54-B53)</f>
        <v/>
      </c>
      <c r="D54" s="59">
        <f>IF(OR(B54="",B53=""),"",IFERROR((B54-B53)/B53,""))</f>
        <v/>
      </c>
      <c r="E54" s="38" t="n"/>
      <c r="F54" s="38" t="n"/>
      <c r="G54" s="38" t="n"/>
      <c r="H54" s="38" t="n"/>
      <c r="I54" s="38" t="n"/>
      <c r="J54" s="50">
        <f>IF($A54&gt;TODAY(),"",SUMIFS('Daily Log'!$C$4:$C$369,'Daily Log'!$A$4:$A$369,"&gt;="&amp;$A54,'Daily Log'!$A$4:$A$369,"&lt;="&amp;$A54+6))</f>
        <v/>
      </c>
      <c r="K54" s="50">
        <f>IF($A54&gt;TODAY(),"",SUMIFS('Daily Log'!$D$4:$D$369,'Daily Log'!$A$4:$A$369,"&gt;="&amp;$A54,'Daily Log'!$A$4:$A$369,"&lt;="&amp;$A54+6))</f>
        <v/>
      </c>
      <c r="L54" s="79">
        <f>IFERROR(E54/J54,"")</f>
        <v/>
      </c>
      <c r="M54" s="79">
        <f>IFERROR(H54/E54*1000,"")</f>
        <v/>
      </c>
      <c r="N54" s="87" t="n"/>
    </row>
    <row r="55">
      <c r="A55" s="85">
        <f>A54+7</f>
        <v/>
      </c>
      <c r="B55" s="38" t="n"/>
      <c r="C55" s="86">
        <f>IF(OR(B55="",B54=""),"",B55-B54)</f>
        <v/>
      </c>
      <c r="D55" s="59">
        <f>IF(OR(B55="",B54=""),"",IFERROR((B55-B54)/B54,""))</f>
        <v/>
      </c>
      <c r="E55" s="38" t="n"/>
      <c r="F55" s="38" t="n"/>
      <c r="G55" s="38" t="n"/>
      <c r="H55" s="38" t="n"/>
      <c r="I55" s="38" t="n"/>
      <c r="J55" s="50">
        <f>IF($A55&gt;TODAY(),"",SUMIFS('Daily Log'!$C$4:$C$369,'Daily Log'!$A$4:$A$369,"&gt;="&amp;$A55,'Daily Log'!$A$4:$A$369,"&lt;="&amp;$A55+6))</f>
        <v/>
      </c>
      <c r="K55" s="50">
        <f>IF($A55&gt;TODAY(),"",SUMIFS('Daily Log'!$D$4:$D$369,'Daily Log'!$A$4:$A$369,"&gt;="&amp;$A55,'Daily Log'!$A$4:$A$369,"&lt;="&amp;$A55+6))</f>
        <v/>
      </c>
      <c r="L55" s="79">
        <f>IFERROR(E55/J55,"")</f>
        <v/>
      </c>
      <c r="M55" s="79">
        <f>IFERROR(H55/E55*1000,"")</f>
        <v/>
      </c>
      <c r="N55" s="87" t="n"/>
    </row>
    <row r="56">
      <c r="A56" s="85">
        <f>A55+7</f>
        <v/>
      </c>
      <c r="B56" s="38" t="n"/>
      <c r="C56" s="86">
        <f>IF(OR(B56="",B55=""),"",B56-B55)</f>
        <v/>
      </c>
      <c r="D56" s="59">
        <f>IF(OR(B56="",B55=""),"",IFERROR((B56-B55)/B55,""))</f>
        <v/>
      </c>
      <c r="E56" s="38" t="n"/>
      <c r="F56" s="38" t="n"/>
      <c r="G56" s="38" t="n"/>
      <c r="H56" s="38" t="n"/>
      <c r="I56" s="38" t="n"/>
      <c r="J56" s="50">
        <f>IF($A56&gt;TODAY(),"",SUMIFS('Daily Log'!$C$4:$C$369,'Daily Log'!$A$4:$A$369,"&gt;="&amp;$A56,'Daily Log'!$A$4:$A$369,"&lt;="&amp;$A56+6))</f>
        <v/>
      </c>
      <c r="K56" s="50">
        <f>IF($A56&gt;TODAY(),"",SUMIFS('Daily Log'!$D$4:$D$369,'Daily Log'!$A$4:$A$369,"&gt;="&amp;$A56,'Daily Log'!$A$4:$A$369,"&lt;="&amp;$A56+6))</f>
        <v/>
      </c>
      <c r="L56" s="79">
        <f>IFERROR(E56/J56,"")</f>
        <v/>
      </c>
      <c r="M56" s="79">
        <f>IFERROR(H56/E56*1000,"")</f>
        <v/>
      </c>
      <c r="N56" s="87" t="n"/>
    </row>
    <row r="57">
      <c r="A57" s="85">
        <f>A56+7</f>
        <v/>
      </c>
      <c r="B57" s="38" t="n"/>
      <c r="C57" s="86">
        <f>IF(OR(B57="",B56=""),"",B57-B56)</f>
        <v/>
      </c>
      <c r="D57" s="59">
        <f>IF(OR(B57="",B56=""),"",IFERROR((B57-B56)/B56,""))</f>
        <v/>
      </c>
      <c r="E57" s="38" t="n"/>
      <c r="F57" s="38" t="n"/>
      <c r="G57" s="38" t="n"/>
      <c r="H57" s="38" t="n"/>
      <c r="I57" s="38" t="n"/>
      <c r="J57" s="50">
        <f>IF($A57&gt;TODAY(),"",SUMIFS('Daily Log'!$C$4:$C$369,'Daily Log'!$A$4:$A$369,"&gt;="&amp;$A57,'Daily Log'!$A$4:$A$369,"&lt;="&amp;$A57+6))</f>
        <v/>
      </c>
      <c r="K57" s="50">
        <f>IF($A57&gt;TODAY(),"",SUMIFS('Daily Log'!$D$4:$D$369,'Daily Log'!$A$4:$A$369,"&gt;="&amp;$A57,'Daily Log'!$A$4:$A$369,"&lt;="&amp;$A57+6))</f>
        <v/>
      </c>
      <c r="L57" s="79">
        <f>IFERROR(E57/J57,"")</f>
        <v/>
      </c>
      <c r="M57" s="79">
        <f>IFERROR(H57/E57*1000,"")</f>
        <v/>
      </c>
      <c r="N57" s="87" t="n"/>
    </row>
    <row r="58">
      <c r="A58" s="85">
        <f>A57+7</f>
        <v/>
      </c>
      <c r="B58" s="38" t="n"/>
      <c r="C58" s="86">
        <f>IF(OR(B58="",B57=""),"",B58-B57)</f>
        <v/>
      </c>
      <c r="D58" s="59">
        <f>IF(OR(B58="",B57=""),"",IFERROR((B58-B57)/B57,""))</f>
        <v/>
      </c>
      <c r="E58" s="38" t="n"/>
      <c r="F58" s="38" t="n"/>
      <c r="G58" s="38" t="n"/>
      <c r="H58" s="38" t="n"/>
      <c r="I58" s="38" t="n"/>
      <c r="J58" s="50">
        <f>IF($A58&gt;TODAY(),"",SUMIFS('Daily Log'!$C$4:$C$369,'Daily Log'!$A$4:$A$369,"&gt;="&amp;$A58,'Daily Log'!$A$4:$A$369,"&lt;="&amp;$A58+6))</f>
        <v/>
      </c>
      <c r="K58" s="50">
        <f>IF($A58&gt;TODAY(),"",SUMIFS('Daily Log'!$D$4:$D$369,'Daily Log'!$A$4:$A$369,"&gt;="&amp;$A58,'Daily Log'!$A$4:$A$369,"&lt;="&amp;$A58+6))</f>
        <v/>
      </c>
      <c r="L58" s="79">
        <f>IFERROR(E58/J58,"")</f>
        <v/>
      </c>
      <c r="M58" s="79">
        <f>IFERROR(H58/E58*1000,"")</f>
        <v/>
      </c>
      <c r="N58" s="87" t="n"/>
    </row>
    <row r="59">
      <c r="A59" s="85">
        <f>A58+7</f>
        <v/>
      </c>
      <c r="B59" s="38" t="n"/>
      <c r="C59" s="86">
        <f>IF(OR(B59="",B58=""),"",B59-B58)</f>
        <v/>
      </c>
      <c r="D59" s="59">
        <f>IF(OR(B59="",B58=""),"",IFERROR((B59-B58)/B58,""))</f>
        <v/>
      </c>
      <c r="E59" s="38" t="n"/>
      <c r="F59" s="38" t="n"/>
      <c r="G59" s="38" t="n"/>
      <c r="H59" s="38" t="n"/>
      <c r="I59" s="38" t="n"/>
      <c r="J59" s="50">
        <f>IF($A59&gt;TODAY(),"",SUMIFS('Daily Log'!$C$4:$C$369,'Daily Log'!$A$4:$A$369,"&gt;="&amp;$A59,'Daily Log'!$A$4:$A$369,"&lt;="&amp;$A59+6))</f>
        <v/>
      </c>
      <c r="K59" s="50">
        <f>IF($A59&gt;TODAY(),"",SUMIFS('Daily Log'!$D$4:$D$369,'Daily Log'!$A$4:$A$369,"&gt;="&amp;$A59,'Daily Log'!$A$4:$A$369,"&lt;="&amp;$A59+6))</f>
        <v/>
      </c>
      <c r="L59" s="79">
        <f>IFERROR(E59/J59,"")</f>
        <v/>
      </c>
      <c r="M59" s="79">
        <f>IFERROR(H59/E59*1000,"")</f>
        <v/>
      </c>
      <c r="N59" s="87" t="n"/>
    </row>
    <row r="60">
      <c r="A60" s="85">
        <f>A59+7</f>
        <v/>
      </c>
      <c r="B60" s="38" t="n"/>
      <c r="C60" s="86">
        <f>IF(OR(B60="",B59=""),"",B60-B59)</f>
        <v/>
      </c>
      <c r="D60" s="59">
        <f>IF(OR(B60="",B59=""),"",IFERROR((B60-B59)/B59,""))</f>
        <v/>
      </c>
      <c r="E60" s="38" t="n"/>
      <c r="F60" s="38" t="n"/>
      <c r="G60" s="38" t="n"/>
      <c r="H60" s="38" t="n"/>
      <c r="I60" s="38" t="n"/>
      <c r="J60" s="50">
        <f>IF($A60&gt;TODAY(),"",SUMIFS('Daily Log'!$C$4:$C$369,'Daily Log'!$A$4:$A$369,"&gt;="&amp;$A60,'Daily Log'!$A$4:$A$369,"&lt;="&amp;$A60+6))</f>
        <v/>
      </c>
      <c r="K60" s="50">
        <f>IF($A60&gt;TODAY(),"",SUMIFS('Daily Log'!$D$4:$D$369,'Daily Log'!$A$4:$A$369,"&gt;="&amp;$A60,'Daily Log'!$A$4:$A$369,"&lt;="&amp;$A60+6))</f>
        <v/>
      </c>
      <c r="L60" s="79">
        <f>IFERROR(E60/J60,"")</f>
        <v/>
      </c>
      <c r="M60" s="79">
        <f>IFERROR(H60/E60*1000,"")</f>
        <v/>
      </c>
      <c r="N60" s="87" t="n"/>
    </row>
    <row r="61">
      <c r="A61" s="85">
        <f>A60+7</f>
        <v/>
      </c>
      <c r="B61" s="38" t="n"/>
      <c r="C61" s="86">
        <f>IF(OR(B61="",B60=""),"",B61-B60)</f>
        <v/>
      </c>
      <c r="D61" s="59">
        <f>IF(OR(B61="",B60=""),"",IFERROR((B61-B60)/B60,""))</f>
        <v/>
      </c>
      <c r="E61" s="38" t="n"/>
      <c r="F61" s="38" t="n"/>
      <c r="G61" s="38" t="n"/>
      <c r="H61" s="38" t="n"/>
      <c r="I61" s="38" t="n"/>
      <c r="J61" s="50">
        <f>IF($A61&gt;TODAY(),"",SUMIFS('Daily Log'!$C$4:$C$369,'Daily Log'!$A$4:$A$369,"&gt;="&amp;$A61,'Daily Log'!$A$4:$A$369,"&lt;="&amp;$A61+6))</f>
        <v/>
      </c>
      <c r="K61" s="50">
        <f>IF($A61&gt;TODAY(),"",SUMIFS('Daily Log'!$D$4:$D$369,'Daily Log'!$A$4:$A$369,"&gt;="&amp;$A61,'Daily Log'!$A$4:$A$369,"&lt;="&amp;$A61+6))</f>
        <v/>
      </c>
      <c r="L61" s="79">
        <f>IFERROR(E61/J61,"")</f>
        <v/>
      </c>
      <c r="M61" s="79">
        <f>IFERROR(H61/E61*1000,"")</f>
        <v/>
      </c>
      <c r="N61" s="87" t="n"/>
    </row>
    <row r="62">
      <c r="A62" s="85">
        <f>A61+7</f>
        <v/>
      </c>
      <c r="B62" s="38" t="n"/>
      <c r="C62" s="86">
        <f>IF(OR(B62="",B61=""),"",B62-B61)</f>
        <v/>
      </c>
      <c r="D62" s="59">
        <f>IF(OR(B62="",B61=""),"",IFERROR((B62-B61)/B61,""))</f>
        <v/>
      </c>
      <c r="E62" s="38" t="n"/>
      <c r="F62" s="38" t="n"/>
      <c r="G62" s="38" t="n"/>
      <c r="H62" s="38" t="n"/>
      <c r="I62" s="38" t="n"/>
      <c r="J62" s="50">
        <f>IF($A62&gt;TODAY(),"",SUMIFS('Daily Log'!$C$4:$C$369,'Daily Log'!$A$4:$A$369,"&gt;="&amp;$A62,'Daily Log'!$A$4:$A$369,"&lt;="&amp;$A62+6))</f>
        <v/>
      </c>
      <c r="K62" s="50">
        <f>IF($A62&gt;TODAY(),"",SUMIFS('Daily Log'!$D$4:$D$369,'Daily Log'!$A$4:$A$369,"&gt;="&amp;$A62,'Daily Log'!$A$4:$A$369,"&lt;="&amp;$A62+6))</f>
        <v/>
      </c>
      <c r="L62" s="79">
        <f>IFERROR(E62/J62,"")</f>
        <v/>
      </c>
      <c r="M62" s="79">
        <f>IFERROR(H62/E62*1000,"")</f>
        <v/>
      </c>
      <c r="N62" s="87" t="n"/>
    </row>
    <row r="63">
      <c r="A63" s="85">
        <f>A62+7</f>
        <v/>
      </c>
      <c r="B63" s="38" t="n"/>
      <c r="C63" s="86">
        <f>IF(OR(B63="",B62=""),"",B63-B62)</f>
        <v/>
      </c>
      <c r="D63" s="59">
        <f>IF(OR(B63="",B62=""),"",IFERROR((B63-B62)/B62,""))</f>
        <v/>
      </c>
      <c r="E63" s="38" t="n"/>
      <c r="F63" s="38" t="n"/>
      <c r="G63" s="38" t="n"/>
      <c r="H63" s="38" t="n"/>
      <c r="I63" s="38" t="n"/>
      <c r="J63" s="50">
        <f>IF($A63&gt;TODAY(),"",SUMIFS('Daily Log'!$C$4:$C$369,'Daily Log'!$A$4:$A$369,"&gt;="&amp;$A63,'Daily Log'!$A$4:$A$369,"&lt;="&amp;$A63+6))</f>
        <v/>
      </c>
      <c r="K63" s="50">
        <f>IF($A63&gt;TODAY(),"",SUMIFS('Daily Log'!$D$4:$D$369,'Daily Log'!$A$4:$A$369,"&gt;="&amp;$A63,'Daily Log'!$A$4:$A$369,"&lt;="&amp;$A63+6))</f>
        <v/>
      </c>
      <c r="L63" s="79">
        <f>IFERROR(E63/J63,"")</f>
        <v/>
      </c>
      <c r="M63" s="79">
        <f>IFERROR(H63/E63*1000,"")</f>
        <v/>
      </c>
      <c r="N63" s="87" t="n"/>
    </row>
    <row r="64">
      <c r="A64" s="85">
        <f>A63+7</f>
        <v/>
      </c>
      <c r="B64" s="38" t="n"/>
      <c r="C64" s="86">
        <f>IF(OR(B64="",B63=""),"",B64-B63)</f>
        <v/>
      </c>
      <c r="D64" s="59">
        <f>IF(OR(B64="",B63=""),"",IFERROR((B64-B63)/B63,""))</f>
        <v/>
      </c>
      <c r="E64" s="38" t="n"/>
      <c r="F64" s="38" t="n"/>
      <c r="G64" s="38" t="n"/>
      <c r="H64" s="38" t="n"/>
      <c r="I64" s="38" t="n"/>
      <c r="J64" s="50">
        <f>IF($A64&gt;TODAY(),"",SUMIFS('Daily Log'!$C$4:$C$369,'Daily Log'!$A$4:$A$369,"&gt;="&amp;$A64,'Daily Log'!$A$4:$A$369,"&lt;="&amp;$A64+6))</f>
        <v/>
      </c>
      <c r="K64" s="50">
        <f>IF($A64&gt;TODAY(),"",SUMIFS('Daily Log'!$D$4:$D$369,'Daily Log'!$A$4:$A$369,"&gt;="&amp;$A64,'Daily Log'!$A$4:$A$369,"&lt;="&amp;$A64+6))</f>
        <v/>
      </c>
      <c r="L64" s="79">
        <f>IFERROR(E64/J64,"")</f>
        <v/>
      </c>
      <c r="M64" s="79">
        <f>IFERROR(H64/E64*1000,"")</f>
        <v/>
      </c>
      <c r="N64" s="87" t="n"/>
    </row>
    <row r="65">
      <c r="A65" s="85">
        <f>A64+7</f>
        <v/>
      </c>
      <c r="B65" s="38" t="n"/>
      <c r="C65" s="86">
        <f>IF(OR(B65="",B64=""),"",B65-B64)</f>
        <v/>
      </c>
      <c r="D65" s="59">
        <f>IF(OR(B65="",B64=""),"",IFERROR((B65-B64)/B64,""))</f>
        <v/>
      </c>
      <c r="E65" s="38" t="n"/>
      <c r="F65" s="38" t="n"/>
      <c r="G65" s="38" t="n"/>
      <c r="H65" s="38" t="n"/>
      <c r="I65" s="38" t="n"/>
      <c r="J65" s="50">
        <f>IF($A65&gt;TODAY(),"",SUMIFS('Daily Log'!$C$4:$C$369,'Daily Log'!$A$4:$A$369,"&gt;="&amp;$A65,'Daily Log'!$A$4:$A$369,"&lt;="&amp;$A65+6))</f>
        <v/>
      </c>
      <c r="K65" s="50">
        <f>IF($A65&gt;TODAY(),"",SUMIFS('Daily Log'!$D$4:$D$369,'Daily Log'!$A$4:$A$369,"&gt;="&amp;$A65,'Daily Log'!$A$4:$A$369,"&lt;="&amp;$A65+6))</f>
        <v/>
      </c>
      <c r="L65" s="79">
        <f>IFERROR(E65/J65,"")</f>
        <v/>
      </c>
      <c r="M65" s="79">
        <f>IFERROR(H65/E65*1000,"")</f>
        <v/>
      </c>
      <c r="N65" s="87" t="n"/>
    </row>
    <row r="66">
      <c r="A66" s="85">
        <f>A65+7</f>
        <v/>
      </c>
      <c r="B66" s="38" t="n"/>
      <c r="C66" s="86">
        <f>IF(OR(B66="",B65=""),"",B66-B65)</f>
        <v/>
      </c>
      <c r="D66" s="59">
        <f>IF(OR(B66="",B65=""),"",IFERROR((B66-B65)/B65,""))</f>
        <v/>
      </c>
      <c r="E66" s="38" t="n"/>
      <c r="F66" s="38" t="n"/>
      <c r="G66" s="38" t="n"/>
      <c r="H66" s="38" t="n"/>
      <c r="I66" s="38" t="n"/>
      <c r="J66" s="50">
        <f>IF($A66&gt;TODAY(),"",SUMIFS('Daily Log'!$C$4:$C$369,'Daily Log'!$A$4:$A$369,"&gt;="&amp;$A66,'Daily Log'!$A$4:$A$369,"&lt;="&amp;$A66+6))</f>
        <v/>
      </c>
      <c r="K66" s="50">
        <f>IF($A66&gt;TODAY(),"",SUMIFS('Daily Log'!$D$4:$D$369,'Daily Log'!$A$4:$A$369,"&gt;="&amp;$A66,'Daily Log'!$A$4:$A$369,"&lt;="&amp;$A66+6))</f>
        <v/>
      </c>
      <c r="L66" s="79">
        <f>IFERROR(E66/J66,"")</f>
        <v/>
      </c>
      <c r="M66" s="79">
        <f>IFERROR(H66/E66*1000,"")</f>
        <v/>
      </c>
      <c r="N66" s="87" t="n"/>
    </row>
    <row r="67">
      <c r="A67" s="85">
        <f>A66+7</f>
        <v/>
      </c>
      <c r="B67" s="38" t="n"/>
      <c r="C67" s="86">
        <f>IF(OR(B67="",B66=""),"",B67-B66)</f>
        <v/>
      </c>
      <c r="D67" s="59">
        <f>IF(OR(B67="",B66=""),"",IFERROR((B67-B66)/B66,""))</f>
        <v/>
      </c>
      <c r="E67" s="38" t="n"/>
      <c r="F67" s="38" t="n"/>
      <c r="G67" s="38" t="n"/>
      <c r="H67" s="38" t="n"/>
      <c r="I67" s="38" t="n"/>
      <c r="J67" s="50">
        <f>IF($A67&gt;TODAY(),"",SUMIFS('Daily Log'!$C$4:$C$369,'Daily Log'!$A$4:$A$369,"&gt;="&amp;$A67,'Daily Log'!$A$4:$A$369,"&lt;="&amp;$A67+6))</f>
        <v/>
      </c>
      <c r="K67" s="50">
        <f>IF($A67&gt;TODAY(),"",SUMIFS('Daily Log'!$D$4:$D$369,'Daily Log'!$A$4:$A$369,"&gt;="&amp;$A67,'Daily Log'!$A$4:$A$369,"&lt;="&amp;$A67+6))</f>
        <v/>
      </c>
      <c r="L67" s="79">
        <f>IFERROR(E67/J67,"")</f>
        <v/>
      </c>
      <c r="M67" s="79">
        <f>IFERROR(H67/E67*1000,"")</f>
        <v/>
      </c>
      <c r="N67" s="87" t="n"/>
    </row>
    <row r="68">
      <c r="A68" s="85">
        <f>A67+7</f>
        <v/>
      </c>
      <c r="B68" s="38" t="n"/>
      <c r="C68" s="86">
        <f>IF(OR(B68="",B67=""),"",B68-B67)</f>
        <v/>
      </c>
      <c r="D68" s="59">
        <f>IF(OR(B68="",B67=""),"",IFERROR((B68-B67)/B67,""))</f>
        <v/>
      </c>
      <c r="E68" s="38" t="n"/>
      <c r="F68" s="38" t="n"/>
      <c r="G68" s="38" t="n"/>
      <c r="H68" s="38" t="n"/>
      <c r="I68" s="38" t="n"/>
      <c r="J68" s="50">
        <f>IF($A68&gt;TODAY(),"",SUMIFS('Daily Log'!$C$4:$C$369,'Daily Log'!$A$4:$A$369,"&gt;="&amp;$A68,'Daily Log'!$A$4:$A$369,"&lt;="&amp;$A68+6))</f>
        <v/>
      </c>
      <c r="K68" s="50">
        <f>IF($A68&gt;TODAY(),"",SUMIFS('Daily Log'!$D$4:$D$369,'Daily Log'!$A$4:$A$369,"&gt;="&amp;$A68,'Daily Log'!$A$4:$A$369,"&lt;="&amp;$A68+6))</f>
        <v/>
      </c>
      <c r="L68" s="79">
        <f>IFERROR(E68/J68,"")</f>
        <v/>
      </c>
      <c r="M68" s="79">
        <f>IFERROR(H68/E68*1000,"")</f>
        <v/>
      </c>
      <c r="N68" s="87" t="n"/>
    </row>
    <row r="69">
      <c r="A69" s="85">
        <f>A68+7</f>
        <v/>
      </c>
      <c r="B69" s="38" t="n"/>
      <c r="C69" s="86">
        <f>IF(OR(B69="",B68=""),"",B69-B68)</f>
        <v/>
      </c>
      <c r="D69" s="59">
        <f>IF(OR(B69="",B68=""),"",IFERROR((B69-B68)/B68,""))</f>
        <v/>
      </c>
      <c r="E69" s="38" t="n"/>
      <c r="F69" s="38" t="n"/>
      <c r="G69" s="38" t="n"/>
      <c r="H69" s="38" t="n"/>
      <c r="I69" s="38" t="n"/>
      <c r="J69" s="50">
        <f>IF($A69&gt;TODAY(),"",SUMIFS('Daily Log'!$C$4:$C$369,'Daily Log'!$A$4:$A$369,"&gt;="&amp;$A69,'Daily Log'!$A$4:$A$369,"&lt;="&amp;$A69+6))</f>
        <v/>
      </c>
      <c r="K69" s="50">
        <f>IF($A69&gt;TODAY(),"",SUMIFS('Daily Log'!$D$4:$D$369,'Daily Log'!$A$4:$A$369,"&gt;="&amp;$A69,'Daily Log'!$A$4:$A$369,"&lt;="&amp;$A69+6))</f>
        <v/>
      </c>
      <c r="L69" s="79">
        <f>IFERROR(E69/J69,"")</f>
        <v/>
      </c>
      <c r="M69" s="79">
        <f>IFERROR(H69/E69*1000,"")</f>
        <v/>
      </c>
      <c r="N69" s="87" t="n"/>
    </row>
    <row r="70">
      <c r="A70" s="85">
        <f>A69+7</f>
        <v/>
      </c>
      <c r="B70" s="38" t="n"/>
      <c r="C70" s="86">
        <f>IF(OR(B70="",B69=""),"",B70-B69)</f>
        <v/>
      </c>
      <c r="D70" s="59">
        <f>IF(OR(B70="",B69=""),"",IFERROR((B70-B69)/B69,""))</f>
        <v/>
      </c>
      <c r="E70" s="38" t="n"/>
      <c r="F70" s="38" t="n"/>
      <c r="G70" s="38" t="n"/>
      <c r="H70" s="38" t="n"/>
      <c r="I70" s="38" t="n"/>
      <c r="J70" s="50">
        <f>IF($A70&gt;TODAY(),"",SUMIFS('Daily Log'!$C$4:$C$369,'Daily Log'!$A$4:$A$369,"&gt;="&amp;$A70,'Daily Log'!$A$4:$A$369,"&lt;="&amp;$A70+6))</f>
        <v/>
      </c>
      <c r="K70" s="50">
        <f>IF($A70&gt;TODAY(),"",SUMIFS('Daily Log'!$D$4:$D$369,'Daily Log'!$A$4:$A$369,"&gt;="&amp;$A70,'Daily Log'!$A$4:$A$369,"&lt;="&amp;$A70+6))</f>
        <v/>
      </c>
      <c r="L70" s="79">
        <f>IFERROR(E70/J70,"")</f>
        <v/>
      </c>
      <c r="M70" s="79">
        <f>IFERROR(H70/E70*1000,"")</f>
        <v/>
      </c>
      <c r="N70" s="87" t="n"/>
    </row>
    <row r="71">
      <c r="A71" s="85">
        <f>A70+7</f>
        <v/>
      </c>
      <c r="B71" s="38" t="n"/>
      <c r="C71" s="86">
        <f>IF(OR(B71="",B70=""),"",B71-B70)</f>
        <v/>
      </c>
      <c r="D71" s="59">
        <f>IF(OR(B71="",B70=""),"",IFERROR((B71-B70)/B70,""))</f>
        <v/>
      </c>
      <c r="E71" s="38" t="n"/>
      <c r="F71" s="38" t="n"/>
      <c r="G71" s="38" t="n"/>
      <c r="H71" s="38" t="n"/>
      <c r="I71" s="38" t="n"/>
      <c r="J71" s="50">
        <f>IF($A71&gt;TODAY(),"",SUMIFS('Daily Log'!$C$4:$C$369,'Daily Log'!$A$4:$A$369,"&gt;="&amp;$A71,'Daily Log'!$A$4:$A$369,"&lt;="&amp;$A71+6))</f>
        <v/>
      </c>
      <c r="K71" s="50">
        <f>IF($A71&gt;TODAY(),"",SUMIFS('Daily Log'!$D$4:$D$369,'Daily Log'!$A$4:$A$369,"&gt;="&amp;$A71,'Daily Log'!$A$4:$A$369,"&lt;="&amp;$A71+6))</f>
        <v/>
      </c>
      <c r="L71" s="79">
        <f>IFERROR(E71/J71,"")</f>
        <v/>
      </c>
      <c r="M71" s="79">
        <f>IFERROR(H71/E71*1000,"")</f>
        <v/>
      </c>
      <c r="N71" s="87" t="n"/>
    </row>
    <row r="72">
      <c r="A72" s="85">
        <f>A71+7</f>
        <v/>
      </c>
      <c r="B72" s="38" t="n"/>
      <c r="C72" s="86">
        <f>IF(OR(B72="",B71=""),"",B72-B71)</f>
        <v/>
      </c>
      <c r="D72" s="59">
        <f>IF(OR(B72="",B71=""),"",IFERROR((B72-B71)/B71,""))</f>
        <v/>
      </c>
      <c r="E72" s="38" t="n"/>
      <c r="F72" s="38" t="n"/>
      <c r="G72" s="38" t="n"/>
      <c r="H72" s="38" t="n"/>
      <c r="I72" s="38" t="n"/>
      <c r="J72" s="50">
        <f>IF($A72&gt;TODAY(),"",SUMIFS('Daily Log'!$C$4:$C$369,'Daily Log'!$A$4:$A$369,"&gt;="&amp;$A72,'Daily Log'!$A$4:$A$369,"&lt;="&amp;$A72+6))</f>
        <v/>
      </c>
      <c r="K72" s="50">
        <f>IF($A72&gt;TODAY(),"",SUMIFS('Daily Log'!$D$4:$D$369,'Daily Log'!$A$4:$A$369,"&gt;="&amp;$A72,'Daily Log'!$A$4:$A$369,"&lt;="&amp;$A72+6))</f>
        <v/>
      </c>
      <c r="L72" s="79">
        <f>IFERROR(E72/J72,"")</f>
        <v/>
      </c>
      <c r="M72" s="79">
        <f>IFERROR(H72/E72*1000,"")</f>
        <v/>
      </c>
      <c r="N72" s="87" t="n"/>
    </row>
  </sheetData>
  <mergeCells count="9">
    <mergeCell ref="A18:N18"/>
    <mergeCell ref="A7:H7"/>
    <mergeCell ref="A4:N4"/>
    <mergeCell ref="A2:N2"/>
    <mergeCell ref="A10:E16"/>
    <mergeCell ref="G10:K16"/>
    <mergeCell ref="A5:H5"/>
    <mergeCell ref="A6:H6"/>
    <mergeCell ref="A1:N1"/>
  </mergeCells>
  <conditionalFormatting sqref="C20:D72">
    <cfRule type="expression" priority="1" dxfId="0">
      <formula>AND($C20&lt;&gt;"",$C20&gt;0)</formula>
    </cfRule>
    <cfRule type="expression" priority="2" dxfId="2">
      <formula>AND($C20&lt;&gt;"",$C20&lt;0)</formula>
    </cfRule>
  </conditionalFormatting>
  <dataValidations count="1">
    <dataValidation sqref="B20:B72 E20:E72 F20:F72 G20:G72 H20:H72 I20:I72" showDropDown="0" showInputMessage="0" showErrorMessage="1" allowBlank="1" errorTitle="Whole numbers only" error="Enter a whole number of 0 or more." type="whole" operator="greaterThanOrEqual">
      <formula1>0</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tabColor rgb="00C4552B"/>
    <outlinePr summaryBelow="1" summaryRight="1"/>
    <pageSetUpPr/>
  </sheetPr>
  <dimension ref="A1:D109"/>
  <sheetViews>
    <sheetView showGridLines="0" workbookViewId="0">
      <selection activeCell="A1" sqref="A1"/>
    </sheetView>
  </sheetViews>
  <sheetFormatPr baseColWidth="8" defaultRowHeight="15"/>
  <cols>
    <col width="24" customWidth="1" min="1" max="1"/>
    <col width="104" customWidth="1" min="2" max="2"/>
    <col width="14" customWidth="1" min="3" max="3"/>
    <col width="16" customWidth="1" min="4" max="4"/>
  </cols>
  <sheetData>
    <row r="1" ht="46" customHeight="1">
      <c r="A1" s="1" t="inlineStr">
        <is>
          <t>DEMO · CHEAT SHEET — what your numbers are telling you · SAMPLE DATA — REFERENCE ONLY</t>
        </is>
      </c>
    </row>
    <row r="2" ht="18" customHeight="1">
      <c r="A2" s="2" t="inlineStr">
        <is>
          <t>Every number in this sheet has one job: to tell you which single thing to fix next.</t>
        </is>
      </c>
    </row>
    <row r="4" ht="21" customHeight="1">
      <c r="A4" s="5" t="inlineStr">
        <is>
          <t>HOW TO READ YOUR NUMBERS</t>
        </is>
      </c>
    </row>
    <row r="5" ht="28" customHeight="1">
      <c r="B5" s="4" t="inlineStr">
        <is>
          <t>Your business is a chain. Content gets you seen. Stories build trust. Opener DMs start conversations. Follow-ups rescue the ones that stalled. Replies become pitches, pitches become booked calls, booked calls become clients.</t>
        </is>
      </c>
    </row>
    <row r="6" ht="28" customHeight="1">
      <c r="B6" s="4" t="inlineStr">
        <is>
          <t>Every link has a rate. When the money is down, one link broke — and the rates tell you exactly which one. That is the entire point of this sheet: stop guessing, fix one thing.</t>
        </is>
      </c>
    </row>
    <row r="7" ht="28" customHeight="1">
      <c r="B7" s="4" t="inlineStr">
        <is>
          <t>Rule of thumb: fix the earliest broken link first. Working on your close rate while your reply rate is broken just means closing a smaller number of people.</t>
        </is>
      </c>
    </row>
    <row r="9" ht="21" customHeight="1">
      <c r="A9" s="5" t="inlineStr">
        <is>
          <t>HEALTHY RANGES — edit these as you learn what's true for your clients</t>
        </is>
      </c>
    </row>
    <row r="10" ht="32" customHeight="1">
      <c r="A10" s="6" t="inlineStr">
        <is>
          <t>Rate</t>
        </is>
      </c>
      <c r="B10" s="6" t="inlineStr">
        <is>
          <t>What it's measuring</t>
        </is>
      </c>
      <c r="C10" s="6" t="inlineStr">
        <is>
          <t>Healthy
floor</t>
        </is>
      </c>
      <c r="D10" s="6" t="inlineStr">
        <is>
          <t>Healthy
ceiling</t>
        </is>
      </c>
    </row>
    <row r="11" ht="20" customHeight="1">
      <c r="A11" s="48" t="inlineStr">
        <is>
          <t>Reply rate</t>
        </is>
      </c>
      <c r="B11" s="88" t="inlineStr">
        <is>
          <t>Replies ÷ DMs sent — Whether your opener is worth answering. Nothing downstream can beat this number.</t>
        </is>
      </c>
      <c r="C11" s="89" t="n">
        <v>0.1</v>
      </c>
      <c r="D11" s="89" t="n">
        <v>0.25</v>
      </c>
    </row>
    <row r="12" ht="20" customHeight="1">
      <c r="A12" s="48" t="inlineStr">
        <is>
          <t>Pitch rate</t>
        </is>
      </c>
      <c r="B12" s="88" t="inlineStr">
        <is>
          <t>Calls pitched ÷ replies — Whether you actually ask. This is the most common place the whole thing quietly dies.</t>
        </is>
      </c>
      <c r="C12" s="89" t="n">
        <v>0.3</v>
      </c>
      <c r="D12" s="89" t="n">
        <v>0.6</v>
      </c>
    </row>
    <row r="13" ht="20" customHeight="1">
      <c r="A13" s="48" t="inlineStr">
        <is>
          <t>Book rate</t>
        </is>
      </c>
      <c r="B13" s="88" t="inlineStr">
        <is>
          <t>Calls booked ÷ pitched — Whether the ask lands when you make it.</t>
        </is>
      </c>
      <c r="C13" s="89" t="n">
        <v>0.2</v>
      </c>
      <c r="D13" s="89" t="n">
        <v>0.4</v>
      </c>
    </row>
    <row r="14" ht="20" customHeight="1">
      <c r="A14" s="48" t="inlineStr">
        <is>
          <t>Show rate</t>
        </is>
      </c>
      <c r="B14" s="88" t="inlineStr">
        <is>
          <t>Calls showed ÷ booked — Whether the booking was real. This is a confirmation problem, almost never a booking problem.</t>
        </is>
      </c>
      <c r="C14" s="89" t="n">
        <v>0.6</v>
      </c>
      <c r="D14" s="89" t="n">
        <v>0.85</v>
      </c>
    </row>
    <row r="15" ht="20" customHeight="1">
      <c r="A15" s="48" t="inlineStr">
        <is>
          <t>Close rate</t>
        </is>
      </c>
      <c r="B15" s="88" t="inlineStr">
        <is>
          <t>Closes ÷ showed — The offer and the call itself — but only for the people who actually turned up.</t>
        </is>
      </c>
      <c r="C15" s="89" t="n">
        <v>0.2</v>
      </c>
      <c r="D15" s="89" t="n">
        <v>0.4</v>
      </c>
    </row>
    <row r="16" ht="32" customHeight="1">
      <c r="B16" s="90" t="inlineStr">
        <is>
          <t>These are The Called's working numbers, not gospel — they are cream cells because they are yours to change. The KPI Dashboard colours your rates against the FLOOR column: edit a floor here and the dashboard re-grades itself. Once you have enough client history, replace these with what you actually see.</t>
        </is>
      </c>
    </row>
    <row r="18" ht="21" customHeight="1">
      <c r="A18" s="5" t="inlineStr">
        <is>
          <t>THE FIVE RATES — where the money actually leaks</t>
        </is>
      </c>
    </row>
    <row r="19" ht="20" customHeight="1">
      <c r="A19" s="91" t="inlineStr">
        <is>
          <t>REPLY RATE — replies ÷ dms sent</t>
        </is>
      </c>
    </row>
    <row r="20" ht="17" customHeight="1">
      <c r="A20" s="92" t="inlineStr">
        <is>
          <t>Measures</t>
        </is>
      </c>
      <c r="B20" s="4" t="inlineStr">
        <is>
          <t>Whether your opener is worth answering. Nothing downstream can beat this number.</t>
        </is>
      </c>
    </row>
    <row r="21" ht="30" customHeight="1">
      <c r="A21" s="93" t="inlineStr">
        <is>
          <t>If it's low</t>
        </is>
      </c>
      <c r="B21" s="4" t="inlineStr">
        <is>
          <t>Your opener reads like a pitch, or you're messaging people who have never seen you. Cold list, or a first line about you instead of them.</t>
        </is>
      </c>
    </row>
    <row r="22" ht="43" customHeight="1">
      <c r="A22" s="92" t="inlineStr">
        <is>
          <t>Do this</t>
        </is>
      </c>
      <c r="B22" s="4" t="inlineStr">
        <is>
          <t>Rewrite the first line so it's about them — something specific from their profile or content. Warm the list first: watch stories and reply to posts for 2–3 days before the DM. Change ONE thing and give it 50 DMs before you judge it.</t>
        </is>
      </c>
    </row>
    <row r="23" ht="30" customHeight="1">
      <c r="A23" s="94" t="inlineStr">
        <is>
          <t>If it's high</t>
        </is>
      </c>
      <c r="B23" s="4" t="inlineStr">
        <is>
          <t>Good — but check your pitch rate. A high reply rate with a low pitch rate means you're being liked, not hired. Pleasant conversations are not pipeline.</t>
        </is>
      </c>
    </row>
    <row r="25" ht="20" customHeight="1">
      <c r="A25" s="91" t="inlineStr">
        <is>
          <t>PITCH RATE — calls pitched ÷ replies</t>
        </is>
      </c>
    </row>
    <row r="26" ht="17" customHeight="1">
      <c r="A26" s="92" t="inlineStr">
        <is>
          <t>Measures</t>
        </is>
      </c>
      <c r="B26" s="4" t="inlineStr">
        <is>
          <t>Whether you actually ask. This is the most common place the whole thing quietly dies.</t>
        </is>
      </c>
    </row>
    <row r="27" ht="30" customHeight="1">
      <c r="A27" s="93" t="inlineStr">
        <is>
          <t>If it's low</t>
        </is>
      </c>
      <c r="B27" s="4" t="inlineStr">
        <is>
          <t>You're chatting. Either you're scared of the ask, or you don't have a clean line to get from conversation to call.</t>
        </is>
      </c>
    </row>
    <row r="28" ht="30" customHeight="1">
      <c r="A28" s="92" t="inlineStr">
        <is>
          <t>Do this</t>
        </is>
      </c>
      <c r="B28" s="4" t="inlineStr">
        <is>
          <t>Decide the ask before you open the conversation. Two exchanges, then transition. Write one transition line, save it, and use it every time until it feels boring.</t>
        </is>
      </c>
    </row>
    <row r="29" ht="30" customHeight="1">
      <c r="A29" s="94" t="inlineStr">
        <is>
          <t>If it's high</t>
        </is>
      </c>
      <c r="B29" s="4" t="inlineStr">
        <is>
          <t>Check your book rate. If you're pitching almost everyone and few are booking, you're asking before you've earned it.</t>
        </is>
      </c>
    </row>
    <row r="31" ht="20" customHeight="1">
      <c r="A31" s="91" t="inlineStr">
        <is>
          <t>BOOK RATE — calls booked ÷ pitched</t>
        </is>
      </c>
    </row>
    <row r="32" ht="17" customHeight="1">
      <c r="A32" s="92" t="inlineStr">
        <is>
          <t>Measures</t>
        </is>
      </c>
      <c r="B32" s="4" t="inlineStr">
        <is>
          <t>Whether the ask lands when you make it.</t>
        </is>
      </c>
    </row>
    <row r="33" ht="30" customHeight="1">
      <c r="A33" s="93" t="inlineStr">
        <is>
          <t>If it's low</t>
        </is>
      </c>
      <c r="B33" s="4" t="inlineStr">
        <is>
          <t>Three usual causes: asking too early, an unclear offer, or pitching people who were never going to buy.</t>
        </is>
      </c>
    </row>
    <row r="34" ht="30" customHeight="1">
      <c r="A34" s="92" t="inlineStr">
        <is>
          <t>Do this</t>
        </is>
      </c>
      <c r="B34" s="4" t="inlineStr">
        <is>
          <t>Qualify before you ask — do they actually have the problem you solve, and can they pay? Make the call sound like a specific outcome, not “a quick chat”. Offer two times, not an open calendar.</t>
        </is>
      </c>
    </row>
    <row r="35" ht="17" customHeight="1">
      <c r="A35" s="94" t="inlineStr">
        <is>
          <t>If it's high</t>
        </is>
      </c>
      <c r="B35" s="4" t="inlineStr">
        <is>
          <t>Your ask works. The bottleneck is upstream — send more DMs.</t>
        </is>
      </c>
    </row>
    <row r="37" ht="20" customHeight="1">
      <c r="A37" s="91" t="inlineStr">
        <is>
          <t>SHOW RATE — calls showed ÷ booked</t>
        </is>
      </c>
    </row>
    <row r="38" ht="17" customHeight="1">
      <c r="A38" s="92" t="inlineStr">
        <is>
          <t>Measures</t>
        </is>
      </c>
      <c r="B38" s="4" t="inlineStr">
        <is>
          <t>Whether the booking was real. This is a confirmation problem, almost never a booking problem.</t>
        </is>
      </c>
    </row>
    <row r="39" ht="30" customHeight="1">
      <c r="A39" s="93" t="inlineStr">
        <is>
          <t>If it's low</t>
        </is>
      </c>
      <c r="B39" s="4" t="inlineStr">
        <is>
          <t>Most no-shows booked in a moment of interest and then forgot. The gap between booking and call is where it died.</t>
        </is>
      </c>
    </row>
    <row r="40" ht="43" customHeight="1">
      <c r="A40" s="92" t="inlineStr">
        <is>
          <t>Do this</t>
        </is>
      </c>
      <c r="B40" s="4" t="inlineStr">
        <is>
          <t>Book inside 48 hours — the further out, the colder. Confirm within an hour of booking and ask them to reply. Remind 24 hours before and again the morning of. A confirmation they don't reply to isn't a confirmation.</t>
        </is>
      </c>
    </row>
    <row r="41" ht="43" customHeight="1">
      <c r="A41" s="94" t="inlineStr">
        <is>
          <t>If it's high</t>
        </is>
      </c>
      <c r="B41" s="4" t="inlineStr">
        <is>
          <t>Your bookings are real. Push volume upstream. Over a single week this can read above 100% — a call booked on Friday gets shown on Monday, so inside a 7-day window the shows can outnumber the bookings. It is not a broken number. Judge show rate on the month or all-time column, never on one week.</t>
        </is>
      </c>
    </row>
    <row r="43" ht="20" customHeight="1">
      <c r="A43" s="91" t="inlineStr">
        <is>
          <t>CLOSE RATE — closes ÷ showed</t>
        </is>
      </c>
    </row>
    <row r="44" ht="17" customHeight="1">
      <c r="A44" s="92" t="inlineStr">
        <is>
          <t>Measures</t>
        </is>
      </c>
      <c r="B44" s="4" t="inlineStr">
        <is>
          <t>The offer and the call itself — but only for the people who actually turned up.</t>
        </is>
      </c>
    </row>
    <row r="45" ht="43" customHeight="1">
      <c r="A45" s="93" t="inlineStr">
        <is>
          <t>If it's low</t>
        </is>
      </c>
      <c r="B45" s="4" t="inlineStr">
        <is>
          <t>Check book rate first. High book rate plus low close rate is a qualification problem, not a closing problem — you're booking the wrong people, and no call script fixes that. If qualification is fine, it's the call structure or the price framing.</t>
        </is>
      </c>
    </row>
    <row r="46" ht="30" customHeight="1">
      <c r="A46" s="92" t="inlineStr">
        <is>
          <t>Do this</t>
        </is>
      </c>
      <c r="B46" s="4" t="inlineStr">
        <is>
          <t>Fix who's showing up before you fix the call. Then: diagnose longer before you present, and get the money objection on the table early rather than at the end.</t>
        </is>
      </c>
    </row>
    <row r="47" ht="30" customHeight="1">
      <c r="A47" s="94" t="inlineStr">
        <is>
          <t>If it's high</t>
        </is>
      </c>
      <c r="B47" s="4" t="inlineStr">
        <is>
          <t>Your offer works and the right people are showing. Every extra DM is now worth real money — look at Cash per 100 DMs and act on it.</t>
        </is>
      </c>
    </row>
    <row r="49" ht="21" customHeight="1">
      <c r="A49" s="5" t="inlineStr">
        <is>
          <t>THE VOLUME NUMBERS — the inputs you control</t>
        </is>
      </c>
    </row>
    <row r="50" ht="20" customHeight="1">
      <c r="A50" s="91" t="inlineStr">
        <is>
          <t>REELS / POSTS</t>
        </is>
      </c>
    </row>
    <row r="51" ht="17" customHeight="1">
      <c r="A51" s="92" t="inlineStr">
        <is>
          <t>What it does</t>
        </is>
      </c>
      <c r="B51" s="4" t="inlineStr">
        <is>
          <t>Gets you in front of people who've never heard of you, and gives your DMs a reason to be answered.</t>
        </is>
      </c>
    </row>
    <row r="52" ht="17" customHeight="1">
      <c r="A52" s="93" t="inlineStr">
        <is>
          <t>If it's low</t>
        </is>
      </c>
      <c r="B52" s="4" t="inlineStr">
        <is>
          <t>Your DM volume has to do all the work, and your reply rate usually drops a week or two later.</t>
        </is>
      </c>
    </row>
    <row r="53" ht="17" customHeight="1">
      <c r="A53" s="92" t="inlineStr">
        <is>
          <t>Do this</t>
        </is>
      </c>
      <c r="B53" s="4" t="inlineStr">
        <is>
          <t>Batch film. Content volume is a scheduling problem, not a creativity problem.</t>
        </is>
      </c>
    </row>
    <row r="55" ht="20" customHeight="1">
      <c r="A55" s="91" t="inlineStr">
        <is>
          <t>STORIES</t>
        </is>
      </c>
    </row>
    <row r="56" ht="17" customHeight="1">
      <c r="A56" s="92" t="inlineStr">
        <is>
          <t>What it does</t>
        </is>
      </c>
      <c r="B56" s="4" t="inlineStr">
        <is>
          <t>The trust layer. Stories are why someone recognises your name when your DM lands.</t>
        </is>
      </c>
    </row>
    <row r="57" ht="17" customHeight="1">
      <c r="A57" s="93" t="inlineStr">
        <is>
          <t>If it's low</t>
        </is>
      </c>
      <c r="B57" s="4" t="inlineStr">
        <is>
          <t>Watch your reply rate about a week later — this is usually where a reply-rate drop starts.</t>
        </is>
      </c>
    </row>
    <row r="58" ht="30" customHeight="1">
      <c r="A58" s="92" t="inlineStr">
        <is>
          <t>Do this</t>
        </is>
      </c>
      <c r="B58" s="4" t="inlineStr">
        <is>
          <t>Post through the day, not in one block. Behind the scenes, client wins, opinions. Low effort, high frequency.</t>
        </is>
      </c>
    </row>
    <row r="60" ht="20" customHeight="1">
      <c r="A60" s="91" t="inlineStr">
        <is>
          <t>OPENER DMS</t>
        </is>
      </c>
    </row>
    <row r="61" ht="30" customHeight="1">
      <c r="A61" s="92" t="inlineStr">
        <is>
          <t>What it does</t>
        </is>
      </c>
      <c r="B61" s="4" t="inlineStr">
        <is>
          <t>The single biggest lever on how many calls you book. Everything downstream is a percentage of this number.</t>
        </is>
      </c>
    </row>
    <row r="62" ht="17" customHeight="1">
      <c r="A62" s="93" t="inlineStr">
        <is>
          <t>If it's low</t>
        </is>
      </c>
      <c r="B62" s="4" t="inlineStr">
        <is>
          <t>Nothing else matters much. A great reply rate on 5 DMs a day is still no pipeline.</t>
        </is>
      </c>
    </row>
    <row r="63" ht="17" customHeight="1">
      <c r="A63" s="92" t="inlineStr">
        <is>
          <t>Do this</t>
        </is>
      </c>
      <c r="B63" s="4" t="inlineStr">
        <is>
          <t>Same time, every day, before anything else. Volume first, then optimise the opener.</t>
        </is>
      </c>
    </row>
    <row r="65" ht="20" customHeight="1">
      <c r="A65" s="91" t="inlineStr">
        <is>
          <t>FOLLOW-UP DMS</t>
        </is>
      </c>
    </row>
    <row r="66" ht="17" customHeight="1">
      <c r="A66" s="92" t="inlineStr">
        <is>
          <t>What it does</t>
        </is>
      </c>
      <c r="B66" s="4" t="inlineStr">
        <is>
          <t>Where most of the money is. Most replies come on the second or third touch, not the first.</t>
        </is>
      </c>
    </row>
    <row r="67" ht="30" customHeight="1">
      <c r="A67" s="93" t="inlineStr">
        <is>
          <t>If it's low</t>
        </is>
      </c>
      <c r="B67" s="4" t="inlineStr">
        <is>
          <t>You're paying full price for leads and then abandoning them. This is the cheapest fix in the whole sheet.</t>
        </is>
      </c>
    </row>
    <row r="68" ht="30" customHeight="1">
      <c r="A68" s="92" t="inlineStr">
        <is>
          <t>Do this</t>
        </is>
      </c>
      <c r="B68" s="4" t="inlineStr">
        <is>
          <t>Every unanswered opener gets a follow-up 48 hours later, and another 4 days after that. Add value, don't just bump.</t>
        </is>
      </c>
    </row>
    <row r="70" ht="20" customHeight="1">
      <c r="A70" s="91" t="inlineStr">
        <is>
          <t>REPLIES</t>
        </is>
      </c>
    </row>
    <row r="71" ht="30" customHeight="1">
      <c r="A71" s="92" t="inlineStr">
        <is>
          <t>What it does</t>
        </is>
      </c>
      <c r="B71" s="4" t="inlineStr">
        <is>
          <t>An outcome, not an input. You don't control replies — you control DMs sent and how good the opener is.</t>
        </is>
      </c>
    </row>
    <row r="72" ht="17" customHeight="1">
      <c r="A72" s="93" t="inlineStr">
        <is>
          <t>If it's low</t>
        </is>
      </c>
      <c r="B72" s="4" t="inlineStr">
        <is>
          <t>Don't try to fix replies. Fix the opener (reply rate) or the volume (opener DMs).</t>
        </is>
      </c>
    </row>
    <row r="74" ht="21" customHeight="1">
      <c r="A74" s="5" t="inlineStr">
        <is>
          <t>THE MONEY NUMBERS</t>
        </is>
      </c>
    </row>
    <row r="75" ht="20" customHeight="1">
      <c r="A75" s="91" t="inlineStr">
        <is>
          <t>CASH PER CALL BOOKED</t>
        </is>
      </c>
    </row>
    <row r="76" ht="17" customHeight="1">
      <c r="A76" s="92" t="inlineStr">
        <is>
          <t>What it is</t>
        </is>
      </c>
      <c r="B76" s="4" t="inlineStr">
        <is>
          <t>What one booked call is worth to you on average, including the ones that don't close.</t>
        </is>
      </c>
    </row>
    <row r="77" ht="30" customHeight="1">
      <c r="A77" s="92" t="inlineStr">
        <is>
          <t>Use it</t>
        </is>
      </c>
      <c r="B77" s="4" t="inlineStr">
        <is>
          <t>Multiply it by the calls you didn't book this week. That's what the missed follow-ups cost you — in dollars, not vibes.</t>
        </is>
      </c>
    </row>
    <row r="79" ht="20" customHeight="1">
      <c r="A79" s="91" t="inlineStr">
        <is>
          <t>CASH PER 100 DMS SENT</t>
        </is>
      </c>
    </row>
    <row r="80" ht="17" customHeight="1">
      <c r="A80" s="92" t="inlineStr">
        <is>
          <t>What it is</t>
        </is>
      </c>
      <c r="B80" s="4" t="inlineStr">
        <is>
          <t>The number that turns your daily standard into a decision instead of a chore.</t>
        </is>
      </c>
    </row>
    <row r="81" ht="30" customHeight="1">
      <c r="A81" s="92" t="inlineStr">
        <is>
          <t>Use it</t>
        </is>
      </c>
      <c r="B81" s="4" t="inlineStr">
        <is>
          <t>If 100 DMs is worth $1,200 to you, then 20 more DMs today is worth $240. That's the whole argument for hitting the standard.</t>
        </is>
      </c>
    </row>
    <row r="83" ht="20" customHeight="1">
      <c r="A83" s="91" t="inlineStr">
        <is>
          <t>CASH COLLECTED VS REVENUE GENERATED</t>
        </is>
      </c>
    </row>
    <row r="84" ht="17" customHeight="1">
      <c r="A84" s="92" t="inlineStr">
        <is>
          <t>What it is</t>
        </is>
      </c>
      <c r="B84" s="4" t="inlineStr">
        <is>
          <t>Revenue is what they agreed to pay. Cash is what actually landed in your account.</t>
        </is>
      </c>
    </row>
    <row r="85" ht="30" customHeight="1">
      <c r="A85" s="92" t="inlineStr">
        <is>
          <t>Use it</t>
        </is>
      </c>
      <c r="B85" s="4" t="inlineStr">
        <is>
          <t>A gap means payment plans or unpaid invoices. Neither is wrong — but manage your cash off the cash number, never the revenue number.</t>
        </is>
      </c>
    </row>
    <row r="87" ht="21" customHeight="1">
      <c r="A87" s="5" t="inlineStr">
        <is>
          <t>THE INSTAGRAM NUMBERS</t>
        </is>
      </c>
    </row>
    <row r="88" ht="20" customHeight="1">
      <c r="A88" s="91" t="inlineStr">
        <is>
          <t>FOLLOWERS</t>
        </is>
      </c>
    </row>
    <row r="89" ht="17" customHeight="1">
      <c r="A89" s="92" t="inlineStr">
        <is>
          <t>What it is</t>
        </is>
      </c>
      <c r="B89" s="4" t="inlineStr">
        <is>
          <t>The least useful number on the page. Followers only matter if reach and DMs move with them.</t>
        </is>
      </c>
    </row>
    <row r="90" ht="17" customHeight="1">
      <c r="A90" s="92" t="inlineStr">
        <is>
          <t>Watch</t>
        </is>
      </c>
      <c r="B90" s="4" t="inlineStr">
        <is>
          <t>Accounts reached, and new followers per 1,000 reached.</t>
        </is>
      </c>
    </row>
    <row r="92" ht="20" customHeight="1">
      <c r="A92" s="91" t="inlineStr">
        <is>
          <t>ACCOUNTS REACHED</t>
        </is>
      </c>
    </row>
    <row r="93" ht="17" customHeight="1">
      <c r="A93" s="92" t="inlineStr">
        <is>
          <t>What it is</t>
        </is>
      </c>
      <c r="B93" s="4" t="inlineStr">
        <is>
          <t>How many people actually saw you this week. This is the real top of your funnel.</t>
        </is>
      </c>
    </row>
    <row r="94" ht="30" customHeight="1">
      <c r="A94" s="92" t="inlineStr">
        <is>
          <t>Watch</t>
        </is>
      </c>
      <c r="B94" s="4" t="inlineStr">
        <is>
          <t>If it's falling, post more or post differently — reach follows volume and hooks far more than it follows follower count.</t>
        </is>
      </c>
    </row>
    <row r="96" ht="20" customHeight="1">
      <c r="A96" s="91" t="inlineStr">
        <is>
          <t>NEW FOLLOWERS PER 1,000 REACHED</t>
        </is>
      </c>
    </row>
    <row r="97" ht="17" customHeight="1">
      <c r="A97" s="92" t="inlineStr">
        <is>
          <t>What it is</t>
        </is>
      </c>
      <c r="B97" s="4" t="inlineStr">
        <is>
          <t>The quality number. How many people who saw you thought you were worth following.</t>
        </is>
      </c>
    </row>
    <row r="98" ht="30" customHeight="1">
      <c r="A98" s="92" t="inlineStr">
        <is>
          <t>Watch</t>
        </is>
      </c>
      <c r="B98" s="4" t="inlineStr">
        <is>
          <t>Falling while reach rises means you're being shown to the wrong people. A viral reel that brings the wrong audience makes your DMs worse, not better.</t>
        </is>
      </c>
    </row>
    <row r="100" ht="20" customHeight="1">
      <c r="A100" s="91" t="inlineStr">
        <is>
          <t>REACH PER POST</t>
        </is>
      </c>
    </row>
    <row r="101" ht="17" customHeight="1">
      <c r="A101" s="92" t="inlineStr">
        <is>
          <t>What it is</t>
        </is>
      </c>
      <c r="B101" s="4" t="inlineStr">
        <is>
          <t>How far the average post travels. Rising reach on flat post count is the good kind of growth.</t>
        </is>
      </c>
    </row>
    <row r="102" ht="30" customHeight="1">
      <c r="A102" s="92" t="inlineStr">
        <is>
          <t>Watch</t>
        </is>
      </c>
      <c r="B102" s="4" t="inlineStr">
        <is>
          <t>Compare it to reach — if reach is only up because you posted more, reach per post tells you the content itself didn't improve.</t>
        </is>
      </c>
    </row>
    <row r="104" ht="21" customHeight="1">
      <c r="A104" s="5" t="inlineStr">
        <is>
          <t>FIVE TRAPS</t>
        </is>
      </c>
    </row>
    <row r="105" ht="18" customHeight="1">
      <c r="A105" s="95" t="inlineStr">
        <is>
          <t>1.</t>
        </is>
      </c>
      <c r="B105" s="4" t="inlineStr">
        <is>
          <t>One week is not a trend. Three weeks minimum before you change strategy off a number.</t>
        </is>
      </c>
    </row>
    <row r="106" ht="18" customHeight="1">
      <c r="A106" s="95" t="inlineStr">
        <is>
          <t>2.</t>
        </is>
      </c>
      <c r="B106" s="4" t="inlineStr">
        <is>
          <t>A low close rate with a high book rate is a qualification problem, not a closing problem.</t>
        </is>
      </c>
    </row>
    <row r="107" ht="31" customHeight="1">
      <c r="A107" s="95" t="inlineStr">
        <is>
          <t>3.</t>
        </is>
      </c>
      <c r="B107" s="4" t="inlineStr">
        <is>
          <t>Cash lags the work by two to four weeks. Don't panic in the middle of the lag — look at the activity numbers instead, they move first.</t>
        </is>
      </c>
    </row>
    <row r="108" ht="31" customHeight="1">
      <c r="A108" s="95" t="inlineStr">
        <is>
          <t>4.</t>
        </is>
      </c>
      <c r="B108" s="4" t="inlineStr">
        <is>
          <t>Blank is not zero. A blank day tells the sheet you didn't track; a zero tells it you didn't work. Only one of those is honest.</t>
        </is>
      </c>
    </row>
    <row r="109" ht="31" customHeight="1">
      <c r="A109" s="95" t="inlineStr">
        <is>
          <t>5.</t>
        </is>
      </c>
      <c r="B109" s="4" t="inlineStr">
        <is>
          <t>Don't fix two things at once. You'll never know which one worked, and you'll keep doing both forever.</t>
        </is>
      </c>
    </row>
  </sheetData>
  <mergeCells count="26">
    <mergeCell ref="A92:B92"/>
    <mergeCell ref="A60:B60"/>
    <mergeCell ref="A4:D4"/>
    <mergeCell ref="A88:B88"/>
    <mergeCell ref="A70:B70"/>
    <mergeCell ref="A79:B79"/>
    <mergeCell ref="A9:D9"/>
    <mergeCell ref="A25:B25"/>
    <mergeCell ref="A65:B65"/>
    <mergeCell ref="A37:B37"/>
    <mergeCell ref="A75:B75"/>
    <mergeCell ref="A49:D49"/>
    <mergeCell ref="A55:B55"/>
    <mergeCell ref="A50:B50"/>
    <mergeCell ref="A1:D1"/>
    <mergeCell ref="A87:D87"/>
    <mergeCell ref="A100:B100"/>
    <mergeCell ref="A18:D18"/>
    <mergeCell ref="A96:B96"/>
    <mergeCell ref="A74:D74"/>
    <mergeCell ref="A43:B43"/>
    <mergeCell ref="A19:B19"/>
    <mergeCell ref="A104:D104"/>
    <mergeCell ref="A2:D2"/>
    <mergeCell ref="A31:B31"/>
    <mergeCell ref="A83:B83"/>
  </mergeCells>
  <pageMargins left="0.75" right="0.75" top="1" bottom="1" header="0.5" footer="0.5"/>
</worksheet>
</file>

<file path=xl/worksheets/sheet8.xml><?xml version="1.0" encoding="utf-8"?>
<worksheet xmlns="http://schemas.openxmlformats.org/spreadsheetml/2006/main">
  <sheetPr>
    <tabColor rgb="00C4552B"/>
    <outlinePr summaryBelow="1" summaryRight="1"/>
    <pageSetUpPr/>
  </sheetPr>
  <dimension ref="A1:T16"/>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8" customWidth="1" min="3" max="3"/>
    <col width="8" customWidth="1" min="4" max="4"/>
    <col width="8" customWidth="1" min="5" max="5"/>
    <col width="9" customWidth="1" min="6" max="6"/>
    <col width="9" customWidth="1" min="7" max="7"/>
    <col width="9" customWidth="1" min="8" max="8"/>
    <col width="9" customWidth="1" min="9" max="9"/>
    <col width="9" customWidth="1" min="10" max="10"/>
    <col width="9" customWidth="1" min="11" max="11"/>
    <col width="9" customWidth="1" min="12" max="12"/>
    <col width="8" customWidth="1" min="13" max="13"/>
    <col width="11" customWidth="1" min="14" max="14"/>
    <col width="11" customWidth="1" min="15" max="15"/>
    <col width="8" customWidth="1" min="16" max="16"/>
    <col width="8" customWidth="1" min="17" max="17"/>
    <col width="8" customWidth="1" min="18" max="18"/>
    <col width="8" customWidth="1" min="19" max="19"/>
    <col width="8" customWidth="1" min="20" max="20"/>
  </cols>
  <sheetData>
    <row r="1" ht="46" customHeight="1">
      <c r="A1" s="1" t="inlineStr">
        <is>
          <t>DEMO · WEEKLY ROLLUP — your last 13 weeks · SAMPLE DATA — REFERENCE ONLY</t>
        </is>
      </c>
    </row>
    <row r="2" ht="18" customHeight="1">
      <c r="A2" s="2" t="inlineStr">
        <is>
          <t>All automatic. The dashboard charts read from here. Nothing to fill in.</t>
        </is>
      </c>
    </row>
    <row r="3" ht="32" customHeight="1">
      <c r="A3" s="6" t="inlineStr">
        <is>
          <t>Week Starting</t>
        </is>
      </c>
      <c r="B3" s="6" t="inlineStr">
        <is>
          <t>Week</t>
        </is>
      </c>
      <c r="C3" s="6" t="inlineStr">
        <is>
          <t>Days
Logged</t>
        </is>
      </c>
      <c r="D3" s="6" t="inlineStr">
        <is>
          <t>Reels /
Posts</t>
        </is>
      </c>
      <c r="E3" s="6" t="inlineStr">
        <is>
          <t>Stories</t>
        </is>
      </c>
      <c r="F3" s="6" t="inlineStr">
        <is>
          <t>Opener
DMs</t>
        </is>
      </c>
      <c r="G3" s="6" t="inlineStr">
        <is>
          <t>Follow-Up
DMs</t>
        </is>
      </c>
      <c r="H3" s="6" t="inlineStr">
        <is>
          <t>Total DMs
Sent</t>
        </is>
      </c>
      <c r="I3" s="6" t="inlineStr">
        <is>
          <t>Replies</t>
        </is>
      </c>
      <c r="J3" s="6" t="inlineStr">
        <is>
          <t>Calls
Pitched</t>
        </is>
      </c>
      <c r="K3" s="6" t="inlineStr">
        <is>
          <t>Calls
Booked</t>
        </is>
      </c>
      <c r="L3" s="6" t="inlineStr">
        <is>
          <t>Calls
Showed</t>
        </is>
      </c>
      <c r="M3" s="6" t="inlineStr">
        <is>
          <t>Closes</t>
        </is>
      </c>
      <c r="N3" s="6" t="inlineStr">
        <is>
          <t>Cash
Collected</t>
        </is>
      </c>
      <c r="O3" s="6" t="inlineStr">
        <is>
          <t>Revenue</t>
        </is>
      </c>
      <c r="P3" s="6" t="inlineStr">
        <is>
          <t>Reply
Rate</t>
        </is>
      </c>
      <c r="Q3" s="6" t="inlineStr">
        <is>
          <t>Pitch
Rate</t>
        </is>
      </c>
      <c r="R3" s="6" t="inlineStr">
        <is>
          <t>Book
Rate</t>
        </is>
      </c>
      <c r="S3" s="6" t="inlineStr">
        <is>
          <t>Show
Rate</t>
        </is>
      </c>
      <c r="T3" s="6" t="inlineStr">
        <is>
          <t>Close
Rate</t>
        </is>
      </c>
    </row>
    <row r="4">
      <c r="A4" s="96">
        <f>TODAY()-WEEKDAY(TODAY(),2)+1-84</f>
        <v/>
      </c>
      <c r="B4" s="97">
        <f>IF(A4="","",TEXT(A4,"d mmm"))</f>
        <v/>
      </c>
      <c r="C4" s="50">
        <f>IF($A4&lt;Setup!$C$9,"",SUMIFS('Daily Log'!$Q$4:$Q$369,'Daily Log'!$A$4:$A$369,"&gt;="&amp;$A4,'Daily Log'!$A$4:$A$369,"&lt;="&amp;$A4+6))</f>
        <v/>
      </c>
      <c r="D4" s="50">
        <f>IF($A4&lt;Setup!$C$9,"",SUMIFS('Daily Log'!$C$4:$C$369,'Daily Log'!$A$4:$A$369,"&gt;="&amp;$A4,'Daily Log'!$A$4:$A$369,"&lt;="&amp;$A4+6))</f>
        <v/>
      </c>
      <c r="E4" s="50">
        <f>IF($A4&lt;Setup!$C$9,"",SUMIFS('Daily Log'!$D$4:$D$369,'Daily Log'!$A$4:$A$369,"&gt;="&amp;$A4,'Daily Log'!$A$4:$A$369,"&lt;="&amp;$A4+6))</f>
        <v/>
      </c>
      <c r="F4" s="50">
        <f>IF($A4&lt;Setup!$C$9,"",SUMIFS('Daily Log'!$E$4:$E$369,'Daily Log'!$A$4:$A$369,"&gt;="&amp;$A4,'Daily Log'!$A$4:$A$369,"&lt;="&amp;$A4+6))</f>
        <v/>
      </c>
      <c r="G4" s="50">
        <f>IF($A4&lt;Setup!$C$9,"",SUMIFS('Daily Log'!$F$4:$F$369,'Daily Log'!$A$4:$A$369,"&gt;="&amp;$A4,'Daily Log'!$A$4:$A$369,"&lt;="&amp;$A4+6))</f>
        <v/>
      </c>
      <c r="H4" s="50">
        <f>IF($A4&lt;Setup!$C$9,"",IFERROR(F4+G4,""))</f>
        <v/>
      </c>
      <c r="I4" s="50">
        <f>IF($A4&lt;Setup!$C$9,"",SUMIFS('Daily Log'!$G$4:$G$369,'Daily Log'!$A$4:$A$369,"&gt;="&amp;$A4,'Daily Log'!$A$4:$A$369,"&lt;="&amp;$A4+6))</f>
        <v/>
      </c>
      <c r="J4" s="50">
        <f>IF($A4&lt;Setup!$C$9,"",SUMIFS('Daily Log'!$H$4:$H$369,'Daily Log'!$A$4:$A$369,"&gt;="&amp;$A4,'Daily Log'!$A$4:$A$369,"&lt;="&amp;$A4+6))</f>
        <v/>
      </c>
      <c r="K4" s="50">
        <f>IF($A4&lt;Setup!$C$9,"",SUMIFS('Daily Log'!$I$4:$I$369,'Daily Log'!$A$4:$A$369,"&gt;="&amp;$A4,'Daily Log'!$A$4:$A$369,"&lt;="&amp;$A4+6))</f>
        <v/>
      </c>
      <c r="L4" s="50">
        <f>IF($A4&lt;Setup!$C$9,"",SUMIFS('Daily Log'!$J$4:$J$369,'Daily Log'!$A$4:$A$369,"&gt;="&amp;$A4,'Daily Log'!$A$4:$A$369,"&lt;="&amp;$A4+6))</f>
        <v/>
      </c>
      <c r="M4" s="50">
        <f>IF($A4&lt;Setup!$C$9,"",SUMIFS('Daily Log'!$K$4:$K$369,'Daily Log'!$A$4:$A$369,"&gt;="&amp;$A4,'Daily Log'!$A$4:$A$369,"&lt;="&amp;$A4+6))</f>
        <v/>
      </c>
      <c r="N4" s="56">
        <f>IF($A4&lt;Setup!$C$9,"",SUMIFS('Daily Log'!$L$4:$L$369,'Daily Log'!$A$4:$A$369,"&gt;="&amp;$A4,'Daily Log'!$A$4:$A$369,"&lt;="&amp;$A4+6))</f>
        <v/>
      </c>
      <c r="O4" s="56">
        <f>IF($A4&lt;Setup!$C$9,"",SUMIFS('Daily Log'!$M$4:$M$369,'Daily Log'!$A$4:$A$369,"&gt;="&amp;$A4,'Daily Log'!$A$4:$A$369,"&lt;="&amp;$A4+6))</f>
        <v/>
      </c>
      <c r="P4" s="59">
        <f>IFERROR(I4/H4,"")</f>
        <v/>
      </c>
      <c r="Q4" s="59">
        <f>IFERROR(J4/I4,"")</f>
        <v/>
      </c>
      <c r="R4" s="59">
        <f>IFERROR(K4/J4,"")</f>
        <v/>
      </c>
      <c r="S4" s="59">
        <f>IFERROR(L4/K4,"")</f>
        <v/>
      </c>
      <c r="T4" s="59">
        <f>IFERROR(M4/L4,"")</f>
        <v/>
      </c>
    </row>
    <row r="5">
      <c r="A5" s="96">
        <f>A4+7</f>
        <v/>
      </c>
      <c r="B5" s="97">
        <f>IF(A5="","",TEXT(A5,"d mmm"))</f>
        <v/>
      </c>
      <c r="C5" s="50">
        <f>IF($A5&lt;Setup!$C$9,"",SUMIFS('Daily Log'!$Q$4:$Q$369,'Daily Log'!$A$4:$A$369,"&gt;="&amp;$A5,'Daily Log'!$A$4:$A$369,"&lt;="&amp;$A5+6))</f>
        <v/>
      </c>
      <c r="D5" s="50">
        <f>IF($A5&lt;Setup!$C$9,"",SUMIFS('Daily Log'!$C$4:$C$369,'Daily Log'!$A$4:$A$369,"&gt;="&amp;$A5,'Daily Log'!$A$4:$A$369,"&lt;="&amp;$A5+6))</f>
        <v/>
      </c>
      <c r="E5" s="50">
        <f>IF($A5&lt;Setup!$C$9,"",SUMIFS('Daily Log'!$D$4:$D$369,'Daily Log'!$A$4:$A$369,"&gt;="&amp;$A5,'Daily Log'!$A$4:$A$369,"&lt;="&amp;$A5+6))</f>
        <v/>
      </c>
      <c r="F5" s="50">
        <f>IF($A5&lt;Setup!$C$9,"",SUMIFS('Daily Log'!$E$4:$E$369,'Daily Log'!$A$4:$A$369,"&gt;="&amp;$A5,'Daily Log'!$A$4:$A$369,"&lt;="&amp;$A5+6))</f>
        <v/>
      </c>
      <c r="G5" s="50">
        <f>IF($A5&lt;Setup!$C$9,"",SUMIFS('Daily Log'!$F$4:$F$369,'Daily Log'!$A$4:$A$369,"&gt;="&amp;$A5,'Daily Log'!$A$4:$A$369,"&lt;="&amp;$A5+6))</f>
        <v/>
      </c>
      <c r="H5" s="50">
        <f>IF($A5&lt;Setup!$C$9,"",IFERROR(F5+G5,""))</f>
        <v/>
      </c>
      <c r="I5" s="50">
        <f>IF($A5&lt;Setup!$C$9,"",SUMIFS('Daily Log'!$G$4:$G$369,'Daily Log'!$A$4:$A$369,"&gt;="&amp;$A5,'Daily Log'!$A$4:$A$369,"&lt;="&amp;$A5+6))</f>
        <v/>
      </c>
      <c r="J5" s="50">
        <f>IF($A5&lt;Setup!$C$9,"",SUMIFS('Daily Log'!$H$4:$H$369,'Daily Log'!$A$4:$A$369,"&gt;="&amp;$A5,'Daily Log'!$A$4:$A$369,"&lt;="&amp;$A5+6))</f>
        <v/>
      </c>
      <c r="K5" s="50">
        <f>IF($A5&lt;Setup!$C$9,"",SUMIFS('Daily Log'!$I$4:$I$369,'Daily Log'!$A$4:$A$369,"&gt;="&amp;$A5,'Daily Log'!$A$4:$A$369,"&lt;="&amp;$A5+6))</f>
        <v/>
      </c>
      <c r="L5" s="50">
        <f>IF($A5&lt;Setup!$C$9,"",SUMIFS('Daily Log'!$J$4:$J$369,'Daily Log'!$A$4:$A$369,"&gt;="&amp;$A5,'Daily Log'!$A$4:$A$369,"&lt;="&amp;$A5+6))</f>
        <v/>
      </c>
      <c r="M5" s="50">
        <f>IF($A5&lt;Setup!$C$9,"",SUMIFS('Daily Log'!$K$4:$K$369,'Daily Log'!$A$4:$A$369,"&gt;="&amp;$A5,'Daily Log'!$A$4:$A$369,"&lt;="&amp;$A5+6))</f>
        <v/>
      </c>
      <c r="N5" s="56">
        <f>IF($A5&lt;Setup!$C$9,"",SUMIFS('Daily Log'!$L$4:$L$369,'Daily Log'!$A$4:$A$369,"&gt;="&amp;$A5,'Daily Log'!$A$4:$A$369,"&lt;="&amp;$A5+6))</f>
        <v/>
      </c>
      <c r="O5" s="56">
        <f>IF($A5&lt;Setup!$C$9,"",SUMIFS('Daily Log'!$M$4:$M$369,'Daily Log'!$A$4:$A$369,"&gt;="&amp;$A5,'Daily Log'!$A$4:$A$369,"&lt;="&amp;$A5+6))</f>
        <v/>
      </c>
      <c r="P5" s="59">
        <f>IFERROR(I5/H5,"")</f>
        <v/>
      </c>
      <c r="Q5" s="59">
        <f>IFERROR(J5/I5,"")</f>
        <v/>
      </c>
      <c r="R5" s="59">
        <f>IFERROR(K5/J5,"")</f>
        <v/>
      </c>
      <c r="S5" s="59">
        <f>IFERROR(L5/K5,"")</f>
        <v/>
      </c>
      <c r="T5" s="59">
        <f>IFERROR(M5/L5,"")</f>
        <v/>
      </c>
    </row>
    <row r="6">
      <c r="A6" s="96">
        <f>A5+7</f>
        <v/>
      </c>
      <c r="B6" s="97">
        <f>IF(A6="","",TEXT(A6,"d mmm"))</f>
        <v/>
      </c>
      <c r="C6" s="50">
        <f>IF($A6&lt;Setup!$C$9,"",SUMIFS('Daily Log'!$Q$4:$Q$369,'Daily Log'!$A$4:$A$369,"&gt;="&amp;$A6,'Daily Log'!$A$4:$A$369,"&lt;="&amp;$A6+6))</f>
        <v/>
      </c>
      <c r="D6" s="50">
        <f>IF($A6&lt;Setup!$C$9,"",SUMIFS('Daily Log'!$C$4:$C$369,'Daily Log'!$A$4:$A$369,"&gt;="&amp;$A6,'Daily Log'!$A$4:$A$369,"&lt;="&amp;$A6+6))</f>
        <v/>
      </c>
      <c r="E6" s="50">
        <f>IF($A6&lt;Setup!$C$9,"",SUMIFS('Daily Log'!$D$4:$D$369,'Daily Log'!$A$4:$A$369,"&gt;="&amp;$A6,'Daily Log'!$A$4:$A$369,"&lt;="&amp;$A6+6))</f>
        <v/>
      </c>
      <c r="F6" s="50">
        <f>IF($A6&lt;Setup!$C$9,"",SUMIFS('Daily Log'!$E$4:$E$369,'Daily Log'!$A$4:$A$369,"&gt;="&amp;$A6,'Daily Log'!$A$4:$A$369,"&lt;="&amp;$A6+6))</f>
        <v/>
      </c>
      <c r="G6" s="50">
        <f>IF($A6&lt;Setup!$C$9,"",SUMIFS('Daily Log'!$F$4:$F$369,'Daily Log'!$A$4:$A$369,"&gt;="&amp;$A6,'Daily Log'!$A$4:$A$369,"&lt;="&amp;$A6+6))</f>
        <v/>
      </c>
      <c r="H6" s="50">
        <f>IF($A6&lt;Setup!$C$9,"",IFERROR(F6+G6,""))</f>
        <v/>
      </c>
      <c r="I6" s="50">
        <f>IF($A6&lt;Setup!$C$9,"",SUMIFS('Daily Log'!$G$4:$G$369,'Daily Log'!$A$4:$A$369,"&gt;="&amp;$A6,'Daily Log'!$A$4:$A$369,"&lt;="&amp;$A6+6))</f>
        <v/>
      </c>
      <c r="J6" s="50">
        <f>IF($A6&lt;Setup!$C$9,"",SUMIFS('Daily Log'!$H$4:$H$369,'Daily Log'!$A$4:$A$369,"&gt;="&amp;$A6,'Daily Log'!$A$4:$A$369,"&lt;="&amp;$A6+6))</f>
        <v/>
      </c>
      <c r="K6" s="50">
        <f>IF($A6&lt;Setup!$C$9,"",SUMIFS('Daily Log'!$I$4:$I$369,'Daily Log'!$A$4:$A$369,"&gt;="&amp;$A6,'Daily Log'!$A$4:$A$369,"&lt;="&amp;$A6+6))</f>
        <v/>
      </c>
      <c r="L6" s="50">
        <f>IF($A6&lt;Setup!$C$9,"",SUMIFS('Daily Log'!$J$4:$J$369,'Daily Log'!$A$4:$A$369,"&gt;="&amp;$A6,'Daily Log'!$A$4:$A$369,"&lt;="&amp;$A6+6))</f>
        <v/>
      </c>
      <c r="M6" s="50">
        <f>IF($A6&lt;Setup!$C$9,"",SUMIFS('Daily Log'!$K$4:$K$369,'Daily Log'!$A$4:$A$369,"&gt;="&amp;$A6,'Daily Log'!$A$4:$A$369,"&lt;="&amp;$A6+6))</f>
        <v/>
      </c>
      <c r="N6" s="56">
        <f>IF($A6&lt;Setup!$C$9,"",SUMIFS('Daily Log'!$L$4:$L$369,'Daily Log'!$A$4:$A$369,"&gt;="&amp;$A6,'Daily Log'!$A$4:$A$369,"&lt;="&amp;$A6+6))</f>
        <v/>
      </c>
      <c r="O6" s="56">
        <f>IF($A6&lt;Setup!$C$9,"",SUMIFS('Daily Log'!$M$4:$M$369,'Daily Log'!$A$4:$A$369,"&gt;="&amp;$A6,'Daily Log'!$A$4:$A$369,"&lt;="&amp;$A6+6))</f>
        <v/>
      </c>
      <c r="P6" s="59">
        <f>IFERROR(I6/H6,"")</f>
        <v/>
      </c>
      <c r="Q6" s="59">
        <f>IFERROR(J6/I6,"")</f>
        <v/>
      </c>
      <c r="R6" s="59">
        <f>IFERROR(K6/J6,"")</f>
        <v/>
      </c>
      <c r="S6" s="59">
        <f>IFERROR(L6/K6,"")</f>
        <v/>
      </c>
      <c r="T6" s="59">
        <f>IFERROR(M6/L6,"")</f>
        <v/>
      </c>
    </row>
    <row r="7">
      <c r="A7" s="96">
        <f>A6+7</f>
        <v/>
      </c>
      <c r="B7" s="97">
        <f>IF(A7="","",TEXT(A7,"d mmm"))</f>
        <v/>
      </c>
      <c r="C7" s="50">
        <f>IF($A7&lt;Setup!$C$9,"",SUMIFS('Daily Log'!$Q$4:$Q$369,'Daily Log'!$A$4:$A$369,"&gt;="&amp;$A7,'Daily Log'!$A$4:$A$369,"&lt;="&amp;$A7+6))</f>
        <v/>
      </c>
      <c r="D7" s="50">
        <f>IF($A7&lt;Setup!$C$9,"",SUMIFS('Daily Log'!$C$4:$C$369,'Daily Log'!$A$4:$A$369,"&gt;="&amp;$A7,'Daily Log'!$A$4:$A$369,"&lt;="&amp;$A7+6))</f>
        <v/>
      </c>
      <c r="E7" s="50">
        <f>IF($A7&lt;Setup!$C$9,"",SUMIFS('Daily Log'!$D$4:$D$369,'Daily Log'!$A$4:$A$369,"&gt;="&amp;$A7,'Daily Log'!$A$4:$A$369,"&lt;="&amp;$A7+6))</f>
        <v/>
      </c>
      <c r="F7" s="50">
        <f>IF($A7&lt;Setup!$C$9,"",SUMIFS('Daily Log'!$E$4:$E$369,'Daily Log'!$A$4:$A$369,"&gt;="&amp;$A7,'Daily Log'!$A$4:$A$369,"&lt;="&amp;$A7+6))</f>
        <v/>
      </c>
      <c r="G7" s="50">
        <f>IF($A7&lt;Setup!$C$9,"",SUMIFS('Daily Log'!$F$4:$F$369,'Daily Log'!$A$4:$A$369,"&gt;="&amp;$A7,'Daily Log'!$A$4:$A$369,"&lt;="&amp;$A7+6))</f>
        <v/>
      </c>
      <c r="H7" s="50">
        <f>IF($A7&lt;Setup!$C$9,"",IFERROR(F7+G7,""))</f>
        <v/>
      </c>
      <c r="I7" s="50">
        <f>IF($A7&lt;Setup!$C$9,"",SUMIFS('Daily Log'!$G$4:$G$369,'Daily Log'!$A$4:$A$369,"&gt;="&amp;$A7,'Daily Log'!$A$4:$A$369,"&lt;="&amp;$A7+6))</f>
        <v/>
      </c>
      <c r="J7" s="50">
        <f>IF($A7&lt;Setup!$C$9,"",SUMIFS('Daily Log'!$H$4:$H$369,'Daily Log'!$A$4:$A$369,"&gt;="&amp;$A7,'Daily Log'!$A$4:$A$369,"&lt;="&amp;$A7+6))</f>
        <v/>
      </c>
      <c r="K7" s="50">
        <f>IF($A7&lt;Setup!$C$9,"",SUMIFS('Daily Log'!$I$4:$I$369,'Daily Log'!$A$4:$A$369,"&gt;="&amp;$A7,'Daily Log'!$A$4:$A$369,"&lt;="&amp;$A7+6))</f>
        <v/>
      </c>
      <c r="L7" s="50">
        <f>IF($A7&lt;Setup!$C$9,"",SUMIFS('Daily Log'!$J$4:$J$369,'Daily Log'!$A$4:$A$369,"&gt;="&amp;$A7,'Daily Log'!$A$4:$A$369,"&lt;="&amp;$A7+6))</f>
        <v/>
      </c>
      <c r="M7" s="50">
        <f>IF($A7&lt;Setup!$C$9,"",SUMIFS('Daily Log'!$K$4:$K$369,'Daily Log'!$A$4:$A$369,"&gt;="&amp;$A7,'Daily Log'!$A$4:$A$369,"&lt;="&amp;$A7+6))</f>
        <v/>
      </c>
      <c r="N7" s="56">
        <f>IF($A7&lt;Setup!$C$9,"",SUMIFS('Daily Log'!$L$4:$L$369,'Daily Log'!$A$4:$A$369,"&gt;="&amp;$A7,'Daily Log'!$A$4:$A$369,"&lt;="&amp;$A7+6))</f>
        <v/>
      </c>
      <c r="O7" s="56">
        <f>IF($A7&lt;Setup!$C$9,"",SUMIFS('Daily Log'!$M$4:$M$369,'Daily Log'!$A$4:$A$369,"&gt;="&amp;$A7,'Daily Log'!$A$4:$A$369,"&lt;="&amp;$A7+6))</f>
        <v/>
      </c>
      <c r="P7" s="59">
        <f>IFERROR(I7/H7,"")</f>
        <v/>
      </c>
      <c r="Q7" s="59">
        <f>IFERROR(J7/I7,"")</f>
        <v/>
      </c>
      <c r="R7" s="59">
        <f>IFERROR(K7/J7,"")</f>
        <v/>
      </c>
      <c r="S7" s="59">
        <f>IFERROR(L7/K7,"")</f>
        <v/>
      </c>
      <c r="T7" s="59">
        <f>IFERROR(M7/L7,"")</f>
        <v/>
      </c>
    </row>
    <row r="8">
      <c r="A8" s="96">
        <f>A7+7</f>
        <v/>
      </c>
      <c r="B8" s="97">
        <f>IF(A8="","",TEXT(A8,"d mmm"))</f>
        <v/>
      </c>
      <c r="C8" s="50">
        <f>IF($A8&lt;Setup!$C$9,"",SUMIFS('Daily Log'!$Q$4:$Q$369,'Daily Log'!$A$4:$A$369,"&gt;="&amp;$A8,'Daily Log'!$A$4:$A$369,"&lt;="&amp;$A8+6))</f>
        <v/>
      </c>
      <c r="D8" s="50">
        <f>IF($A8&lt;Setup!$C$9,"",SUMIFS('Daily Log'!$C$4:$C$369,'Daily Log'!$A$4:$A$369,"&gt;="&amp;$A8,'Daily Log'!$A$4:$A$369,"&lt;="&amp;$A8+6))</f>
        <v/>
      </c>
      <c r="E8" s="50">
        <f>IF($A8&lt;Setup!$C$9,"",SUMIFS('Daily Log'!$D$4:$D$369,'Daily Log'!$A$4:$A$369,"&gt;="&amp;$A8,'Daily Log'!$A$4:$A$369,"&lt;="&amp;$A8+6))</f>
        <v/>
      </c>
      <c r="F8" s="50">
        <f>IF($A8&lt;Setup!$C$9,"",SUMIFS('Daily Log'!$E$4:$E$369,'Daily Log'!$A$4:$A$369,"&gt;="&amp;$A8,'Daily Log'!$A$4:$A$369,"&lt;="&amp;$A8+6))</f>
        <v/>
      </c>
      <c r="G8" s="50">
        <f>IF($A8&lt;Setup!$C$9,"",SUMIFS('Daily Log'!$F$4:$F$369,'Daily Log'!$A$4:$A$369,"&gt;="&amp;$A8,'Daily Log'!$A$4:$A$369,"&lt;="&amp;$A8+6))</f>
        <v/>
      </c>
      <c r="H8" s="50">
        <f>IF($A8&lt;Setup!$C$9,"",IFERROR(F8+G8,""))</f>
        <v/>
      </c>
      <c r="I8" s="50">
        <f>IF($A8&lt;Setup!$C$9,"",SUMIFS('Daily Log'!$G$4:$G$369,'Daily Log'!$A$4:$A$369,"&gt;="&amp;$A8,'Daily Log'!$A$4:$A$369,"&lt;="&amp;$A8+6))</f>
        <v/>
      </c>
      <c r="J8" s="50">
        <f>IF($A8&lt;Setup!$C$9,"",SUMIFS('Daily Log'!$H$4:$H$369,'Daily Log'!$A$4:$A$369,"&gt;="&amp;$A8,'Daily Log'!$A$4:$A$369,"&lt;="&amp;$A8+6))</f>
        <v/>
      </c>
      <c r="K8" s="50">
        <f>IF($A8&lt;Setup!$C$9,"",SUMIFS('Daily Log'!$I$4:$I$369,'Daily Log'!$A$4:$A$369,"&gt;="&amp;$A8,'Daily Log'!$A$4:$A$369,"&lt;="&amp;$A8+6))</f>
        <v/>
      </c>
      <c r="L8" s="50">
        <f>IF($A8&lt;Setup!$C$9,"",SUMIFS('Daily Log'!$J$4:$J$369,'Daily Log'!$A$4:$A$369,"&gt;="&amp;$A8,'Daily Log'!$A$4:$A$369,"&lt;="&amp;$A8+6))</f>
        <v/>
      </c>
      <c r="M8" s="50">
        <f>IF($A8&lt;Setup!$C$9,"",SUMIFS('Daily Log'!$K$4:$K$369,'Daily Log'!$A$4:$A$369,"&gt;="&amp;$A8,'Daily Log'!$A$4:$A$369,"&lt;="&amp;$A8+6))</f>
        <v/>
      </c>
      <c r="N8" s="56">
        <f>IF($A8&lt;Setup!$C$9,"",SUMIFS('Daily Log'!$L$4:$L$369,'Daily Log'!$A$4:$A$369,"&gt;="&amp;$A8,'Daily Log'!$A$4:$A$369,"&lt;="&amp;$A8+6))</f>
        <v/>
      </c>
      <c r="O8" s="56">
        <f>IF($A8&lt;Setup!$C$9,"",SUMIFS('Daily Log'!$M$4:$M$369,'Daily Log'!$A$4:$A$369,"&gt;="&amp;$A8,'Daily Log'!$A$4:$A$369,"&lt;="&amp;$A8+6))</f>
        <v/>
      </c>
      <c r="P8" s="59">
        <f>IFERROR(I8/H8,"")</f>
        <v/>
      </c>
      <c r="Q8" s="59">
        <f>IFERROR(J8/I8,"")</f>
        <v/>
      </c>
      <c r="R8" s="59">
        <f>IFERROR(K8/J8,"")</f>
        <v/>
      </c>
      <c r="S8" s="59">
        <f>IFERROR(L8/K8,"")</f>
        <v/>
      </c>
      <c r="T8" s="59">
        <f>IFERROR(M8/L8,"")</f>
        <v/>
      </c>
    </row>
    <row r="9">
      <c r="A9" s="96">
        <f>A8+7</f>
        <v/>
      </c>
      <c r="B9" s="97">
        <f>IF(A9="","",TEXT(A9,"d mmm"))</f>
        <v/>
      </c>
      <c r="C9" s="50">
        <f>IF($A9&lt;Setup!$C$9,"",SUMIFS('Daily Log'!$Q$4:$Q$369,'Daily Log'!$A$4:$A$369,"&gt;="&amp;$A9,'Daily Log'!$A$4:$A$369,"&lt;="&amp;$A9+6))</f>
        <v/>
      </c>
      <c r="D9" s="50">
        <f>IF($A9&lt;Setup!$C$9,"",SUMIFS('Daily Log'!$C$4:$C$369,'Daily Log'!$A$4:$A$369,"&gt;="&amp;$A9,'Daily Log'!$A$4:$A$369,"&lt;="&amp;$A9+6))</f>
        <v/>
      </c>
      <c r="E9" s="50">
        <f>IF($A9&lt;Setup!$C$9,"",SUMIFS('Daily Log'!$D$4:$D$369,'Daily Log'!$A$4:$A$369,"&gt;="&amp;$A9,'Daily Log'!$A$4:$A$369,"&lt;="&amp;$A9+6))</f>
        <v/>
      </c>
      <c r="F9" s="50">
        <f>IF($A9&lt;Setup!$C$9,"",SUMIFS('Daily Log'!$E$4:$E$369,'Daily Log'!$A$4:$A$369,"&gt;="&amp;$A9,'Daily Log'!$A$4:$A$369,"&lt;="&amp;$A9+6))</f>
        <v/>
      </c>
      <c r="G9" s="50">
        <f>IF($A9&lt;Setup!$C$9,"",SUMIFS('Daily Log'!$F$4:$F$369,'Daily Log'!$A$4:$A$369,"&gt;="&amp;$A9,'Daily Log'!$A$4:$A$369,"&lt;="&amp;$A9+6))</f>
        <v/>
      </c>
      <c r="H9" s="50">
        <f>IF($A9&lt;Setup!$C$9,"",IFERROR(F9+G9,""))</f>
        <v/>
      </c>
      <c r="I9" s="50">
        <f>IF($A9&lt;Setup!$C$9,"",SUMIFS('Daily Log'!$G$4:$G$369,'Daily Log'!$A$4:$A$369,"&gt;="&amp;$A9,'Daily Log'!$A$4:$A$369,"&lt;="&amp;$A9+6))</f>
        <v/>
      </c>
      <c r="J9" s="50">
        <f>IF($A9&lt;Setup!$C$9,"",SUMIFS('Daily Log'!$H$4:$H$369,'Daily Log'!$A$4:$A$369,"&gt;="&amp;$A9,'Daily Log'!$A$4:$A$369,"&lt;="&amp;$A9+6))</f>
        <v/>
      </c>
      <c r="K9" s="50">
        <f>IF($A9&lt;Setup!$C$9,"",SUMIFS('Daily Log'!$I$4:$I$369,'Daily Log'!$A$4:$A$369,"&gt;="&amp;$A9,'Daily Log'!$A$4:$A$369,"&lt;="&amp;$A9+6))</f>
        <v/>
      </c>
      <c r="L9" s="50">
        <f>IF($A9&lt;Setup!$C$9,"",SUMIFS('Daily Log'!$J$4:$J$369,'Daily Log'!$A$4:$A$369,"&gt;="&amp;$A9,'Daily Log'!$A$4:$A$369,"&lt;="&amp;$A9+6))</f>
        <v/>
      </c>
      <c r="M9" s="50">
        <f>IF($A9&lt;Setup!$C$9,"",SUMIFS('Daily Log'!$K$4:$K$369,'Daily Log'!$A$4:$A$369,"&gt;="&amp;$A9,'Daily Log'!$A$4:$A$369,"&lt;="&amp;$A9+6))</f>
        <v/>
      </c>
      <c r="N9" s="56">
        <f>IF($A9&lt;Setup!$C$9,"",SUMIFS('Daily Log'!$L$4:$L$369,'Daily Log'!$A$4:$A$369,"&gt;="&amp;$A9,'Daily Log'!$A$4:$A$369,"&lt;="&amp;$A9+6))</f>
        <v/>
      </c>
      <c r="O9" s="56">
        <f>IF($A9&lt;Setup!$C$9,"",SUMIFS('Daily Log'!$M$4:$M$369,'Daily Log'!$A$4:$A$369,"&gt;="&amp;$A9,'Daily Log'!$A$4:$A$369,"&lt;="&amp;$A9+6))</f>
        <v/>
      </c>
      <c r="P9" s="59">
        <f>IFERROR(I9/H9,"")</f>
        <v/>
      </c>
      <c r="Q9" s="59">
        <f>IFERROR(J9/I9,"")</f>
        <v/>
      </c>
      <c r="R9" s="59">
        <f>IFERROR(K9/J9,"")</f>
        <v/>
      </c>
      <c r="S9" s="59">
        <f>IFERROR(L9/K9,"")</f>
        <v/>
      </c>
      <c r="T9" s="59">
        <f>IFERROR(M9/L9,"")</f>
        <v/>
      </c>
    </row>
    <row r="10">
      <c r="A10" s="96">
        <f>A9+7</f>
        <v/>
      </c>
      <c r="B10" s="97">
        <f>IF(A10="","",TEXT(A10,"d mmm"))</f>
        <v/>
      </c>
      <c r="C10" s="50">
        <f>IF($A10&lt;Setup!$C$9,"",SUMIFS('Daily Log'!$Q$4:$Q$369,'Daily Log'!$A$4:$A$369,"&gt;="&amp;$A10,'Daily Log'!$A$4:$A$369,"&lt;="&amp;$A10+6))</f>
        <v/>
      </c>
      <c r="D10" s="50">
        <f>IF($A10&lt;Setup!$C$9,"",SUMIFS('Daily Log'!$C$4:$C$369,'Daily Log'!$A$4:$A$369,"&gt;="&amp;$A10,'Daily Log'!$A$4:$A$369,"&lt;="&amp;$A10+6))</f>
        <v/>
      </c>
      <c r="E10" s="50">
        <f>IF($A10&lt;Setup!$C$9,"",SUMIFS('Daily Log'!$D$4:$D$369,'Daily Log'!$A$4:$A$369,"&gt;="&amp;$A10,'Daily Log'!$A$4:$A$369,"&lt;="&amp;$A10+6))</f>
        <v/>
      </c>
      <c r="F10" s="50">
        <f>IF($A10&lt;Setup!$C$9,"",SUMIFS('Daily Log'!$E$4:$E$369,'Daily Log'!$A$4:$A$369,"&gt;="&amp;$A10,'Daily Log'!$A$4:$A$369,"&lt;="&amp;$A10+6))</f>
        <v/>
      </c>
      <c r="G10" s="50">
        <f>IF($A10&lt;Setup!$C$9,"",SUMIFS('Daily Log'!$F$4:$F$369,'Daily Log'!$A$4:$A$369,"&gt;="&amp;$A10,'Daily Log'!$A$4:$A$369,"&lt;="&amp;$A10+6))</f>
        <v/>
      </c>
      <c r="H10" s="50">
        <f>IF($A10&lt;Setup!$C$9,"",IFERROR(F10+G10,""))</f>
        <v/>
      </c>
      <c r="I10" s="50">
        <f>IF($A10&lt;Setup!$C$9,"",SUMIFS('Daily Log'!$G$4:$G$369,'Daily Log'!$A$4:$A$369,"&gt;="&amp;$A10,'Daily Log'!$A$4:$A$369,"&lt;="&amp;$A10+6))</f>
        <v/>
      </c>
      <c r="J10" s="50">
        <f>IF($A10&lt;Setup!$C$9,"",SUMIFS('Daily Log'!$H$4:$H$369,'Daily Log'!$A$4:$A$369,"&gt;="&amp;$A10,'Daily Log'!$A$4:$A$369,"&lt;="&amp;$A10+6))</f>
        <v/>
      </c>
      <c r="K10" s="50">
        <f>IF($A10&lt;Setup!$C$9,"",SUMIFS('Daily Log'!$I$4:$I$369,'Daily Log'!$A$4:$A$369,"&gt;="&amp;$A10,'Daily Log'!$A$4:$A$369,"&lt;="&amp;$A10+6))</f>
        <v/>
      </c>
      <c r="L10" s="50">
        <f>IF($A10&lt;Setup!$C$9,"",SUMIFS('Daily Log'!$J$4:$J$369,'Daily Log'!$A$4:$A$369,"&gt;="&amp;$A10,'Daily Log'!$A$4:$A$369,"&lt;="&amp;$A10+6))</f>
        <v/>
      </c>
      <c r="M10" s="50">
        <f>IF($A10&lt;Setup!$C$9,"",SUMIFS('Daily Log'!$K$4:$K$369,'Daily Log'!$A$4:$A$369,"&gt;="&amp;$A10,'Daily Log'!$A$4:$A$369,"&lt;="&amp;$A10+6))</f>
        <v/>
      </c>
      <c r="N10" s="56">
        <f>IF($A10&lt;Setup!$C$9,"",SUMIFS('Daily Log'!$L$4:$L$369,'Daily Log'!$A$4:$A$369,"&gt;="&amp;$A10,'Daily Log'!$A$4:$A$369,"&lt;="&amp;$A10+6))</f>
        <v/>
      </c>
      <c r="O10" s="56">
        <f>IF($A10&lt;Setup!$C$9,"",SUMIFS('Daily Log'!$M$4:$M$369,'Daily Log'!$A$4:$A$369,"&gt;="&amp;$A10,'Daily Log'!$A$4:$A$369,"&lt;="&amp;$A10+6))</f>
        <v/>
      </c>
      <c r="P10" s="59">
        <f>IFERROR(I10/H10,"")</f>
        <v/>
      </c>
      <c r="Q10" s="59">
        <f>IFERROR(J10/I10,"")</f>
        <v/>
      </c>
      <c r="R10" s="59">
        <f>IFERROR(K10/J10,"")</f>
        <v/>
      </c>
      <c r="S10" s="59">
        <f>IFERROR(L10/K10,"")</f>
        <v/>
      </c>
      <c r="T10" s="59">
        <f>IFERROR(M10/L10,"")</f>
        <v/>
      </c>
    </row>
    <row r="11">
      <c r="A11" s="96">
        <f>A10+7</f>
        <v/>
      </c>
      <c r="B11" s="97">
        <f>IF(A11="","",TEXT(A11,"d mmm"))</f>
        <v/>
      </c>
      <c r="C11" s="50">
        <f>IF($A11&lt;Setup!$C$9,"",SUMIFS('Daily Log'!$Q$4:$Q$369,'Daily Log'!$A$4:$A$369,"&gt;="&amp;$A11,'Daily Log'!$A$4:$A$369,"&lt;="&amp;$A11+6))</f>
        <v/>
      </c>
      <c r="D11" s="50">
        <f>IF($A11&lt;Setup!$C$9,"",SUMIFS('Daily Log'!$C$4:$C$369,'Daily Log'!$A$4:$A$369,"&gt;="&amp;$A11,'Daily Log'!$A$4:$A$369,"&lt;="&amp;$A11+6))</f>
        <v/>
      </c>
      <c r="E11" s="50">
        <f>IF($A11&lt;Setup!$C$9,"",SUMIFS('Daily Log'!$D$4:$D$369,'Daily Log'!$A$4:$A$369,"&gt;="&amp;$A11,'Daily Log'!$A$4:$A$369,"&lt;="&amp;$A11+6))</f>
        <v/>
      </c>
      <c r="F11" s="50">
        <f>IF($A11&lt;Setup!$C$9,"",SUMIFS('Daily Log'!$E$4:$E$369,'Daily Log'!$A$4:$A$369,"&gt;="&amp;$A11,'Daily Log'!$A$4:$A$369,"&lt;="&amp;$A11+6))</f>
        <v/>
      </c>
      <c r="G11" s="50">
        <f>IF($A11&lt;Setup!$C$9,"",SUMIFS('Daily Log'!$F$4:$F$369,'Daily Log'!$A$4:$A$369,"&gt;="&amp;$A11,'Daily Log'!$A$4:$A$369,"&lt;="&amp;$A11+6))</f>
        <v/>
      </c>
      <c r="H11" s="50">
        <f>IF($A11&lt;Setup!$C$9,"",IFERROR(F11+G11,""))</f>
        <v/>
      </c>
      <c r="I11" s="50">
        <f>IF($A11&lt;Setup!$C$9,"",SUMIFS('Daily Log'!$G$4:$G$369,'Daily Log'!$A$4:$A$369,"&gt;="&amp;$A11,'Daily Log'!$A$4:$A$369,"&lt;="&amp;$A11+6))</f>
        <v/>
      </c>
      <c r="J11" s="50">
        <f>IF($A11&lt;Setup!$C$9,"",SUMIFS('Daily Log'!$H$4:$H$369,'Daily Log'!$A$4:$A$369,"&gt;="&amp;$A11,'Daily Log'!$A$4:$A$369,"&lt;="&amp;$A11+6))</f>
        <v/>
      </c>
      <c r="K11" s="50">
        <f>IF($A11&lt;Setup!$C$9,"",SUMIFS('Daily Log'!$I$4:$I$369,'Daily Log'!$A$4:$A$369,"&gt;="&amp;$A11,'Daily Log'!$A$4:$A$369,"&lt;="&amp;$A11+6))</f>
        <v/>
      </c>
      <c r="L11" s="50">
        <f>IF($A11&lt;Setup!$C$9,"",SUMIFS('Daily Log'!$J$4:$J$369,'Daily Log'!$A$4:$A$369,"&gt;="&amp;$A11,'Daily Log'!$A$4:$A$369,"&lt;="&amp;$A11+6))</f>
        <v/>
      </c>
      <c r="M11" s="50">
        <f>IF($A11&lt;Setup!$C$9,"",SUMIFS('Daily Log'!$K$4:$K$369,'Daily Log'!$A$4:$A$369,"&gt;="&amp;$A11,'Daily Log'!$A$4:$A$369,"&lt;="&amp;$A11+6))</f>
        <v/>
      </c>
      <c r="N11" s="56">
        <f>IF($A11&lt;Setup!$C$9,"",SUMIFS('Daily Log'!$L$4:$L$369,'Daily Log'!$A$4:$A$369,"&gt;="&amp;$A11,'Daily Log'!$A$4:$A$369,"&lt;="&amp;$A11+6))</f>
        <v/>
      </c>
      <c r="O11" s="56">
        <f>IF($A11&lt;Setup!$C$9,"",SUMIFS('Daily Log'!$M$4:$M$369,'Daily Log'!$A$4:$A$369,"&gt;="&amp;$A11,'Daily Log'!$A$4:$A$369,"&lt;="&amp;$A11+6))</f>
        <v/>
      </c>
      <c r="P11" s="59">
        <f>IFERROR(I11/H11,"")</f>
        <v/>
      </c>
      <c r="Q11" s="59">
        <f>IFERROR(J11/I11,"")</f>
        <v/>
      </c>
      <c r="R11" s="59">
        <f>IFERROR(K11/J11,"")</f>
        <v/>
      </c>
      <c r="S11" s="59">
        <f>IFERROR(L11/K11,"")</f>
        <v/>
      </c>
      <c r="T11" s="59">
        <f>IFERROR(M11/L11,"")</f>
        <v/>
      </c>
    </row>
    <row r="12">
      <c r="A12" s="96">
        <f>A11+7</f>
        <v/>
      </c>
      <c r="B12" s="97">
        <f>IF(A12="","",TEXT(A12,"d mmm"))</f>
        <v/>
      </c>
      <c r="C12" s="50">
        <f>IF($A12&lt;Setup!$C$9,"",SUMIFS('Daily Log'!$Q$4:$Q$369,'Daily Log'!$A$4:$A$369,"&gt;="&amp;$A12,'Daily Log'!$A$4:$A$369,"&lt;="&amp;$A12+6))</f>
        <v/>
      </c>
      <c r="D12" s="50">
        <f>IF($A12&lt;Setup!$C$9,"",SUMIFS('Daily Log'!$C$4:$C$369,'Daily Log'!$A$4:$A$369,"&gt;="&amp;$A12,'Daily Log'!$A$4:$A$369,"&lt;="&amp;$A12+6))</f>
        <v/>
      </c>
      <c r="E12" s="50">
        <f>IF($A12&lt;Setup!$C$9,"",SUMIFS('Daily Log'!$D$4:$D$369,'Daily Log'!$A$4:$A$369,"&gt;="&amp;$A12,'Daily Log'!$A$4:$A$369,"&lt;="&amp;$A12+6))</f>
        <v/>
      </c>
      <c r="F12" s="50">
        <f>IF($A12&lt;Setup!$C$9,"",SUMIFS('Daily Log'!$E$4:$E$369,'Daily Log'!$A$4:$A$369,"&gt;="&amp;$A12,'Daily Log'!$A$4:$A$369,"&lt;="&amp;$A12+6))</f>
        <v/>
      </c>
      <c r="G12" s="50">
        <f>IF($A12&lt;Setup!$C$9,"",SUMIFS('Daily Log'!$F$4:$F$369,'Daily Log'!$A$4:$A$369,"&gt;="&amp;$A12,'Daily Log'!$A$4:$A$369,"&lt;="&amp;$A12+6))</f>
        <v/>
      </c>
      <c r="H12" s="50">
        <f>IF($A12&lt;Setup!$C$9,"",IFERROR(F12+G12,""))</f>
        <v/>
      </c>
      <c r="I12" s="50">
        <f>IF($A12&lt;Setup!$C$9,"",SUMIFS('Daily Log'!$G$4:$G$369,'Daily Log'!$A$4:$A$369,"&gt;="&amp;$A12,'Daily Log'!$A$4:$A$369,"&lt;="&amp;$A12+6))</f>
        <v/>
      </c>
      <c r="J12" s="50">
        <f>IF($A12&lt;Setup!$C$9,"",SUMIFS('Daily Log'!$H$4:$H$369,'Daily Log'!$A$4:$A$369,"&gt;="&amp;$A12,'Daily Log'!$A$4:$A$369,"&lt;="&amp;$A12+6))</f>
        <v/>
      </c>
      <c r="K12" s="50">
        <f>IF($A12&lt;Setup!$C$9,"",SUMIFS('Daily Log'!$I$4:$I$369,'Daily Log'!$A$4:$A$369,"&gt;="&amp;$A12,'Daily Log'!$A$4:$A$369,"&lt;="&amp;$A12+6))</f>
        <v/>
      </c>
      <c r="L12" s="50">
        <f>IF($A12&lt;Setup!$C$9,"",SUMIFS('Daily Log'!$J$4:$J$369,'Daily Log'!$A$4:$A$369,"&gt;="&amp;$A12,'Daily Log'!$A$4:$A$369,"&lt;="&amp;$A12+6))</f>
        <v/>
      </c>
      <c r="M12" s="50">
        <f>IF($A12&lt;Setup!$C$9,"",SUMIFS('Daily Log'!$K$4:$K$369,'Daily Log'!$A$4:$A$369,"&gt;="&amp;$A12,'Daily Log'!$A$4:$A$369,"&lt;="&amp;$A12+6))</f>
        <v/>
      </c>
      <c r="N12" s="56">
        <f>IF($A12&lt;Setup!$C$9,"",SUMIFS('Daily Log'!$L$4:$L$369,'Daily Log'!$A$4:$A$369,"&gt;="&amp;$A12,'Daily Log'!$A$4:$A$369,"&lt;="&amp;$A12+6))</f>
        <v/>
      </c>
      <c r="O12" s="56">
        <f>IF($A12&lt;Setup!$C$9,"",SUMIFS('Daily Log'!$M$4:$M$369,'Daily Log'!$A$4:$A$369,"&gt;="&amp;$A12,'Daily Log'!$A$4:$A$369,"&lt;="&amp;$A12+6))</f>
        <v/>
      </c>
      <c r="P12" s="59">
        <f>IFERROR(I12/H12,"")</f>
        <v/>
      </c>
      <c r="Q12" s="59">
        <f>IFERROR(J12/I12,"")</f>
        <v/>
      </c>
      <c r="R12" s="59">
        <f>IFERROR(K12/J12,"")</f>
        <v/>
      </c>
      <c r="S12" s="59">
        <f>IFERROR(L12/K12,"")</f>
        <v/>
      </c>
      <c r="T12" s="59">
        <f>IFERROR(M12/L12,"")</f>
        <v/>
      </c>
    </row>
    <row r="13">
      <c r="A13" s="96">
        <f>A12+7</f>
        <v/>
      </c>
      <c r="B13" s="97">
        <f>IF(A13="","",TEXT(A13,"d mmm"))</f>
        <v/>
      </c>
      <c r="C13" s="50">
        <f>IF($A13&lt;Setup!$C$9,"",SUMIFS('Daily Log'!$Q$4:$Q$369,'Daily Log'!$A$4:$A$369,"&gt;="&amp;$A13,'Daily Log'!$A$4:$A$369,"&lt;="&amp;$A13+6))</f>
        <v/>
      </c>
      <c r="D13" s="50">
        <f>IF($A13&lt;Setup!$C$9,"",SUMIFS('Daily Log'!$C$4:$C$369,'Daily Log'!$A$4:$A$369,"&gt;="&amp;$A13,'Daily Log'!$A$4:$A$369,"&lt;="&amp;$A13+6))</f>
        <v/>
      </c>
      <c r="E13" s="50">
        <f>IF($A13&lt;Setup!$C$9,"",SUMIFS('Daily Log'!$D$4:$D$369,'Daily Log'!$A$4:$A$369,"&gt;="&amp;$A13,'Daily Log'!$A$4:$A$369,"&lt;="&amp;$A13+6))</f>
        <v/>
      </c>
      <c r="F13" s="50">
        <f>IF($A13&lt;Setup!$C$9,"",SUMIFS('Daily Log'!$E$4:$E$369,'Daily Log'!$A$4:$A$369,"&gt;="&amp;$A13,'Daily Log'!$A$4:$A$369,"&lt;="&amp;$A13+6))</f>
        <v/>
      </c>
      <c r="G13" s="50">
        <f>IF($A13&lt;Setup!$C$9,"",SUMIFS('Daily Log'!$F$4:$F$369,'Daily Log'!$A$4:$A$369,"&gt;="&amp;$A13,'Daily Log'!$A$4:$A$369,"&lt;="&amp;$A13+6))</f>
        <v/>
      </c>
      <c r="H13" s="50">
        <f>IF($A13&lt;Setup!$C$9,"",IFERROR(F13+G13,""))</f>
        <v/>
      </c>
      <c r="I13" s="50">
        <f>IF($A13&lt;Setup!$C$9,"",SUMIFS('Daily Log'!$G$4:$G$369,'Daily Log'!$A$4:$A$369,"&gt;="&amp;$A13,'Daily Log'!$A$4:$A$369,"&lt;="&amp;$A13+6))</f>
        <v/>
      </c>
      <c r="J13" s="50">
        <f>IF($A13&lt;Setup!$C$9,"",SUMIFS('Daily Log'!$H$4:$H$369,'Daily Log'!$A$4:$A$369,"&gt;="&amp;$A13,'Daily Log'!$A$4:$A$369,"&lt;="&amp;$A13+6))</f>
        <v/>
      </c>
      <c r="K13" s="50">
        <f>IF($A13&lt;Setup!$C$9,"",SUMIFS('Daily Log'!$I$4:$I$369,'Daily Log'!$A$4:$A$369,"&gt;="&amp;$A13,'Daily Log'!$A$4:$A$369,"&lt;="&amp;$A13+6))</f>
        <v/>
      </c>
      <c r="L13" s="50">
        <f>IF($A13&lt;Setup!$C$9,"",SUMIFS('Daily Log'!$J$4:$J$369,'Daily Log'!$A$4:$A$369,"&gt;="&amp;$A13,'Daily Log'!$A$4:$A$369,"&lt;="&amp;$A13+6))</f>
        <v/>
      </c>
      <c r="M13" s="50">
        <f>IF($A13&lt;Setup!$C$9,"",SUMIFS('Daily Log'!$K$4:$K$369,'Daily Log'!$A$4:$A$369,"&gt;="&amp;$A13,'Daily Log'!$A$4:$A$369,"&lt;="&amp;$A13+6))</f>
        <v/>
      </c>
      <c r="N13" s="56">
        <f>IF($A13&lt;Setup!$C$9,"",SUMIFS('Daily Log'!$L$4:$L$369,'Daily Log'!$A$4:$A$369,"&gt;="&amp;$A13,'Daily Log'!$A$4:$A$369,"&lt;="&amp;$A13+6))</f>
        <v/>
      </c>
      <c r="O13" s="56">
        <f>IF($A13&lt;Setup!$C$9,"",SUMIFS('Daily Log'!$M$4:$M$369,'Daily Log'!$A$4:$A$369,"&gt;="&amp;$A13,'Daily Log'!$A$4:$A$369,"&lt;="&amp;$A13+6))</f>
        <v/>
      </c>
      <c r="P13" s="59">
        <f>IFERROR(I13/H13,"")</f>
        <v/>
      </c>
      <c r="Q13" s="59">
        <f>IFERROR(J13/I13,"")</f>
        <v/>
      </c>
      <c r="R13" s="59">
        <f>IFERROR(K13/J13,"")</f>
        <v/>
      </c>
      <c r="S13" s="59">
        <f>IFERROR(L13/K13,"")</f>
        <v/>
      </c>
      <c r="T13" s="59">
        <f>IFERROR(M13/L13,"")</f>
        <v/>
      </c>
    </row>
    <row r="14">
      <c r="A14" s="96">
        <f>A13+7</f>
        <v/>
      </c>
      <c r="B14" s="97">
        <f>IF(A14="","",TEXT(A14,"d mmm"))</f>
        <v/>
      </c>
      <c r="C14" s="50">
        <f>IF($A14&lt;Setup!$C$9,"",SUMIFS('Daily Log'!$Q$4:$Q$369,'Daily Log'!$A$4:$A$369,"&gt;="&amp;$A14,'Daily Log'!$A$4:$A$369,"&lt;="&amp;$A14+6))</f>
        <v/>
      </c>
      <c r="D14" s="50">
        <f>IF($A14&lt;Setup!$C$9,"",SUMIFS('Daily Log'!$C$4:$C$369,'Daily Log'!$A$4:$A$369,"&gt;="&amp;$A14,'Daily Log'!$A$4:$A$369,"&lt;="&amp;$A14+6))</f>
        <v/>
      </c>
      <c r="E14" s="50">
        <f>IF($A14&lt;Setup!$C$9,"",SUMIFS('Daily Log'!$D$4:$D$369,'Daily Log'!$A$4:$A$369,"&gt;="&amp;$A14,'Daily Log'!$A$4:$A$369,"&lt;="&amp;$A14+6))</f>
        <v/>
      </c>
      <c r="F14" s="50">
        <f>IF($A14&lt;Setup!$C$9,"",SUMIFS('Daily Log'!$E$4:$E$369,'Daily Log'!$A$4:$A$369,"&gt;="&amp;$A14,'Daily Log'!$A$4:$A$369,"&lt;="&amp;$A14+6))</f>
        <v/>
      </c>
      <c r="G14" s="50">
        <f>IF($A14&lt;Setup!$C$9,"",SUMIFS('Daily Log'!$F$4:$F$369,'Daily Log'!$A$4:$A$369,"&gt;="&amp;$A14,'Daily Log'!$A$4:$A$369,"&lt;="&amp;$A14+6))</f>
        <v/>
      </c>
      <c r="H14" s="50">
        <f>IF($A14&lt;Setup!$C$9,"",IFERROR(F14+G14,""))</f>
        <v/>
      </c>
      <c r="I14" s="50">
        <f>IF($A14&lt;Setup!$C$9,"",SUMIFS('Daily Log'!$G$4:$G$369,'Daily Log'!$A$4:$A$369,"&gt;="&amp;$A14,'Daily Log'!$A$4:$A$369,"&lt;="&amp;$A14+6))</f>
        <v/>
      </c>
      <c r="J14" s="50">
        <f>IF($A14&lt;Setup!$C$9,"",SUMIFS('Daily Log'!$H$4:$H$369,'Daily Log'!$A$4:$A$369,"&gt;="&amp;$A14,'Daily Log'!$A$4:$A$369,"&lt;="&amp;$A14+6))</f>
        <v/>
      </c>
      <c r="K14" s="50">
        <f>IF($A14&lt;Setup!$C$9,"",SUMIFS('Daily Log'!$I$4:$I$369,'Daily Log'!$A$4:$A$369,"&gt;="&amp;$A14,'Daily Log'!$A$4:$A$369,"&lt;="&amp;$A14+6))</f>
        <v/>
      </c>
      <c r="L14" s="50">
        <f>IF($A14&lt;Setup!$C$9,"",SUMIFS('Daily Log'!$J$4:$J$369,'Daily Log'!$A$4:$A$369,"&gt;="&amp;$A14,'Daily Log'!$A$4:$A$369,"&lt;="&amp;$A14+6))</f>
        <v/>
      </c>
      <c r="M14" s="50">
        <f>IF($A14&lt;Setup!$C$9,"",SUMIFS('Daily Log'!$K$4:$K$369,'Daily Log'!$A$4:$A$369,"&gt;="&amp;$A14,'Daily Log'!$A$4:$A$369,"&lt;="&amp;$A14+6))</f>
        <v/>
      </c>
      <c r="N14" s="56">
        <f>IF($A14&lt;Setup!$C$9,"",SUMIFS('Daily Log'!$L$4:$L$369,'Daily Log'!$A$4:$A$369,"&gt;="&amp;$A14,'Daily Log'!$A$4:$A$369,"&lt;="&amp;$A14+6))</f>
        <v/>
      </c>
      <c r="O14" s="56">
        <f>IF($A14&lt;Setup!$C$9,"",SUMIFS('Daily Log'!$M$4:$M$369,'Daily Log'!$A$4:$A$369,"&gt;="&amp;$A14,'Daily Log'!$A$4:$A$369,"&lt;="&amp;$A14+6))</f>
        <v/>
      </c>
      <c r="P14" s="59">
        <f>IFERROR(I14/H14,"")</f>
        <v/>
      </c>
      <c r="Q14" s="59">
        <f>IFERROR(J14/I14,"")</f>
        <v/>
      </c>
      <c r="R14" s="59">
        <f>IFERROR(K14/J14,"")</f>
        <v/>
      </c>
      <c r="S14" s="59">
        <f>IFERROR(L14/K14,"")</f>
        <v/>
      </c>
      <c r="T14" s="59">
        <f>IFERROR(M14/L14,"")</f>
        <v/>
      </c>
    </row>
    <row r="15">
      <c r="A15" s="96">
        <f>A14+7</f>
        <v/>
      </c>
      <c r="B15" s="97">
        <f>IF(A15="","",TEXT(A15,"d mmm"))</f>
        <v/>
      </c>
      <c r="C15" s="50">
        <f>IF($A15&lt;Setup!$C$9,"",SUMIFS('Daily Log'!$Q$4:$Q$369,'Daily Log'!$A$4:$A$369,"&gt;="&amp;$A15,'Daily Log'!$A$4:$A$369,"&lt;="&amp;$A15+6))</f>
        <v/>
      </c>
      <c r="D15" s="50">
        <f>IF($A15&lt;Setup!$C$9,"",SUMIFS('Daily Log'!$C$4:$C$369,'Daily Log'!$A$4:$A$369,"&gt;="&amp;$A15,'Daily Log'!$A$4:$A$369,"&lt;="&amp;$A15+6))</f>
        <v/>
      </c>
      <c r="E15" s="50">
        <f>IF($A15&lt;Setup!$C$9,"",SUMIFS('Daily Log'!$D$4:$D$369,'Daily Log'!$A$4:$A$369,"&gt;="&amp;$A15,'Daily Log'!$A$4:$A$369,"&lt;="&amp;$A15+6))</f>
        <v/>
      </c>
      <c r="F15" s="50">
        <f>IF($A15&lt;Setup!$C$9,"",SUMIFS('Daily Log'!$E$4:$E$369,'Daily Log'!$A$4:$A$369,"&gt;="&amp;$A15,'Daily Log'!$A$4:$A$369,"&lt;="&amp;$A15+6))</f>
        <v/>
      </c>
      <c r="G15" s="50">
        <f>IF($A15&lt;Setup!$C$9,"",SUMIFS('Daily Log'!$F$4:$F$369,'Daily Log'!$A$4:$A$369,"&gt;="&amp;$A15,'Daily Log'!$A$4:$A$369,"&lt;="&amp;$A15+6))</f>
        <v/>
      </c>
      <c r="H15" s="50">
        <f>IF($A15&lt;Setup!$C$9,"",IFERROR(F15+G15,""))</f>
        <v/>
      </c>
      <c r="I15" s="50">
        <f>IF($A15&lt;Setup!$C$9,"",SUMIFS('Daily Log'!$G$4:$G$369,'Daily Log'!$A$4:$A$369,"&gt;="&amp;$A15,'Daily Log'!$A$4:$A$369,"&lt;="&amp;$A15+6))</f>
        <v/>
      </c>
      <c r="J15" s="50">
        <f>IF($A15&lt;Setup!$C$9,"",SUMIFS('Daily Log'!$H$4:$H$369,'Daily Log'!$A$4:$A$369,"&gt;="&amp;$A15,'Daily Log'!$A$4:$A$369,"&lt;="&amp;$A15+6))</f>
        <v/>
      </c>
      <c r="K15" s="50">
        <f>IF($A15&lt;Setup!$C$9,"",SUMIFS('Daily Log'!$I$4:$I$369,'Daily Log'!$A$4:$A$369,"&gt;="&amp;$A15,'Daily Log'!$A$4:$A$369,"&lt;="&amp;$A15+6))</f>
        <v/>
      </c>
      <c r="L15" s="50">
        <f>IF($A15&lt;Setup!$C$9,"",SUMIFS('Daily Log'!$J$4:$J$369,'Daily Log'!$A$4:$A$369,"&gt;="&amp;$A15,'Daily Log'!$A$4:$A$369,"&lt;="&amp;$A15+6))</f>
        <v/>
      </c>
      <c r="M15" s="50">
        <f>IF($A15&lt;Setup!$C$9,"",SUMIFS('Daily Log'!$K$4:$K$369,'Daily Log'!$A$4:$A$369,"&gt;="&amp;$A15,'Daily Log'!$A$4:$A$369,"&lt;="&amp;$A15+6))</f>
        <v/>
      </c>
      <c r="N15" s="56">
        <f>IF($A15&lt;Setup!$C$9,"",SUMIFS('Daily Log'!$L$4:$L$369,'Daily Log'!$A$4:$A$369,"&gt;="&amp;$A15,'Daily Log'!$A$4:$A$369,"&lt;="&amp;$A15+6))</f>
        <v/>
      </c>
      <c r="O15" s="56">
        <f>IF($A15&lt;Setup!$C$9,"",SUMIFS('Daily Log'!$M$4:$M$369,'Daily Log'!$A$4:$A$369,"&gt;="&amp;$A15,'Daily Log'!$A$4:$A$369,"&lt;="&amp;$A15+6))</f>
        <v/>
      </c>
      <c r="P15" s="59">
        <f>IFERROR(I15/H15,"")</f>
        <v/>
      </c>
      <c r="Q15" s="59">
        <f>IFERROR(J15/I15,"")</f>
        <v/>
      </c>
      <c r="R15" s="59">
        <f>IFERROR(K15/J15,"")</f>
        <v/>
      </c>
      <c r="S15" s="59">
        <f>IFERROR(L15/K15,"")</f>
        <v/>
      </c>
      <c r="T15" s="59">
        <f>IFERROR(M15/L15,"")</f>
        <v/>
      </c>
    </row>
    <row r="16">
      <c r="A16" s="96">
        <f>A15+7</f>
        <v/>
      </c>
      <c r="B16" s="97">
        <f>IF(A16="","",TEXT(A16,"d mmm"))</f>
        <v/>
      </c>
      <c r="C16" s="50">
        <f>IF($A16&lt;Setup!$C$9,"",SUMIFS('Daily Log'!$Q$4:$Q$369,'Daily Log'!$A$4:$A$369,"&gt;="&amp;$A16,'Daily Log'!$A$4:$A$369,"&lt;="&amp;$A16+6))</f>
        <v/>
      </c>
      <c r="D16" s="50">
        <f>IF($A16&lt;Setup!$C$9,"",SUMIFS('Daily Log'!$C$4:$C$369,'Daily Log'!$A$4:$A$369,"&gt;="&amp;$A16,'Daily Log'!$A$4:$A$369,"&lt;="&amp;$A16+6))</f>
        <v/>
      </c>
      <c r="E16" s="50">
        <f>IF($A16&lt;Setup!$C$9,"",SUMIFS('Daily Log'!$D$4:$D$369,'Daily Log'!$A$4:$A$369,"&gt;="&amp;$A16,'Daily Log'!$A$4:$A$369,"&lt;="&amp;$A16+6))</f>
        <v/>
      </c>
      <c r="F16" s="50">
        <f>IF($A16&lt;Setup!$C$9,"",SUMIFS('Daily Log'!$E$4:$E$369,'Daily Log'!$A$4:$A$369,"&gt;="&amp;$A16,'Daily Log'!$A$4:$A$369,"&lt;="&amp;$A16+6))</f>
        <v/>
      </c>
      <c r="G16" s="50">
        <f>IF($A16&lt;Setup!$C$9,"",SUMIFS('Daily Log'!$F$4:$F$369,'Daily Log'!$A$4:$A$369,"&gt;="&amp;$A16,'Daily Log'!$A$4:$A$369,"&lt;="&amp;$A16+6))</f>
        <v/>
      </c>
      <c r="H16" s="50">
        <f>IF($A16&lt;Setup!$C$9,"",IFERROR(F16+G16,""))</f>
        <v/>
      </c>
      <c r="I16" s="50">
        <f>IF($A16&lt;Setup!$C$9,"",SUMIFS('Daily Log'!$G$4:$G$369,'Daily Log'!$A$4:$A$369,"&gt;="&amp;$A16,'Daily Log'!$A$4:$A$369,"&lt;="&amp;$A16+6))</f>
        <v/>
      </c>
      <c r="J16" s="50">
        <f>IF($A16&lt;Setup!$C$9,"",SUMIFS('Daily Log'!$H$4:$H$369,'Daily Log'!$A$4:$A$369,"&gt;="&amp;$A16,'Daily Log'!$A$4:$A$369,"&lt;="&amp;$A16+6))</f>
        <v/>
      </c>
      <c r="K16" s="50">
        <f>IF($A16&lt;Setup!$C$9,"",SUMIFS('Daily Log'!$I$4:$I$369,'Daily Log'!$A$4:$A$369,"&gt;="&amp;$A16,'Daily Log'!$A$4:$A$369,"&lt;="&amp;$A16+6))</f>
        <v/>
      </c>
      <c r="L16" s="50">
        <f>IF($A16&lt;Setup!$C$9,"",SUMIFS('Daily Log'!$J$4:$J$369,'Daily Log'!$A$4:$A$369,"&gt;="&amp;$A16,'Daily Log'!$A$4:$A$369,"&lt;="&amp;$A16+6))</f>
        <v/>
      </c>
      <c r="M16" s="50">
        <f>IF($A16&lt;Setup!$C$9,"",SUMIFS('Daily Log'!$K$4:$K$369,'Daily Log'!$A$4:$A$369,"&gt;="&amp;$A16,'Daily Log'!$A$4:$A$369,"&lt;="&amp;$A16+6))</f>
        <v/>
      </c>
      <c r="N16" s="56">
        <f>IF($A16&lt;Setup!$C$9,"",SUMIFS('Daily Log'!$L$4:$L$369,'Daily Log'!$A$4:$A$369,"&gt;="&amp;$A16,'Daily Log'!$A$4:$A$369,"&lt;="&amp;$A16+6))</f>
        <v/>
      </c>
      <c r="O16" s="56">
        <f>IF($A16&lt;Setup!$C$9,"",SUMIFS('Daily Log'!$M$4:$M$369,'Daily Log'!$A$4:$A$369,"&gt;="&amp;$A16,'Daily Log'!$A$4:$A$369,"&lt;="&amp;$A16+6))</f>
        <v/>
      </c>
      <c r="P16" s="59">
        <f>IFERROR(I16/H16,"")</f>
        <v/>
      </c>
      <c r="Q16" s="59">
        <f>IFERROR(J16/I16,"")</f>
        <v/>
      </c>
      <c r="R16" s="59">
        <f>IFERROR(K16/J16,"")</f>
        <v/>
      </c>
      <c r="S16" s="59">
        <f>IFERROR(L16/K16,"")</f>
        <v/>
      </c>
      <c r="T16" s="59">
        <f>IFERROR(M16/L16,"")</f>
        <v/>
      </c>
    </row>
  </sheetData>
  <mergeCells count="2">
    <mergeCell ref="A1:T1"/>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2026-09-16T22:04:27Z</dcterms:created>
  <dcterms:modified xsi:type="dcterms:W3CDTF">2026-09-16T22:04:28Z</dcterms:modified>
</cp:coreProperties>
</file>