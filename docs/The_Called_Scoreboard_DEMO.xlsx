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Cheat Sheet" sheetId="7" state="visible" r:id="rId7"/>
    <sheet name="Weekly Roll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3A3833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i val="1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color rgb="00F2F1EF"/>
      <sz val="8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3A3833"/>
      <sz val="9"/>
    </font>
    <font>
      <name val="Arial"/>
      <b val="1"/>
      <color rgb="001B1916"/>
      <sz val="11"/>
    </font>
    <font>
      <name val="Arial"/>
      <b val="1"/>
      <color rgb="00A83A2C"/>
      <sz val="9"/>
    </font>
    <font>
      <name val="Arial"/>
      <b val="1"/>
      <color rgb="002F6B3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D4B579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EFE1C6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D4B579"/>
      </left>
      <right style="medium">
        <color rgb="00D4B579"/>
      </right>
      <top style="medium">
        <color rgb="00D4B579"/>
      </top>
      <bottom style="medium">
        <color rgb="00D4B579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167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22" fillId="7" borderId="0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indent="1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0" fontId="29" fillId="2" borderId="0" applyAlignment="1" pivotButton="0" quotePrefix="0" xfId="0">
      <alignment horizontal="center" vertical="center" wrapText="1"/>
    </xf>
    <xf numFmtId="9" fontId="12" fillId="7" borderId="1" applyAlignment="1" pivotButton="0" quotePrefix="0" xfId="0">
      <alignment horizontal="center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30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vertical="center" indent="1"/>
    </xf>
    <xf numFmtId="9" fontId="16" fillId="6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31" fillId="7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right" vertical="top" indent="1"/>
    </xf>
    <xf numFmtId="0" fontId="32" fillId="0" borderId="0" applyAlignment="1" pivotButton="0" quotePrefix="0" xfId="0">
      <alignment horizontal="right" vertical="top" indent="1"/>
    </xf>
    <xf numFmtId="0" fontId="33" fillId="0" borderId="0" applyAlignment="1" pivotButton="0" quotePrefix="0" xfId="0">
      <alignment horizontal="right" vertical="top" indent="1"/>
    </xf>
    <xf numFmtId="0" fontId="8" fillId="0" borderId="0" applyAlignment="1" pivotButton="0" quotePrefix="0" xfId="0">
      <alignment horizontal="right" vertical="top" indent="1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EFE1C6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REFERENCE — open these when you need them</t>
        </is>
      </c>
    </row>
    <row r="17" ht="26" customHeight="1">
      <c r="B17" s="17" t="inlineStr">
        <is>
          <t>Cheat Sheet</t>
        </is>
      </c>
      <c r="D17" s="18" t="inlineStr">
        <is>
          <t>What every number means, what a low one is telling you, and exactly what to do about it. Read it once, then whenever a number looks wrong.</t>
        </is>
      </c>
    </row>
    <row r="18" ht="26" customHeight="1">
      <c r="B18" s="17" t="inlineStr">
        <is>
          <t>Weekly Rollup</t>
        </is>
      </c>
      <c r="D18" s="18" t="inlineStr">
        <is>
          <t>Feeds the charts on the dashboard. Nothing to fill in.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4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D18:H18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>
        <is>
          <t>Demo Client</t>
        </is>
      </c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>
        <is>
          <t>Francis</t>
        </is>
      </c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>
        <is>
          <t>@democlient</t>
        </is>
      </c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TODAY()-118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T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  <col width="12" customWidth="1" min="20" max="20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  <c r="T3" s="6" t="inlineStr">
        <is>
          <t>Logged on
(auto)</t>
        </is>
      </c>
    </row>
    <row r="4">
      <c r="A4" s="36">
        <f>Setup!$C$8</f>
        <v/>
      </c>
      <c r="B4" s="37">
        <f>IF(A4="","",TEXT(A4,"ddd"))</f>
        <v/>
      </c>
      <c r="C4" s="38" t="n">
        <v>6</v>
      </c>
      <c r="D4" s="38" t="n">
        <v>7</v>
      </c>
      <c r="E4" s="38" t="n">
        <v>26</v>
      </c>
      <c r="F4" s="38" t="n">
        <v>13</v>
      </c>
      <c r="G4" s="38" t="n">
        <v>7</v>
      </c>
      <c r="H4" s="38" t="n">
        <v>5</v>
      </c>
      <c r="I4" s="38" t="n">
        <v>1</v>
      </c>
      <c r="J4" s="38" t="n">
        <v>0</v>
      </c>
      <c r="K4" s="38" t="n">
        <v>0</v>
      </c>
      <c r="L4" s="39" t="n">
        <v>0</v>
      </c>
      <c r="M4" s="39" t="n">
        <v>0</v>
      </c>
      <c r="N4" s="38" t="n">
        <v>3205</v>
      </c>
      <c r="O4" s="40">
        <f>IF($Q4=0,"",IF(C4&gt;=C$2,1,0)+IF(D4&gt;=D$2,1,0)+IF(E4&gt;=E$2,1,0)+IF(F4&gt;=F$2,1,0))</f>
        <v/>
      </c>
      <c r="P4" s="41" t="inlineStr">
        <is>
          <t>First week — finding the rhythm</t>
        </is>
      </c>
      <c r="Q4" s="42">
        <f>IF(COUNT(C4:M4)&gt;0,1,0)</f>
        <v/>
      </c>
      <c r="R4" s="42">
        <f>IF(Q4=0,0,1)</f>
        <v/>
      </c>
      <c r="S4" s="42">
        <f>IF(O4="",0,IF(O4=4,1,0))</f>
        <v/>
      </c>
      <c r="T4" s="43">
        <f>IF(Q4=1,A4,"")</f>
        <v/>
      </c>
    </row>
    <row r="5">
      <c r="A5" s="36">
        <f>A4+1</f>
        <v/>
      </c>
      <c r="B5" s="37">
        <f>IF(A5="","",TEXT(A5,"ddd"))</f>
        <v/>
      </c>
      <c r="C5" s="38" t="n">
        <v>6</v>
      </c>
      <c r="D5" s="38" t="n">
        <v>7</v>
      </c>
      <c r="E5" s="38" t="n">
        <v>24</v>
      </c>
      <c r="F5" s="38" t="n">
        <v>11</v>
      </c>
      <c r="G5" s="38" t="n">
        <v>5</v>
      </c>
      <c r="H5" s="38" t="n">
        <v>2</v>
      </c>
      <c r="I5" s="38" t="n">
        <v>0</v>
      </c>
      <c r="J5" s="38" t="n">
        <v>0</v>
      </c>
      <c r="K5" s="38" t="n">
        <v>0</v>
      </c>
      <c r="L5" s="39" t="n">
        <v>0</v>
      </c>
      <c r="M5" s="39" t="n">
        <v>0</v>
      </c>
      <c r="N5" s="38" t="n">
        <v>3236</v>
      </c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  <c r="T5" s="43">
        <f>IF(Q5=1,A5,"")</f>
        <v/>
      </c>
    </row>
    <row r="6">
      <c r="A6" s="36">
        <f>A5+1</f>
        <v/>
      </c>
      <c r="B6" s="37">
        <f>IF(A6="","",TEXT(A6,"ddd"))</f>
        <v/>
      </c>
      <c r="C6" s="38" t="n">
        <v>2</v>
      </c>
      <c r="D6" s="38" t="n">
        <v>2</v>
      </c>
      <c r="E6" s="38" t="n">
        <v>8</v>
      </c>
      <c r="F6" s="38" t="n">
        <v>5</v>
      </c>
      <c r="G6" s="38" t="n">
        <v>3</v>
      </c>
      <c r="H6" s="38" t="n">
        <v>2</v>
      </c>
      <c r="I6" s="38" t="n">
        <v>1</v>
      </c>
      <c r="J6" s="38" t="n">
        <v>0</v>
      </c>
      <c r="K6" s="38" t="n">
        <v>0</v>
      </c>
      <c r="L6" s="39" t="n">
        <v>0</v>
      </c>
      <c r="M6" s="39" t="n">
        <v>0</v>
      </c>
      <c r="N6" s="38" t="n">
        <v>3250</v>
      </c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  <c r="T6" s="43">
        <f>IF(Q6=1,A6,"")</f>
        <v/>
      </c>
    </row>
    <row r="7">
      <c r="A7" s="36">
        <f>A6+1</f>
        <v/>
      </c>
      <c r="B7" s="37">
        <f>IF(A7="","",TEXT(A7,"ddd"))</f>
        <v/>
      </c>
      <c r="C7" s="38" t="n">
        <v>2</v>
      </c>
      <c r="D7" s="38" t="n">
        <v>2</v>
      </c>
      <c r="E7" s="38" t="n">
        <v>9</v>
      </c>
      <c r="F7" s="38" t="n">
        <v>4</v>
      </c>
      <c r="G7" s="38" t="n">
        <v>2</v>
      </c>
      <c r="H7" s="38" t="n">
        <v>1</v>
      </c>
      <c r="I7" s="38" t="n">
        <v>0</v>
      </c>
      <c r="J7" s="38" t="n">
        <v>1</v>
      </c>
      <c r="K7" s="38" t="n">
        <v>0</v>
      </c>
      <c r="L7" s="39" t="n">
        <v>0</v>
      </c>
      <c r="M7" s="39" t="n">
        <v>0</v>
      </c>
      <c r="N7" s="38" t="n">
        <v>3273</v>
      </c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  <c r="T7" s="43">
        <f>IF(Q7=1,A7,"")</f>
        <v/>
      </c>
    </row>
    <row r="8">
      <c r="A8" s="36">
        <f>A7+1</f>
        <v/>
      </c>
      <c r="B8" s="37">
        <f>IF(A8="","",TEXT(A8,"ddd"))</f>
        <v/>
      </c>
      <c r="C8" s="38" t="n">
        <v>7</v>
      </c>
      <c r="D8" s="38" t="n">
        <v>5</v>
      </c>
      <c r="E8" s="38" t="n">
        <v>24</v>
      </c>
      <c r="F8" s="38" t="n">
        <v>11</v>
      </c>
      <c r="G8" s="38" t="n">
        <v>7</v>
      </c>
      <c r="H8" s="38" t="n">
        <v>4</v>
      </c>
      <c r="I8" s="38" t="n">
        <v>1</v>
      </c>
      <c r="J8" s="38" t="n">
        <v>0</v>
      </c>
      <c r="K8" s="38" t="n">
        <v>0</v>
      </c>
      <c r="L8" s="39" t="n">
        <v>0</v>
      </c>
      <c r="M8" s="39" t="n">
        <v>0</v>
      </c>
      <c r="N8" s="38" t="n">
        <v>3296</v>
      </c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  <c r="T8" s="43">
        <f>IF(Q8=1,A8,"")</f>
        <v/>
      </c>
    </row>
    <row r="9">
      <c r="A9" s="36">
        <f>A8+1</f>
        <v/>
      </c>
      <c r="B9" s="37">
        <f>IF(A9="","",TEXT(A9,"ddd"))</f>
        <v/>
      </c>
      <c r="C9" s="38" t="n">
        <v>7</v>
      </c>
      <c r="D9" s="38" t="n">
        <v>6</v>
      </c>
      <c r="E9" s="38" t="n">
        <v>23</v>
      </c>
      <c r="F9" s="38" t="n">
        <v>10</v>
      </c>
      <c r="G9" s="38" t="n">
        <v>7</v>
      </c>
      <c r="H9" s="38" t="n">
        <v>3</v>
      </c>
      <c r="I9" s="38" t="n">
        <v>1</v>
      </c>
      <c r="J9" s="38" t="n">
        <v>1</v>
      </c>
      <c r="K9" s="38" t="n">
        <v>1</v>
      </c>
      <c r="L9" s="39" t="n">
        <v>1500</v>
      </c>
      <c r="M9" s="39" t="n">
        <v>1500</v>
      </c>
      <c r="N9" s="38" t="n">
        <v>3308</v>
      </c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  <c r="T9" s="43">
        <f>IF(Q9=1,A9,"")</f>
        <v/>
      </c>
    </row>
    <row r="10">
      <c r="A10" s="36">
        <f>A9+1</f>
        <v/>
      </c>
      <c r="B10" s="37">
        <f>IF(A10="","",TEXT(A10,"ddd"))</f>
        <v/>
      </c>
      <c r="C10" s="38" t="n">
        <v>6</v>
      </c>
      <c r="D10" s="38" t="n">
        <v>6</v>
      </c>
      <c r="E10" s="38" t="n">
        <v>20</v>
      </c>
      <c r="F10" s="38" t="n">
        <v>10</v>
      </c>
      <c r="G10" s="38" t="n">
        <v>7</v>
      </c>
      <c r="H10" s="38" t="n">
        <v>3</v>
      </c>
      <c r="I10" s="38" t="n">
        <v>1</v>
      </c>
      <c r="J10" s="38" t="n">
        <v>0</v>
      </c>
      <c r="K10" s="38" t="n">
        <v>0</v>
      </c>
      <c r="L10" s="39" t="n">
        <v>0</v>
      </c>
      <c r="M10" s="39" t="n">
        <v>0</v>
      </c>
      <c r="N10" s="38" t="n">
        <v>3332</v>
      </c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  <c r="T10" s="43">
        <f>IF(Q10=1,A10,"")</f>
        <v/>
      </c>
    </row>
    <row r="11">
      <c r="A11" s="36">
        <f>A10+1</f>
        <v/>
      </c>
      <c r="B11" s="37">
        <f>IF(A11="","",TEXT(A11,"ddd"))</f>
        <v/>
      </c>
      <c r="C11" s="38" t="n">
        <v>6</v>
      </c>
      <c r="D11" s="38" t="n">
        <v>7</v>
      </c>
      <c r="E11" s="38" t="n">
        <v>23</v>
      </c>
      <c r="F11" s="38" t="n">
        <v>13</v>
      </c>
      <c r="G11" s="38" t="n">
        <v>5</v>
      </c>
      <c r="H11" s="38" t="n">
        <v>3</v>
      </c>
      <c r="I11" s="38" t="n">
        <v>1</v>
      </c>
      <c r="J11" s="38" t="n">
        <v>1</v>
      </c>
      <c r="K11" s="38" t="n">
        <v>1</v>
      </c>
      <c r="L11" s="39" t="n">
        <v>2000</v>
      </c>
      <c r="M11" s="39" t="n">
        <v>2000</v>
      </c>
      <c r="N11" s="38" t="n">
        <v>3354</v>
      </c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  <c r="T11" s="43">
        <f>IF(Q11=1,A11,"")</f>
        <v/>
      </c>
    </row>
    <row r="12">
      <c r="A12" s="36">
        <f>A11+1</f>
        <v/>
      </c>
      <c r="B12" s="37">
        <f>IF(A12="","",TEXT(A12,"ddd"))</f>
        <v/>
      </c>
      <c r="C12" s="38" t="n">
        <v>5</v>
      </c>
      <c r="D12" s="38" t="n">
        <v>5</v>
      </c>
      <c r="E12" s="38" t="n">
        <v>21</v>
      </c>
      <c r="F12" s="38" t="n">
        <v>10</v>
      </c>
      <c r="G12" s="38" t="n">
        <v>4</v>
      </c>
      <c r="H12" s="38" t="n">
        <v>2</v>
      </c>
      <c r="I12" s="38" t="n">
        <v>1</v>
      </c>
      <c r="J12" s="38" t="n">
        <v>1</v>
      </c>
      <c r="K12" s="38" t="n">
        <v>1</v>
      </c>
      <c r="L12" s="39" t="n">
        <v>2000</v>
      </c>
      <c r="M12" s="39" t="n">
        <v>3500</v>
      </c>
      <c r="N12" s="38" t="n">
        <v>3367</v>
      </c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  <c r="T12" s="43">
        <f>IF(Q12=1,A12,"")</f>
        <v/>
      </c>
    </row>
    <row r="13">
      <c r="A13" s="36">
        <f>A12+1</f>
        <v/>
      </c>
      <c r="B13" s="37">
        <f>IF(A13="","",TEXT(A13,"ddd"))</f>
        <v/>
      </c>
      <c r="C13" s="38" t="n">
        <v>2</v>
      </c>
      <c r="D13" s="38" t="n">
        <v>2</v>
      </c>
      <c r="E13" s="38" t="n">
        <v>8</v>
      </c>
      <c r="F13" s="38" t="n">
        <v>4</v>
      </c>
      <c r="G13" s="38" t="n">
        <v>2</v>
      </c>
      <c r="H13" s="38" t="n">
        <v>1</v>
      </c>
      <c r="I13" s="38" t="n">
        <v>0</v>
      </c>
      <c r="J13" s="38" t="n">
        <v>0</v>
      </c>
      <c r="K13" s="38" t="n">
        <v>0</v>
      </c>
      <c r="L13" s="39" t="n">
        <v>0</v>
      </c>
      <c r="M13" s="39" t="n">
        <v>0</v>
      </c>
      <c r="N13" s="38" t="n">
        <v>3394</v>
      </c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  <c r="T13" s="43">
        <f>IF(Q13=1,A13,"")</f>
        <v/>
      </c>
    </row>
    <row r="14">
      <c r="A14" s="36">
        <f>A13+1</f>
        <v/>
      </c>
      <c r="B14" s="37">
        <f>IF(A14="","",TEXT(A14,"ddd"))</f>
        <v/>
      </c>
      <c r="C14" s="38" t="n">
        <v>2</v>
      </c>
      <c r="D14" s="38" t="n">
        <v>2</v>
      </c>
      <c r="E14" s="38" t="n">
        <v>7</v>
      </c>
      <c r="F14" s="38" t="n">
        <v>4</v>
      </c>
      <c r="G14" s="38" t="n">
        <v>2</v>
      </c>
      <c r="H14" s="38" t="n">
        <v>1</v>
      </c>
      <c r="I14" s="38" t="n">
        <v>0</v>
      </c>
      <c r="J14" s="38" t="n">
        <v>0</v>
      </c>
      <c r="K14" s="38" t="n">
        <v>0</v>
      </c>
      <c r="L14" s="39" t="n">
        <v>0</v>
      </c>
      <c r="M14" s="39" t="n">
        <v>0</v>
      </c>
      <c r="N14" s="38" t="n">
        <v>3406</v>
      </c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  <c r="T14" s="43">
        <f>IF(Q14=1,A14,"")</f>
        <v/>
      </c>
    </row>
    <row r="15">
      <c r="A15" s="36">
        <f>A14+1</f>
        <v/>
      </c>
      <c r="B15" s="37">
        <f>IF(A15="","",TEXT(A15,"ddd"))</f>
        <v/>
      </c>
      <c r="C15" s="38" t="n">
        <v>5</v>
      </c>
      <c r="D15" s="38" t="n">
        <v>5</v>
      </c>
      <c r="E15" s="38" t="n">
        <v>21</v>
      </c>
      <c r="F15" s="38" t="n">
        <v>13</v>
      </c>
      <c r="G15" s="38" t="n">
        <v>5</v>
      </c>
      <c r="H15" s="38" t="n">
        <v>3</v>
      </c>
      <c r="I15" s="38" t="n">
        <v>1</v>
      </c>
      <c r="J15" s="38" t="n">
        <v>0</v>
      </c>
      <c r="K15" s="38" t="n">
        <v>0</v>
      </c>
      <c r="L15" s="39" t="n">
        <v>0</v>
      </c>
      <c r="M15" s="39" t="n">
        <v>0</v>
      </c>
      <c r="N15" s="38" t="n">
        <v>3424</v>
      </c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  <c r="T15" s="43">
        <f>IF(Q15=1,A15,"")</f>
        <v/>
      </c>
    </row>
    <row r="16">
      <c r="A16" s="36">
        <f>A15+1</f>
        <v/>
      </c>
      <c r="B16" s="37">
        <f>IF(A16="","",TEXT(A16,"ddd"))</f>
        <v/>
      </c>
      <c r="C16" s="38" t="n">
        <v>6</v>
      </c>
      <c r="D16" s="38" t="n">
        <v>5</v>
      </c>
      <c r="E16" s="38" t="n">
        <v>20</v>
      </c>
      <c r="F16" s="38" t="n">
        <v>10</v>
      </c>
      <c r="G16" s="38" t="n">
        <v>5</v>
      </c>
      <c r="H16" s="38" t="n">
        <v>3</v>
      </c>
      <c r="I16" s="38" t="n">
        <v>1</v>
      </c>
      <c r="J16" s="38" t="n">
        <v>1</v>
      </c>
      <c r="K16" s="38" t="n">
        <v>0</v>
      </c>
      <c r="L16" s="39" t="n">
        <v>0</v>
      </c>
      <c r="M16" s="39" t="n">
        <v>0</v>
      </c>
      <c r="N16" s="38" t="n">
        <v>3437</v>
      </c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  <c r="T16" s="43">
        <f>IF(Q16=1,A16,"")</f>
        <v/>
      </c>
    </row>
    <row r="17">
      <c r="A17" s="36">
        <f>A16+1</f>
        <v/>
      </c>
      <c r="B17" s="37">
        <f>IF(A17="","",TEXT(A17,"ddd"))</f>
        <v/>
      </c>
      <c r="C17" s="38" t="n">
        <v>7</v>
      </c>
      <c r="D17" s="38" t="n">
        <v>6</v>
      </c>
      <c r="E17" s="38" t="n">
        <v>26</v>
      </c>
      <c r="F17" s="38" t="n">
        <v>11</v>
      </c>
      <c r="G17" s="38" t="n">
        <v>9</v>
      </c>
      <c r="H17" s="38" t="n">
        <v>4</v>
      </c>
      <c r="I17" s="38" t="n">
        <v>1</v>
      </c>
      <c r="J17" s="38" t="n">
        <v>0</v>
      </c>
      <c r="K17" s="38" t="n">
        <v>0</v>
      </c>
      <c r="L17" s="39" t="n">
        <v>0</v>
      </c>
      <c r="M17" s="39" t="n">
        <v>0</v>
      </c>
      <c r="N17" s="38" t="n">
        <v>3465</v>
      </c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  <c r="T17" s="43">
        <f>IF(Q17=1,A17,"")</f>
        <v/>
      </c>
    </row>
    <row r="18">
      <c r="A18" s="36">
        <f>A17+1</f>
        <v/>
      </c>
      <c r="B18" s="37">
        <f>IF(A18="","",TEXT(A18,"ddd"))</f>
        <v/>
      </c>
      <c r="C18" s="38" t="n">
        <v>5</v>
      </c>
      <c r="D18" s="38" t="n">
        <v>7</v>
      </c>
      <c r="E18" s="38" t="n">
        <v>21</v>
      </c>
      <c r="F18" s="38" t="n">
        <v>11</v>
      </c>
      <c r="G18" s="38" t="n">
        <v>7</v>
      </c>
      <c r="H18" s="38" t="n">
        <v>5</v>
      </c>
      <c r="I18" s="38" t="n">
        <v>1</v>
      </c>
      <c r="J18" s="38" t="n">
        <v>0</v>
      </c>
      <c r="K18" s="38" t="n">
        <v>0</v>
      </c>
      <c r="L18" s="39" t="n">
        <v>0</v>
      </c>
      <c r="M18" s="39" t="n">
        <v>0</v>
      </c>
      <c r="N18" s="38" t="n">
        <v>3489</v>
      </c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  <c r="T18" s="43">
        <f>IF(Q18=1,A18,"")</f>
        <v/>
      </c>
    </row>
    <row r="19">
      <c r="A19" s="36">
        <f>A18+1</f>
        <v/>
      </c>
      <c r="B19" s="37">
        <f>IF(A19="","",TEXT(A19,"ddd"))</f>
        <v/>
      </c>
      <c r="C19" s="38" t="n">
        <v>7</v>
      </c>
      <c r="D19" s="38" t="n">
        <v>5</v>
      </c>
      <c r="E19" s="38" t="n">
        <v>23</v>
      </c>
      <c r="F19" s="38" t="n">
        <v>10</v>
      </c>
      <c r="G19" s="38" t="n">
        <v>5</v>
      </c>
      <c r="H19" s="38" t="n">
        <v>2</v>
      </c>
      <c r="I19" s="38" t="n">
        <v>1</v>
      </c>
      <c r="J19" s="38" t="n">
        <v>1</v>
      </c>
      <c r="K19" s="38" t="n">
        <v>0</v>
      </c>
      <c r="L19" s="39" t="n">
        <v>0</v>
      </c>
      <c r="M19" s="39" t="n">
        <v>0</v>
      </c>
      <c r="N19" s="38" t="n">
        <v>3506</v>
      </c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  <c r="T19" s="43">
        <f>IF(Q19=1,A19,"")</f>
        <v/>
      </c>
    </row>
    <row r="20">
      <c r="A20" s="36">
        <f>A19+1</f>
        <v/>
      </c>
      <c r="B20" s="37">
        <f>IF(A20="","",TEXT(A20,"ddd"))</f>
        <v/>
      </c>
      <c r="C20" s="38" t="n">
        <v>2</v>
      </c>
      <c r="D20" s="38" t="n">
        <v>2</v>
      </c>
      <c r="E20" s="38" t="n">
        <v>8</v>
      </c>
      <c r="F20" s="38" t="n">
        <v>4</v>
      </c>
      <c r="G20" s="38" t="n">
        <v>2</v>
      </c>
      <c r="H20" s="38" t="n">
        <v>1</v>
      </c>
      <c r="I20" s="38" t="n">
        <v>0</v>
      </c>
      <c r="J20" s="38" t="n">
        <v>1</v>
      </c>
      <c r="K20" s="38" t="n">
        <v>0</v>
      </c>
      <c r="L20" s="39" t="n">
        <v>0</v>
      </c>
      <c r="M20" s="39" t="n">
        <v>0</v>
      </c>
      <c r="N20" s="38" t="n">
        <v>3535</v>
      </c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  <c r="T20" s="43">
        <f>IF(Q20=1,A20,"")</f>
        <v/>
      </c>
    </row>
    <row r="21">
      <c r="A21" s="36">
        <f>A20+1</f>
        <v/>
      </c>
      <c r="B21" s="37">
        <f>IF(A21="","",TEXT(A21,"ddd"))</f>
        <v/>
      </c>
      <c r="C21" s="38" t="n">
        <v>2</v>
      </c>
      <c r="D21" s="38" t="n">
        <v>2</v>
      </c>
      <c r="E21" s="38" t="n">
        <v>7</v>
      </c>
      <c r="F21" s="38" t="n">
        <v>4</v>
      </c>
      <c r="G21" s="38" t="n">
        <v>2</v>
      </c>
      <c r="H21" s="38" t="n">
        <v>1</v>
      </c>
      <c r="I21" s="38" t="n">
        <v>0</v>
      </c>
      <c r="J21" s="38" t="n">
        <v>0</v>
      </c>
      <c r="K21" s="38" t="n">
        <v>0</v>
      </c>
      <c r="L21" s="39" t="n">
        <v>0</v>
      </c>
      <c r="M21" s="39" t="n">
        <v>0</v>
      </c>
      <c r="N21" s="38" t="n">
        <v>3546</v>
      </c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  <c r="T21" s="43">
        <f>IF(Q21=1,A21,"")</f>
        <v/>
      </c>
    </row>
    <row r="22">
      <c r="A22" s="36">
        <f>A21+1</f>
        <v/>
      </c>
      <c r="B22" s="37">
        <f>IF(A22="","",TEXT(A22,"ddd"))</f>
        <v/>
      </c>
      <c r="C22" s="38" t="n">
        <v>6</v>
      </c>
      <c r="D22" s="38" t="n">
        <v>6</v>
      </c>
      <c r="E22" s="38" t="n">
        <v>23</v>
      </c>
      <c r="F22" s="38" t="n">
        <v>11</v>
      </c>
      <c r="G22" s="38" t="n">
        <v>4</v>
      </c>
      <c r="H22" s="38" t="n">
        <v>2</v>
      </c>
      <c r="I22" s="38" t="n">
        <v>1</v>
      </c>
      <c r="J22" s="38" t="n">
        <v>0</v>
      </c>
      <c r="K22" s="38" t="n">
        <v>0</v>
      </c>
      <c r="L22" s="39" t="n">
        <v>0</v>
      </c>
      <c r="M22" s="39" t="n">
        <v>0</v>
      </c>
      <c r="N22" s="38" t="n">
        <v>3573</v>
      </c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  <c r="T22" s="43">
        <f>IF(Q22=1,A22,"")</f>
        <v/>
      </c>
    </row>
    <row r="23">
      <c r="A23" s="36">
        <f>A22+1</f>
        <v/>
      </c>
      <c r="B23" s="37">
        <f>IF(A23="","",TEXT(A23,"ddd"))</f>
        <v/>
      </c>
      <c r="C23" s="38" t="n">
        <v>5</v>
      </c>
      <c r="D23" s="38" t="n">
        <v>5</v>
      </c>
      <c r="E23" s="38" t="n">
        <v>22</v>
      </c>
      <c r="F23" s="38" t="n">
        <v>11</v>
      </c>
      <c r="G23" s="38" t="n">
        <v>8</v>
      </c>
      <c r="H23" s="38" t="n">
        <v>6</v>
      </c>
      <c r="I23" s="38" t="n">
        <v>2</v>
      </c>
      <c r="J23" s="38" t="n">
        <v>1</v>
      </c>
      <c r="K23" s="38" t="n">
        <v>0</v>
      </c>
      <c r="L23" s="39" t="n">
        <v>0</v>
      </c>
      <c r="M23" s="39" t="n">
        <v>0</v>
      </c>
      <c r="N23" s="38" t="n">
        <v>3586</v>
      </c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  <c r="T23" s="43">
        <f>IF(Q23=1,A23,"")</f>
        <v/>
      </c>
    </row>
    <row r="24">
      <c r="A24" s="36">
        <f>A23+1</f>
        <v/>
      </c>
      <c r="B24" s="37">
        <f>IF(A24="","",TEXT(A24,"ddd"))</f>
        <v/>
      </c>
      <c r="C24" s="38" t="n">
        <v>7</v>
      </c>
      <c r="D24" s="38" t="n">
        <v>5</v>
      </c>
      <c r="E24" s="38" t="n">
        <v>20</v>
      </c>
      <c r="F24" s="38" t="n">
        <v>13</v>
      </c>
      <c r="G24" s="38" t="n">
        <v>8</v>
      </c>
      <c r="H24" s="38" t="n">
        <v>5</v>
      </c>
      <c r="I24" s="38" t="n">
        <v>2</v>
      </c>
      <c r="J24" s="38" t="n">
        <v>2</v>
      </c>
      <c r="K24" s="38" t="n">
        <v>0</v>
      </c>
      <c r="L24" s="39" t="n">
        <v>0</v>
      </c>
      <c r="M24" s="39" t="n">
        <v>0</v>
      </c>
      <c r="N24" s="38" t="n">
        <v>3605</v>
      </c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  <c r="T24" s="43">
        <f>IF(Q24=1,A24,"")</f>
        <v/>
      </c>
    </row>
    <row r="25">
      <c r="A25" s="36">
        <f>A24+1</f>
        <v/>
      </c>
      <c r="B25" s="37">
        <f>IF(A25="","",TEXT(A25,"ddd"))</f>
        <v/>
      </c>
      <c r="C25" s="38" t="n">
        <v>5</v>
      </c>
      <c r="D25" s="38" t="n">
        <v>5</v>
      </c>
      <c r="E25" s="38" t="n">
        <v>20</v>
      </c>
      <c r="F25" s="38" t="n">
        <v>13</v>
      </c>
      <c r="G25" s="38" t="n">
        <v>6</v>
      </c>
      <c r="H25" s="38" t="n">
        <v>4</v>
      </c>
      <c r="I25" s="38" t="n">
        <v>2</v>
      </c>
      <c r="J25" s="38" t="n">
        <v>2</v>
      </c>
      <c r="K25" s="38" t="n">
        <v>0</v>
      </c>
      <c r="L25" s="39" t="n">
        <v>0</v>
      </c>
      <c r="M25" s="39" t="n">
        <v>0</v>
      </c>
      <c r="N25" s="38" t="n">
        <v>3625</v>
      </c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  <c r="T25" s="43">
        <f>IF(Q25=1,A25,"")</f>
        <v/>
      </c>
    </row>
    <row r="26">
      <c r="A26" s="36">
        <f>A25+1</f>
        <v/>
      </c>
      <c r="B26" s="37">
        <f>IF(A26="","",TEXT(A26,"ddd"))</f>
        <v/>
      </c>
      <c r="C26" s="38" t="n">
        <v>5</v>
      </c>
      <c r="D26" s="38" t="n">
        <v>7</v>
      </c>
      <c r="E26" s="38" t="n">
        <v>23</v>
      </c>
      <c r="F26" s="38" t="n">
        <v>10</v>
      </c>
      <c r="G26" s="38" t="n">
        <v>8</v>
      </c>
      <c r="H26" s="38" t="n">
        <v>4</v>
      </c>
      <c r="I26" s="38" t="n">
        <v>1</v>
      </c>
      <c r="J26" s="38" t="n">
        <v>1</v>
      </c>
      <c r="K26" s="38" t="n">
        <v>0</v>
      </c>
      <c r="L26" s="39" t="n">
        <v>0</v>
      </c>
      <c r="M26" s="39" t="n">
        <v>0</v>
      </c>
      <c r="N26" s="38" t="n">
        <v>3646</v>
      </c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  <c r="T26" s="43">
        <f>IF(Q26=1,A26,"")</f>
        <v/>
      </c>
    </row>
    <row r="27">
      <c r="A27" s="36">
        <f>A26+1</f>
        <v/>
      </c>
      <c r="B27" s="37">
        <f>IF(A27="","",TEXT(A27,"ddd"))</f>
        <v/>
      </c>
      <c r="C27" s="38" t="n">
        <v>2</v>
      </c>
      <c r="D27" s="38" t="n">
        <v>2</v>
      </c>
      <c r="E27" s="38" t="n">
        <v>7</v>
      </c>
      <c r="F27" s="38" t="n">
        <v>4</v>
      </c>
      <c r="G27" s="38" t="n">
        <v>1</v>
      </c>
      <c r="H27" s="38" t="n">
        <v>1</v>
      </c>
      <c r="I27" s="38" t="n">
        <v>0</v>
      </c>
      <c r="J27" s="38" t="n">
        <v>0</v>
      </c>
      <c r="K27" s="38" t="n">
        <v>0</v>
      </c>
      <c r="L27" s="39" t="n">
        <v>0</v>
      </c>
      <c r="M27" s="39" t="n">
        <v>0</v>
      </c>
      <c r="N27" s="38" t="n">
        <v>3678</v>
      </c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  <c r="T27" s="43">
        <f>IF(Q27=1,A27,"")</f>
        <v/>
      </c>
    </row>
    <row r="28">
      <c r="A28" s="36">
        <f>A27+1</f>
        <v/>
      </c>
      <c r="B28" s="37">
        <f>IF(A28="","",TEXT(A28,"ddd"))</f>
        <v/>
      </c>
      <c r="C28" s="38" t="n">
        <v>2</v>
      </c>
      <c r="D28" s="38" t="n">
        <v>2</v>
      </c>
      <c r="E28" s="38" t="n">
        <v>9</v>
      </c>
      <c r="F28" s="38" t="n">
        <v>5</v>
      </c>
      <c r="G28" s="38" t="n">
        <v>3</v>
      </c>
      <c r="H28" s="38" t="n">
        <v>2</v>
      </c>
      <c r="I28" s="38" t="n">
        <v>0</v>
      </c>
      <c r="J28" s="38" t="n">
        <v>0</v>
      </c>
      <c r="K28" s="38" t="n">
        <v>0</v>
      </c>
      <c r="L28" s="39" t="n">
        <v>0</v>
      </c>
      <c r="M28" s="39" t="n">
        <v>0</v>
      </c>
      <c r="N28" s="38" t="n">
        <v>3703</v>
      </c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  <c r="T28" s="43">
        <f>IF(Q28=1,A28,"")</f>
        <v/>
      </c>
    </row>
    <row r="29">
      <c r="A29" s="36">
        <f>A28+1</f>
        <v/>
      </c>
      <c r="B29" s="37">
        <f>IF(A29="","",TEXT(A29,"ddd"))</f>
        <v/>
      </c>
      <c r="C29" s="38" t="n">
        <v>5</v>
      </c>
      <c r="D29" s="38" t="n">
        <v>6</v>
      </c>
      <c r="E29" s="38" t="n">
        <v>24</v>
      </c>
      <c r="F29" s="38" t="n">
        <v>10</v>
      </c>
      <c r="G29" s="38" t="n">
        <v>6</v>
      </c>
      <c r="H29" s="38" t="n">
        <v>3</v>
      </c>
      <c r="I29" s="38" t="n">
        <v>1</v>
      </c>
      <c r="J29" s="38" t="n">
        <v>0</v>
      </c>
      <c r="K29" s="38" t="n">
        <v>0</v>
      </c>
      <c r="L29" s="39" t="n">
        <v>0</v>
      </c>
      <c r="M29" s="39" t="n">
        <v>0</v>
      </c>
      <c r="N29" s="38" t="n">
        <v>3727</v>
      </c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  <c r="T29" s="43">
        <f>IF(Q29=1,A29,"")</f>
        <v/>
      </c>
    </row>
    <row r="30">
      <c r="A30" s="36">
        <f>A29+1</f>
        <v/>
      </c>
      <c r="B30" s="37">
        <f>IF(A30="","",TEXT(A30,"ddd"))</f>
        <v/>
      </c>
      <c r="C30" s="38" t="n">
        <v>7</v>
      </c>
      <c r="D30" s="38" t="n">
        <v>7</v>
      </c>
      <c r="E30" s="38" t="n">
        <v>23</v>
      </c>
      <c r="F30" s="38" t="n">
        <v>12</v>
      </c>
      <c r="G30" s="38" t="n">
        <v>8</v>
      </c>
      <c r="H30" s="38" t="n">
        <v>4</v>
      </c>
      <c r="I30" s="38" t="n">
        <v>1</v>
      </c>
      <c r="J30" s="38" t="n">
        <v>1</v>
      </c>
      <c r="K30" s="38" t="n">
        <v>0</v>
      </c>
      <c r="L30" s="39" t="n">
        <v>0</v>
      </c>
      <c r="M30" s="39" t="n">
        <v>0</v>
      </c>
      <c r="N30" s="38" t="n">
        <v>3746</v>
      </c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  <c r="T30" s="43">
        <f>IF(Q30=1,A30,"")</f>
        <v/>
      </c>
    </row>
    <row r="31">
      <c r="A31" s="36">
        <f>A30+1</f>
        <v/>
      </c>
      <c r="B31" s="37">
        <f>IF(A31="","",TEXT(A31,"ddd"))</f>
        <v/>
      </c>
      <c r="C31" s="38" t="n">
        <v>7</v>
      </c>
      <c r="D31" s="38" t="n">
        <v>6</v>
      </c>
      <c r="E31" s="38" t="n">
        <v>23</v>
      </c>
      <c r="F31" s="38" t="n">
        <v>11</v>
      </c>
      <c r="G31" s="38" t="n">
        <v>6</v>
      </c>
      <c r="H31" s="38" t="n">
        <v>4</v>
      </c>
      <c r="I31" s="38" t="n">
        <v>1</v>
      </c>
      <c r="J31" s="38" t="n">
        <v>1</v>
      </c>
      <c r="K31" s="38" t="n">
        <v>0</v>
      </c>
      <c r="L31" s="39" t="n">
        <v>0</v>
      </c>
      <c r="M31" s="39" t="n">
        <v>0</v>
      </c>
      <c r="N31" s="38" t="n">
        <v>3761</v>
      </c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  <c r="T31" s="43">
        <f>IF(Q31=1,A31,"")</f>
        <v/>
      </c>
    </row>
    <row r="32">
      <c r="A32" s="36">
        <f>A31+1</f>
        <v/>
      </c>
      <c r="B32" s="37">
        <f>IF(A32="","",TEXT(A32,"ddd"))</f>
        <v/>
      </c>
      <c r="C32" s="38" t="n">
        <v>5</v>
      </c>
      <c r="D32" s="38" t="n">
        <v>6</v>
      </c>
      <c r="E32" s="38" t="n">
        <v>21</v>
      </c>
      <c r="F32" s="38" t="n">
        <v>12</v>
      </c>
      <c r="G32" s="38" t="n">
        <v>5</v>
      </c>
      <c r="H32" s="38" t="n">
        <v>2</v>
      </c>
      <c r="I32" s="38" t="n">
        <v>1</v>
      </c>
      <c r="J32" s="38" t="n">
        <v>0</v>
      </c>
      <c r="K32" s="38" t="n">
        <v>0</v>
      </c>
      <c r="L32" s="39" t="n">
        <v>0</v>
      </c>
      <c r="M32" s="39" t="n">
        <v>0</v>
      </c>
      <c r="N32" s="38" t="n">
        <v>3771</v>
      </c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  <c r="T32" s="43">
        <f>IF(Q32=1,A32,"")</f>
        <v/>
      </c>
    </row>
    <row r="33">
      <c r="A33" s="36">
        <f>A32+1</f>
        <v/>
      </c>
      <c r="B33" s="37">
        <f>IF(A33="","",TEXT(A33,"ddd"))</f>
        <v/>
      </c>
      <c r="C33" s="38" t="n">
        <v>7</v>
      </c>
      <c r="D33" s="38" t="n">
        <v>5</v>
      </c>
      <c r="E33" s="38" t="n">
        <v>22</v>
      </c>
      <c r="F33" s="38" t="n">
        <v>11</v>
      </c>
      <c r="G33" s="38" t="n">
        <v>5</v>
      </c>
      <c r="H33" s="38" t="n">
        <v>3</v>
      </c>
      <c r="I33" s="38" t="n">
        <v>1</v>
      </c>
      <c r="J33" s="38" t="n">
        <v>0</v>
      </c>
      <c r="K33" s="38" t="n">
        <v>0</v>
      </c>
      <c r="L33" s="39" t="n">
        <v>0</v>
      </c>
      <c r="M33" s="39" t="n">
        <v>0</v>
      </c>
      <c r="N33" s="38" t="n">
        <v>3792</v>
      </c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  <c r="T33" s="43">
        <f>IF(Q33=1,A33,"")</f>
        <v/>
      </c>
    </row>
    <row r="34">
      <c r="A34" s="36">
        <f>A33+1</f>
        <v/>
      </c>
      <c r="B34" s="37">
        <f>IF(A34="","",TEXT(A34,"ddd"))</f>
        <v/>
      </c>
      <c r="C34" s="38" t="n">
        <v>2</v>
      </c>
      <c r="D34" s="38" t="n">
        <v>2</v>
      </c>
      <c r="E34" s="38" t="n">
        <v>8</v>
      </c>
      <c r="F34" s="38" t="n">
        <v>4</v>
      </c>
      <c r="G34" s="38" t="n">
        <v>3</v>
      </c>
      <c r="H34" s="38" t="n">
        <v>2</v>
      </c>
      <c r="I34" s="38" t="n">
        <v>1</v>
      </c>
      <c r="J34" s="38" t="n">
        <v>1</v>
      </c>
      <c r="K34" s="38" t="n">
        <v>0</v>
      </c>
      <c r="L34" s="39" t="n">
        <v>0</v>
      </c>
      <c r="M34" s="39" t="n">
        <v>0</v>
      </c>
      <c r="N34" s="38" t="n">
        <v>3809</v>
      </c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  <c r="T34" s="43">
        <f>IF(Q34=1,A34,"")</f>
        <v/>
      </c>
    </row>
    <row r="35">
      <c r="A35" s="36">
        <f>A34+1</f>
        <v/>
      </c>
      <c r="B35" s="37">
        <f>IF(A35="","",TEXT(A35,"ddd"))</f>
        <v/>
      </c>
      <c r="C35" s="38" t="n">
        <v>2</v>
      </c>
      <c r="D35" s="38" t="n">
        <v>2</v>
      </c>
      <c r="E35" s="38" t="n">
        <v>9</v>
      </c>
      <c r="F35" s="38" t="n">
        <v>4</v>
      </c>
      <c r="G35" s="38" t="n">
        <v>3</v>
      </c>
      <c r="H35" s="38" t="n">
        <v>1</v>
      </c>
      <c r="I35" s="38" t="n">
        <v>0</v>
      </c>
      <c r="J35" s="38" t="n">
        <v>1</v>
      </c>
      <c r="K35" s="38" t="n">
        <v>1</v>
      </c>
      <c r="L35" s="39" t="n">
        <v>3000</v>
      </c>
      <c r="M35" s="39" t="n">
        <v>3000</v>
      </c>
      <c r="N35" s="38" t="n">
        <v>3818</v>
      </c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  <c r="T35" s="43">
        <f>IF(Q35=1,A35,"")</f>
        <v/>
      </c>
    </row>
    <row r="36">
      <c r="A36" s="36">
        <f>A35+1</f>
        <v/>
      </c>
      <c r="B36" s="37">
        <f>IF(A36="","",TEXT(A36,"ddd"))</f>
        <v/>
      </c>
      <c r="C36" s="38" t="n">
        <v>6</v>
      </c>
      <c r="D36" s="38" t="n">
        <v>5</v>
      </c>
      <c r="E36" s="38" t="n">
        <v>26</v>
      </c>
      <c r="F36" s="38" t="n">
        <v>11</v>
      </c>
      <c r="G36" s="38" t="n">
        <v>8</v>
      </c>
      <c r="H36" s="38" t="n">
        <v>6</v>
      </c>
      <c r="I36" s="38" t="n">
        <v>1</v>
      </c>
      <c r="J36" s="38" t="n">
        <v>0</v>
      </c>
      <c r="K36" s="38" t="n">
        <v>0</v>
      </c>
      <c r="L36" s="39" t="n">
        <v>0</v>
      </c>
      <c r="M36" s="39" t="n">
        <v>0</v>
      </c>
      <c r="N36" s="38" t="n">
        <v>3830</v>
      </c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  <c r="T36" s="43">
        <f>IF(Q36=1,A36,"")</f>
        <v/>
      </c>
    </row>
    <row r="37">
      <c r="A37" s="36">
        <f>A36+1</f>
        <v/>
      </c>
      <c r="B37" s="37">
        <f>IF(A37="","",TEXT(A37,"ddd"))</f>
        <v/>
      </c>
      <c r="C37" s="38" t="n">
        <v>7</v>
      </c>
      <c r="D37" s="38" t="n">
        <v>7</v>
      </c>
      <c r="E37" s="38" t="n">
        <v>25</v>
      </c>
      <c r="F37" s="38" t="n">
        <v>12</v>
      </c>
      <c r="G37" s="38" t="n">
        <v>9</v>
      </c>
      <c r="H37" s="38" t="n">
        <v>6</v>
      </c>
      <c r="I37" s="38" t="n">
        <v>1</v>
      </c>
      <c r="J37" s="38" t="n">
        <v>1</v>
      </c>
      <c r="K37" s="38" t="n">
        <v>1</v>
      </c>
      <c r="L37" s="39" t="n">
        <v>1500</v>
      </c>
      <c r="M37" s="39" t="n">
        <v>1500</v>
      </c>
      <c r="N37" s="38" t="n">
        <v>3856</v>
      </c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  <c r="T37" s="43">
        <f>IF(Q37=1,A37,"")</f>
        <v/>
      </c>
    </row>
    <row r="38">
      <c r="A38" s="36">
        <f>A37+1</f>
        <v/>
      </c>
      <c r="B38" s="37">
        <f>IF(A38="","",TEXT(A38,"ddd"))</f>
        <v/>
      </c>
      <c r="C38" s="38" t="n">
        <v>7</v>
      </c>
      <c r="D38" s="38" t="n">
        <v>5</v>
      </c>
      <c r="E38" s="38" t="n">
        <v>21</v>
      </c>
      <c r="F38" s="38" t="n">
        <v>11</v>
      </c>
      <c r="G38" s="38" t="n">
        <v>5</v>
      </c>
      <c r="H38" s="38" t="n">
        <v>2</v>
      </c>
      <c r="I38" s="38" t="n">
        <v>1</v>
      </c>
      <c r="J38" s="38" t="n">
        <v>1</v>
      </c>
      <c r="K38" s="38" t="n">
        <v>0</v>
      </c>
      <c r="L38" s="39" t="n">
        <v>0</v>
      </c>
      <c r="M38" s="39" t="n">
        <v>0</v>
      </c>
      <c r="N38" s="38" t="n">
        <v>3870</v>
      </c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  <c r="T38" s="43">
        <f>IF(Q38=1,A38,"")</f>
        <v/>
      </c>
    </row>
    <row r="39">
      <c r="A39" s="36">
        <f>A38+1</f>
        <v/>
      </c>
      <c r="B39" s="37">
        <f>IF(A39="","",TEXT(A39,"ddd"))</f>
        <v/>
      </c>
      <c r="C39" s="38" t="n">
        <v>5</v>
      </c>
      <c r="D39" s="38" t="n">
        <v>5</v>
      </c>
      <c r="E39" s="38" t="n">
        <v>19</v>
      </c>
      <c r="F39" s="38" t="n">
        <v>1</v>
      </c>
      <c r="G39" s="38" t="n">
        <v>2</v>
      </c>
      <c r="H39" s="38" t="n">
        <v>1</v>
      </c>
      <c r="I39" s="38" t="n">
        <v>0</v>
      </c>
      <c r="J39" s="38" t="n">
        <v>1</v>
      </c>
      <c r="K39" s="38" t="n">
        <v>1</v>
      </c>
      <c r="L39" s="39" t="n">
        <v>1500</v>
      </c>
      <c r="M39" s="39" t="n">
        <v>1500</v>
      </c>
      <c r="N39" s="38" t="n">
        <v>3882</v>
      </c>
      <c r="O39" s="40">
        <f>IF($Q39=0,"",IF(C39&gt;=C$2,1,0)+IF(D39&gt;=D$2,1,0)+IF(E39&gt;=E$2,1,0)+IF(F39&gt;=F$2,1,0))</f>
        <v/>
      </c>
      <c r="P39" s="41" t="inlineStr">
        <is>
          <t>Slipping on follow-ups, got busy with delivery</t>
        </is>
      </c>
      <c r="Q39" s="42">
        <f>IF(COUNT(C39:M39)&gt;0,1,0)</f>
        <v/>
      </c>
      <c r="R39" s="42">
        <f>IF(Q39=0,0,R38+1)</f>
        <v/>
      </c>
      <c r="S39" s="42">
        <f>IF(O39="",0,IF(O39=4,S38+1,0))</f>
        <v/>
      </c>
      <c r="T39" s="43">
        <f>IF(Q39=1,A39,"")</f>
        <v/>
      </c>
    </row>
    <row r="40">
      <c r="A40" s="36">
        <f>A39+1</f>
        <v/>
      </c>
      <c r="B40" s="37">
        <f>IF(A40="","",TEXT(A40,"ddd"))</f>
        <v/>
      </c>
      <c r="C40" s="38" t="n">
        <v>6</v>
      </c>
      <c r="D40" s="38" t="n">
        <v>5</v>
      </c>
      <c r="E40" s="38" t="n">
        <v>22</v>
      </c>
      <c r="F40" s="38" t="n">
        <v>3</v>
      </c>
      <c r="G40" s="38" t="n">
        <v>3</v>
      </c>
      <c r="H40" s="38" t="n">
        <v>1</v>
      </c>
      <c r="I40" s="38" t="n">
        <v>0</v>
      </c>
      <c r="J40" s="38" t="n">
        <v>0</v>
      </c>
      <c r="K40" s="38" t="n">
        <v>0</v>
      </c>
      <c r="L40" s="39" t="n">
        <v>0</v>
      </c>
      <c r="M40" s="39" t="n">
        <v>0</v>
      </c>
      <c r="N40" s="38" t="n">
        <v>3896</v>
      </c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  <c r="T40" s="43">
        <f>IF(Q40=1,A40,"")</f>
        <v/>
      </c>
    </row>
    <row r="41">
      <c r="A41" s="36">
        <f>A40+1</f>
        <v/>
      </c>
      <c r="B41" s="37">
        <f>IF(A41="","",TEXT(A41,"ddd"))</f>
        <v/>
      </c>
      <c r="C41" s="38" t="n">
        <v>2</v>
      </c>
      <c r="D41" s="38" t="n">
        <v>1</v>
      </c>
      <c r="E41" s="38" t="n">
        <v>7</v>
      </c>
      <c r="F41" s="38" t="n">
        <v>1</v>
      </c>
      <c r="G41" s="38" t="n">
        <v>1</v>
      </c>
      <c r="H41" s="38" t="n">
        <v>1</v>
      </c>
      <c r="I41" s="38" t="n">
        <v>0</v>
      </c>
      <c r="J41" s="38" t="n">
        <v>0</v>
      </c>
      <c r="K41" s="38" t="n">
        <v>0</v>
      </c>
      <c r="L41" s="39" t="n">
        <v>0</v>
      </c>
      <c r="M41" s="39" t="n">
        <v>0</v>
      </c>
      <c r="N41" s="38" t="n">
        <v>3908</v>
      </c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  <c r="T41" s="43">
        <f>IF(Q41=1,A41,"")</f>
        <v/>
      </c>
    </row>
    <row r="42">
      <c r="A42" s="36">
        <f>A41+1</f>
        <v/>
      </c>
      <c r="B42" s="37">
        <f>IF(A42="","",TEXT(A42,"ddd"))</f>
        <v/>
      </c>
      <c r="C42" s="38" t="n">
        <v>0</v>
      </c>
      <c r="D42" s="38" t="n">
        <v>0</v>
      </c>
      <c r="E42" s="38" t="n">
        <v>0</v>
      </c>
      <c r="F42" s="38" t="n">
        <v>0</v>
      </c>
      <c r="G42" s="38" t="n">
        <v>0</v>
      </c>
      <c r="H42" s="38" t="n">
        <v>0</v>
      </c>
      <c r="I42" s="38" t="n">
        <v>0</v>
      </c>
      <c r="J42" s="38" t="n">
        <v>0</v>
      </c>
      <c r="K42" s="38" t="n">
        <v>0</v>
      </c>
      <c r="L42" s="39" t="n">
        <v>0</v>
      </c>
      <c r="M42" s="39" t="n">
        <v>0</v>
      </c>
      <c r="N42" s="38" t="n">
        <v>3908</v>
      </c>
      <c r="O42" s="40">
        <f>IF($Q42=0,"",IF(C42&gt;=C$2,1,0)+IF(D42&gt;=D$2,1,0)+IF(E42&gt;=E$2,1,0)+IF(F42&gt;=F$2,1,0))</f>
        <v/>
      </c>
      <c r="P42" s="41" t="inlineStr">
        <is>
          <t>Travel day, nothing done</t>
        </is>
      </c>
      <c r="Q42" s="42">
        <f>IF(COUNT(C42:M42)&gt;0,1,0)</f>
        <v/>
      </c>
      <c r="R42" s="42">
        <f>IF(Q42=0,0,R41+1)</f>
        <v/>
      </c>
      <c r="S42" s="42">
        <f>IF(O42="",0,IF(O42=4,S41+1,0))</f>
        <v/>
      </c>
      <c r="T42" s="43">
        <f>IF(Q42=1,A42,"")</f>
        <v/>
      </c>
    </row>
    <row r="43">
      <c r="A43" s="36">
        <f>A42+1</f>
        <v/>
      </c>
      <c r="B43" s="37">
        <f>IF(A43="","",TEXT(A43,"ddd"))</f>
        <v/>
      </c>
      <c r="C43" s="38" t="n">
        <v>5</v>
      </c>
      <c r="D43" s="38" t="n">
        <v>4</v>
      </c>
      <c r="E43" s="38" t="n">
        <v>23</v>
      </c>
      <c r="F43" s="38" t="n">
        <v>1</v>
      </c>
      <c r="G43" s="38" t="n">
        <v>2</v>
      </c>
      <c r="H43" s="38" t="n">
        <v>1</v>
      </c>
      <c r="I43" s="38" t="n">
        <v>0</v>
      </c>
      <c r="J43" s="38" t="n">
        <v>0</v>
      </c>
      <c r="K43" s="38" t="n">
        <v>0</v>
      </c>
      <c r="L43" s="39" t="n">
        <v>0</v>
      </c>
      <c r="M43" s="39" t="n">
        <v>0</v>
      </c>
      <c r="N43" s="38" t="n">
        <v>3920</v>
      </c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  <c r="T43" s="43">
        <f>IF(Q43=1,A43,"")</f>
        <v/>
      </c>
    </row>
    <row r="44">
      <c r="A44" s="36">
        <f>A43+1</f>
        <v/>
      </c>
      <c r="B44" s="37">
        <f>IF(A44="","",TEXT(A44,"ddd"))</f>
        <v/>
      </c>
      <c r="C44" s="38" t="n">
        <v>5</v>
      </c>
      <c r="D44" s="38" t="n">
        <v>4</v>
      </c>
      <c r="E44" s="38" t="n">
        <v>21</v>
      </c>
      <c r="F44" s="38" t="n">
        <v>1</v>
      </c>
      <c r="G44" s="38" t="n">
        <v>2</v>
      </c>
      <c r="H44" s="38" t="n">
        <v>1</v>
      </c>
      <c r="I44" s="38" t="n">
        <v>0</v>
      </c>
      <c r="J44" s="38" t="n">
        <v>0</v>
      </c>
      <c r="K44" s="38" t="n">
        <v>0</v>
      </c>
      <c r="L44" s="39" t="n">
        <v>0</v>
      </c>
      <c r="M44" s="39" t="n">
        <v>0</v>
      </c>
      <c r="N44" s="38" t="n">
        <v>3924</v>
      </c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  <c r="T44" s="43">
        <f>IF(Q44=1,A44,"")</f>
        <v/>
      </c>
    </row>
    <row r="45">
      <c r="A45" s="36">
        <f>A44+1</f>
        <v/>
      </c>
      <c r="B45" s="37">
        <f>IF(A45="","",TEXT(A45,"ddd"))</f>
        <v/>
      </c>
      <c r="C45" s="38" t="n">
        <v>4</v>
      </c>
      <c r="D45" s="38" t="n">
        <v>5</v>
      </c>
      <c r="E45" s="38" t="n">
        <v>20</v>
      </c>
      <c r="F45" s="38" t="n">
        <v>2</v>
      </c>
      <c r="G45" s="38" t="n">
        <v>2</v>
      </c>
      <c r="H45" s="38" t="n">
        <v>1</v>
      </c>
      <c r="I45" s="38" t="n">
        <v>0</v>
      </c>
      <c r="J45" s="38" t="n">
        <v>0</v>
      </c>
      <c r="K45" s="38" t="n">
        <v>0</v>
      </c>
      <c r="L45" s="39" t="n">
        <v>0</v>
      </c>
      <c r="M45" s="39" t="n">
        <v>0</v>
      </c>
      <c r="N45" s="38" t="n">
        <v>3936</v>
      </c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  <c r="T45" s="43">
        <f>IF(Q45=1,A45,"")</f>
        <v/>
      </c>
    </row>
    <row r="46">
      <c r="A46" s="36">
        <f>A45+1</f>
        <v/>
      </c>
      <c r="B46" s="37">
        <f>IF(A46="","",TEXT(A46,"ddd"))</f>
        <v/>
      </c>
      <c r="C46" s="38" t="n">
        <v>6</v>
      </c>
      <c r="D46" s="38" t="n">
        <v>5</v>
      </c>
      <c r="E46" s="38" t="n">
        <v>21</v>
      </c>
      <c r="F46" s="38" t="n">
        <v>4</v>
      </c>
      <c r="G46" s="38" t="n">
        <v>3</v>
      </c>
      <c r="H46" s="38" t="n">
        <v>1</v>
      </c>
      <c r="I46" s="38" t="n">
        <v>0</v>
      </c>
      <c r="J46" s="38" t="n">
        <v>0</v>
      </c>
      <c r="K46" s="38" t="n">
        <v>0</v>
      </c>
      <c r="L46" s="39" t="n">
        <v>0</v>
      </c>
      <c r="M46" s="39" t="n">
        <v>0</v>
      </c>
      <c r="N46" s="38" t="n">
        <v>3947</v>
      </c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  <c r="T46" s="43">
        <f>IF(Q46=1,A46,"")</f>
        <v/>
      </c>
    </row>
    <row r="47">
      <c r="A47" s="36">
        <f>A46+1</f>
        <v/>
      </c>
      <c r="B47" s="37">
        <f>IF(A47="","",TEXT(A47,"ddd"))</f>
        <v/>
      </c>
      <c r="C47" s="38" t="n">
        <v>6</v>
      </c>
      <c r="D47" s="38" t="n">
        <v>5</v>
      </c>
      <c r="E47" s="38" t="n">
        <v>20</v>
      </c>
      <c r="F47" s="38" t="n">
        <v>2</v>
      </c>
      <c r="G47" s="38" t="n">
        <v>2</v>
      </c>
      <c r="H47" s="38" t="n">
        <v>1</v>
      </c>
      <c r="I47" s="38" t="n">
        <v>0</v>
      </c>
      <c r="J47" s="38" t="n">
        <v>0</v>
      </c>
      <c r="K47" s="38" t="n">
        <v>0</v>
      </c>
      <c r="L47" s="39" t="n">
        <v>0</v>
      </c>
      <c r="M47" s="39" t="n">
        <v>0</v>
      </c>
      <c r="N47" s="38" t="n">
        <v>3955</v>
      </c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  <c r="T47" s="43">
        <f>IF(Q47=1,A47,"")</f>
        <v/>
      </c>
    </row>
    <row r="48">
      <c r="A48" s="36">
        <f>A47+1</f>
        <v/>
      </c>
      <c r="B48" s="37">
        <f>IF(A48="","",TEXT(A48,"ddd"))</f>
        <v/>
      </c>
      <c r="C48" s="38" t="n">
        <v>2</v>
      </c>
      <c r="D48" s="38" t="n">
        <v>1</v>
      </c>
      <c r="E48" s="38" t="n">
        <v>8</v>
      </c>
      <c r="F48" s="38" t="n">
        <v>1</v>
      </c>
      <c r="G48" s="38" t="n">
        <v>1</v>
      </c>
      <c r="H48" s="38" t="n">
        <v>0</v>
      </c>
      <c r="I48" s="38" t="n">
        <v>0</v>
      </c>
      <c r="J48" s="38" t="n">
        <v>0</v>
      </c>
      <c r="K48" s="38" t="n">
        <v>0</v>
      </c>
      <c r="L48" s="39" t="n">
        <v>0</v>
      </c>
      <c r="M48" s="39" t="n">
        <v>0</v>
      </c>
      <c r="N48" s="38" t="n">
        <v>3963</v>
      </c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  <c r="T48" s="43">
        <f>IF(Q48=1,A48,"")</f>
        <v/>
      </c>
    </row>
    <row r="49">
      <c r="A49" s="36">
        <f>A48+1</f>
        <v/>
      </c>
      <c r="B49" s="37">
        <f>IF(A49="","",TEXT(A49,"ddd"))</f>
        <v/>
      </c>
      <c r="C49" s="38" t="n">
        <v>2</v>
      </c>
      <c r="D49" s="38" t="n">
        <v>1</v>
      </c>
      <c r="E49" s="38" t="n">
        <v>7</v>
      </c>
      <c r="F49" s="38" t="n">
        <v>1</v>
      </c>
      <c r="G49" s="38" t="n">
        <v>1</v>
      </c>
      <c r="H49" s="38" t="n">
        <v>0</v>
      </c>
      <c r="I49" s="38" t="n">
        <v>0</v>
      </c>
      <c r="J49" s="38" t="n">
        <v>0</v>
      </c>
      <c r="K49" s="38" t="n">
        <v>0</v>
      </c>
      <c r="L49" s="39" t="n">
        <v>0</v>
      </c>
      <c r="M49" s="39" t="n">
        <v>0</v>
      </c>
      <c r="N49" s="38" t="n">
        <v>3967</v>
      </c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  <c r="T49" s="43">
        <f>IF(Q49=1,A49,"")</f>
        <v/>
      </c>
    </row>
    <row r="50">
      <c r="A50" s="36">
        <f>A49+1</f>
        <v/>
      </c>
      <c r="B50" s="37">
        <f>IF(A50="","",TEXT(A50,"ddd"))</f>
        <v/>
      </c>
      <c r="C50" s="38" t="n">
        <v>6</v>
      </c>
      <c r="D50" s="38" t="n">
        <v>3</v>
      </c>
      <c r="E50" s="38" t="n">
        <v>22</v>
      </c>
      <c r="F50" s="38" t="n">
        <v>4</v>
      </c>
      <c r="G50" s="38" t="n">
        <v>3</v>
      </c>
      <c r="H50" s="38" t="n">
        <v>2</v>
      </c>
      <c r="I50" s="38" t="n">
        <v>0</v>
      </c>
      <c r="J50" s="38" t="n">
        <v>0</v>
      </c>
      <c r="K50" s="38" t="n">
        <v>0</v>
      </c>
      <c r="L50" s="39" t="n">
        <v>0</v>
      </c>
      <c r="M50" s="39" t="n">
        <v>0</v>
      </c>
      <c r="N50" s="38" t="n">
        <v>3972</v>
      </c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  <c r="T50" s="43">
        <f>IF(Q50=1,A50,"")</f>
        <v/>
      </c>
    </row>
    <row r="51">
      <c r="A51" s="36">
        <f>A50+1</f>
        <v/>
      </c>
      <c r="B51" s="37">
        <f>IF(A51="","",TEXT(A51,"ddd"))</f>
        <v/>
      </c>
      <c r="C51" s="38" t="n">
        <v>6</v>
      </c>
      <c r="D51" s="38" t="n">
        <v>3</v>
      </c>
      <c r="E51" s="38" t="n">
        <v>18</v>
      </c>
      <c r="F51" s="38" t="n">
        <v>4</v>
      </c>
      <c r="G51" s="38" t="n">
        <v>2</v>
      </c>
      <c r="H51" s="38" t="n">
        <v>1</v>
      </c>
      <c r="I51" s="38" t="n">
        <v>0</v>
      </c>
      <c r="J51" s="38" t="n">
        <v>0</v>
      </c>
      <c r="K51" s="38" t="n">
        <v>0</v>
      </c>
      <c r="L51" s="39" t="n">
        <v>0</v>
      </c>
      <c r="M51" s="39" t="n">
        <v>0</v>
      </c>
      <c r="N51" s="38" t="n">
        <v>3980</v>
      </c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  <c r="T51" s="43">
        <f>IF(Q51=1,A51,"")</f>
        <v/>
      </c>
    </row>
    <row r="52">
      <c r="A52" s="36">
        <f>A51+1</f>
        <v/>
      </c>
      <c r="B52" s="37">
        <f>IF(A52="","",TEXT(A52,"ddd"))</f>
        <v/>
      </c>
      <c r="C52" s="38" t="n">
        <v>4</v>
      </c>
      <c r="D52" s="38" t="n">
        <v>4</v>
      </c>
      <c r="E52" s="38" t="n">
        <v>21</v>
      </c>
      <c r="F52" s="38" t="n">
        <v>2</v>
      </c>
      <c r="G52" s="38" t="n">
        <v>2</v>
      </c>
      <c r="H52" s="38" t="n">
        <v>1</v>
      </c>
      <c r="I52" s="38" t="n">
        <v>0</v>
      </c>
      <c r="J52" s="38" t="n">
        <v>0</v>
      </c>
      <c r="K52" s="38" t="n">
        <v>0</v>
      </c>
      <c r="L52" s="39" t="n">
        <v>0</v>
      </c>
      <c r="M52" s="39" t="n">
        <v>0</v>
      </c>
      <c r="N52" s="38" t="n">
        <v>3991</v>
      </c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  <c r="T52" s="43">
        <f>IF(Q52=1,A52,"")</f>
        <v/>
      </c>
    </row>
    <row r="53">
      <c r="A53" s="36">
        <f>A52+1</f>
        <v/>
      </c>
      <c r="B53" s="37">
        <f>IF(A53="","",TEXT(A53,"ddd"))</f>
        <v/>
      </c>
      <c r="C53" s="38" t="n">
        <v>6</v>
      </c>
      <c r="D53" s="38" t="n">
        <v>4</v>
      </c>
      <c r="E53" s="38" t="n">
        <v>18</v>
      </c>
      <c r="F53" s="38" t="n">
        <v>2</v>
      </c>
      <c r="G53" s="38" t="n">
        <v>2</v>
      </c>
      <c r="H53" s="38" t="n">
        <v>1</v>
      </c>
      <c r="I53" s="38" t="n">
        <v>0</v>
      </c>
      <c r="J53" s="38" t="n">
        <v>0</v>
      </c>
      <c r="K53" s="38" t="n">
        <v>0</v>
      </c>
      <c r="L53" s="39" t="n">
        <v>0</v>
      </c>
      <c r="M53" s="39" t="n">
        <v>0</v>
      </c>
      <c r="N53" s="38" t="n">
        <v>3995</v>
      </c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  <c r="T53" s="43">
        <f>IF(Q53=1,A53,"")</f>
        <v/>
      </c>
    </row>
    <row r="54">
      <c r="A54" s="36">
        <f>A53+1</f>
        <v/>
      </c>
      <c r="B54" s="37">
        <f>IF(A54="","",TEXT(A54,"ddd"))</f>
        <v/>
      </c>
      <c r="C54" s="38" t="n">
        <v>4</v>
      </c>
      <c r="D54" s="38" t="n">
        <v>3</v>
      </c>
      <c r="E54" s="38" t="n">
        <v>19</v>
      </c>
      <c r="F54" s="38" t="n">
        <v>2</v>
      </c>
      <c r="G54" s="38" t="n">
        <v>2</v>
      </c>
      <c r="H54" s="38" t="n">
        <v>1</v>
      </c>
      <c r="I54" s="38" t="n">
        <v>0</v>
      </c>
      <c r="J54" s="38" t="n">
        <v>0</v>
      </c>
      <c r="K54" s="38" t="n">
        <v>0</v>
      </c>
      <c r="L54" s="39" t="n">
        <v>0</v>
      </c>
      <c r="M54" s="39" t="n">
        <v>0</v>
      </c>
      <c r="N54" s="38" t="n">
        <v>4002</v>
      </c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  <c r="T54" s="43">
        <f>IF(Q54=1,A54,"")</f>
        <v/>
      </c>
    </row>
    <row r="55">
      <c r="A55" s="36">
        <f>A54+1</f>
        <v/>
      </c>
      <c r="B55" s="37">
        <f>IF(A55="","",TEXT(A55,"ddd"))</f>
        <v/>
      </c>
      <c r="C55" s="38" t="n">
        <v>2</v>
      </c>
      <c r="D55" s="38" t="n">
        <v>1</v>
      </c>
      <c r="E55" s="38" t="n">
        <v>6</v>
      </c>
      <c r="F55" s="38" t="n">
        <v>1</v>
      </c>
      <c r="G55" s="38" t="n">
        <v>1</v>
      </c>
      <c r="H55" s="38" t="n">
        <v>0</v>
      </c>
      <c r="I55" s="38" t="n">
        <v>0</v>
      </c>
      <c r="J55" s="38" t="n">
        <v>0</v>
      </c>
      <c r="K55" s="38" t="n">
        <v>0</v>
      </c>
      <c r="L55" s="39" t="n">
        <v>0</v>
      </c>
      <c r="M55" s="39" t="n">
        <v>0</v>
      </c>
      <c r="N55" s="38" t="n">
        <v>4010</v>
      </c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  <c r="T55" s="43">
        <f>IF(Q55=1,A55,"")</f>
        <v/>
      </c>
    </row>
    <row r="56">
      <c r="A56" s="36">
        <f>A55+1</f>
        <v/>
      </c>
      <c r="B56" s="37">
        <f>IF(A56="","",TEXT(A56,"ddd"))</f>
        <v/>
      </c>
      <c r="C56" s="38" t="n">
        <v>2</v>
      </c>
      <c r="D56" s="38" t="n">
        <v>1</v>
      </c>
      <c r="E56" s="38" t="n">
        <v>8</v>
      </c>
      <c r="F56" s="38" t="n">
        <v>1</v>
      </c>
      <c r="G56" s="38" t="n">
        <v>1</v>
      </c>
      <c r="H56" s="38" t="n">
        <v>0</v>
      </c>
      <c r="I56" s="38" t="n">
        <v>0</v>
      </c>
      <c r="J56" s="38" t="n">
        <v>0</v>
      </c>
      <c r="K56" s="38" t="n">
        <v>0</v>
      </c>
      <c r="L56" s="39" t="n">
        <v>0</v>
      </c>
      <c r="M56" s="39" t="n">
        <v>0</v>
      </c>
      <c r="N56" s="38" t="n">
        <v>4023</v>
      </c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  <c r="T56" s="43">
        <f>IF(Q56=1,A56,"")</f>
        <v/>
      </c>
    </row>
    <row r="57">
      <c r="A57" s="36">
        <f>A56+1</f>
        <v/>
      </c>
      <c r="B57" s="37">
        <f>IF(A57="","",TEXT(A57,"ddd"))</f>
        <v/>
      </c>
      <c r="C57" s="38" t="n">
        <v>4</v>
      </c>
      <c r="D57" s="38" t="n">
        <v>5</v>
      </c>
      <c r="E57" s="38" t="n">
        <v>19</v>
      </c>
      <c r="F57" s="38" t="n">
        <v>2</v>
      </c>
      <c r="G57" s="38" t="n">
        <v>2</v>
      </c>
      <c r="H57" s="38" t="n">
        <v>1</v>
      </c>
      <c r="I57" s="38" t="n">
        <v>0</v>
      </c>
      <c r="J57" s="38" t="n">
        <v>0</v>
      </c>
      <c r="K57" s="38" t="n">
        <v>0</v>
      </c>
      <c r="L57" s="39" t="n">
        <v>0</v>
      </c>
      <c r="M57" s="39" t="n">
        <v>0</v>
      </c>
      <c r="N57" s="38" t="n">
        <v>4029</v>
      </c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  <c r="T57" s="43">
        <f>IF(Q57=1,A57,"")</f>
        <v/>
      </c>
    </row>
    <row r="58">
      <c r="A58" s="36">
        <f>A57+1</f>
        <v/>
      </c>
      <c r="B58" s="37">
        <f>IF(A58="","",TEXT(A58,"ddd"))</f>
        <v/>
      </c>
      <c r="C58" s="38" t="n">
        <v>4</v>
      </c>
      <c r="D58" s="38" t="n">
        <v>5</v>
      </c>
      <c r="E58" s="38" t="n">
        <v>23</v>
      </c>
      <c r="F58" s="38" t="n">
        <v>3</v>
      </c>
      <c r="G58" s="38" t="n">
        <v>4</v>
      </c>
      <c r="H58" s="38" t="n">
        <v>2</v>
      </c>
      <c r="I58" s="38" t="n">
        <v>0</v>
      </c>
      <c r="J58" s="38" t="n">
        <v>0</v>
      </c>
      <c r="K58" s="38" t="n">
        <v>0</v>
      </c>
      <c r="L58" s="39" t="n">
        <v>0</v>
      </c>
      <c r="M58" s="39" t="n">
        <v>0</v>
      </c>
      <c r="N58" s="38" t="n">
        <v>4036</v>
      </c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  <c r="T58" s="43">
        <f>IF(Q58=1,A58,"")</f>
        <v/>
      </c>
    </row>
    <row r="59">
      <c r="A59" s="36">
        <f>A58+1</f>
        <v/>
      </c>
      <c r="B59" s="37">
        <f>IF(A59="","",TEXT(A59,"ddd"))</f>
        <v/>
      </c>
      <c r="C59" s="38" t="n">
        <v>4</v>
      </c>
      <c r="D59" s="38" t="n">
        <v>3</v>
      </c>
      <c r="E59" s="38" t="n">
        <v>18</v>
      </c>
      <c r="F59" s="38" t="n">
        <v>2</v>
      </c>
      <c r="G59" s="38" t="n">
        <v>3</v>
      </c>
      <c r="H59" s="38" t="n">
        <v>1</v>
      </c>
      <c r="I59" s="38" t="n">
        <v>0</v>
      </c>
      <c r="J59" s="38" t="n">
        <v>0</v>
      </c>
      <c r="K59" s="38" t="n">
        <v>0</v>
      </c>
      <c r="L59" s="39" t="n">
        <v>0</v>
      </c>
      <c r="M59" s="39" t="n">
        <v>0</v>
      </c>
      <c r="N59" s="38" t="n">
        <v>4046</v>
      </c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  <c r="T59" s="43">
        <f>IF(Q59=1,A59,"")</f>
        <v/>
      </c>
    </row>
    <row r="60">
      <c r="A60" s="36">
        <f>A59+1</f>
        <v/>
      </c>
      <c r="B60" s="37">
        <f>IF(A60="","",TEXT(A60,"ddd"))</f>
        <v/>
      </c>
      <c r="C60" s="38" t="n">
        <v>4</v>
      </c>
      <c r="D60" s="38" t="n">
        <v>4</v>
      </c>
      <c r="E60" s="38" t="n">
        <v>24</v>
      </c>
      <c r="F60" s="38" t="n">
        <v>4</v>
      </c>
      <c r="G60" s="38" t="n">
        <v>3</v>
      </c>
      <c r="H60" s="38" t="n">
        <v>2</v>
      </c>
      <c r="I60" s="38" t="n">
        <v>0</v>
      </c>
      <c r="J60" s="38" t="n">
        <v>0</v>
      </c>
      <c r="K60" s="38" t="n">
        <v>0</v>
      </c>
      <c r="L60" s="39" t="n">
        <v>0</v>
      </c>
      <c r="M60" s="39" t="n">
        <v>0</v>
      </c>
      <c r="N60" s="38" t="n">
        <v>4060</v>
      </c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  <c r="T60" s="43">
        <f>IF(Q60=1,A60,"")</f>
        <v/>
      </c>
    </row>
    <row r="61">
      <c r="A61" s="36">
        <f>A60+1</f>
        <v/>
      </c>
      <c r="B61" s="37">
        <f>IF(A61="","",TEXT(A61,"ddd"))</f>
        <v/>
      </c>
      <c r="C61" s="38" t="n">
        <v>6</v>
      </c>
      <c r="D61" s="38" t="n">
        <v>3</v>
      </c>
      <c r="E61" s="38" t="n">
        <v>18</v>
      </c>
      <c r="F61" s="38" t="n">
        <v>2</v>
      </c>
      <c r="G61" s="38" t="n">
        <v>2</v>
      </c>
      <c r="H61" s="38" t="n">
        <v>1</v>
      </c>
      <c r="I61" s="38" t="n">
        <v>0</v>
      </c>
      <c r="J61" s="38" t="n">
        <v>0</v>
      </c>
      <c r="K61" s="38" t="n">
        <v>0</v>
      </c>
      <c r="L61" s="39" t="n">
        <v>0</v>
      </c>
      <c r="M61" s="39" t="n">
        <v>0</v>
      </c>
      <c r="N61" s="38" t="n">
        <v>4069</v>
      </c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  <c r="T61" s="43">
        <f>IF(Q61=1,A61,"")</f>
        <v/>
      </c>
    </row>
    <row r="62">
      <c r="A62" s="36">
        <f>A61+1</f>
        <v/>
      </c>
      <c r="B62" s="37">
        <f>IF(A62="","",TEXT(A62,"ddd"))</f>
        <v/>
      </c>
      <c r="C62" s="38" t="n">
        <v>1</v>
      </c>
      <c r="D62" s="38" t="n">
        <v>2</v>
      </c>
      <c r="E62" s="38" t="n">
        <v>8</v>
      </c>
      <c r="F62" s="38" t="n">
        <v>1</v>
      </c>
      <c r="G62" s="38" t="n">
        <v>1</v>
      </c>
      <c r="H62" s="38" t="n">
        <v>0</v>
      </c>
      <c r="I62" s="38" t="n">
        <v>0</v>
      </c>
      <c r="J62" s="38" t="n">
        <v>0</v>
      </c>
      <c r="K62" s="38" t="n">
        <v>0</v>
      </c>
      <c r="L62" s="39" t="n">
        <v>0</v>
      </c>
      <c r="M62" s="39" t="n">
        <v>0</v>
      </c>
      <c r="N62" s="38" t="n">
        <v>4074</v>
      </c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  <c r="T62" s="43">
        <f>IF(Q62=1,A62,"")</f>
        <v/>
      </c>
    </row>
    <row r="63">
      <c r="A63" s="36">
        <f>A62+1</f>
        <v/>
      </c>
      <c r="B63" s="37">
        <f>IF(A63="","",TEXT(A63,"ddd"))</f>
        <v/>
      </c>
      <c r="C63" s="38" t="n">
        <v>2</v>
      </c>
      <c r="D63" s="38" t="n">
        <v>1</v>
      </c>
      <c r="E63" s="38" t="n">
        <v>6</v>
      </c>
      <c r="F63" s="38" t="n">
        <v>0</v>
      </c>
      <c r="G63" s="38" t="n">
        <v>1</v>
      </c>
      <c r="H63" s="38" t="n">
        <v>0</v>
      </c>
      <c r="I63" s="38" t="n">
        <v>0</v>
      </c>
      <c r="J63" s="38" t="n">
        <v>0</v>
      </c>
      <c r="K63" s="38" t="n">
        <v>0</v>
      </c>
      <c r="L63" s="39" t="n">
        <v>0</v>
      </c>
      <c r="M63" s="39" t="n">
        <v>0</v>
      </c>
      <c r="N63" s="38" t="n">
        <v>4085</v>
      </c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  <c r="T63" s="43">
        <f>IF(Q63=1,A63,"")</f>
        <v/>
      </c>
    </row>
    <row r="64">
      <c r="A64" s="36">
        <f>A63+1</f>
        <v/>
      </c>
      <c r="B64" s="37">
        <f>IF(A64="","",TEXT(A64,"ddd"))</f>
        <v/>
      </c>
      <c r="C64" s="38" t="n">
        <v>4</v>
      </c>
      <c r="D64" s="38" t="n">
        <v>3</v>
      </c>
      <c r="E64" s="38" t="n">
        <v>19</v>
      </c>
      <c r="F64" s="38" t="n">
        <v>1</v>
      </c>
      <c r="G64" s="38" t="n">
        <v>2</v>
      </c>
      <c r="H64" s="38" t="n">
        <v>1</v>
      </c>
      <c r="I64" s="38" t="n">
        <v>0</v>
      </c>
      <c r="J64" s="38" t="n">
        <v>0</v>
      </c>
      <c r="K64" s="38" t="n">
        <v>0</v>
      </c>
      <c r="L64" s="39" t="n">
        <v>0</v>
      </c>
      <c r="M64" s="39" t="n">
        <v>0</v>
      </c>
      <c r="N64" s="38" t="n">
        <v>4099</v>
      </c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  <c r="T64" s="43">
        <f>IF(Q64=1,A64,"")</f>
        <v/>
      </c>
    </row>
    <row r="65">
      <c r="A65" s="36">
        <f>A64+1</f>
        <v/>
      </c>
      <c r="B65" s="37">
        <f>IF(A65="","",TEXT(A65,"ddd"))</f>
        <v/>
      </c>
      <c r="C65" s="38" t="n">
        <v>4</v>
      </c>
      <c r="D65" s="38" t="n">
        <v>5</v>
      </c>
      <c r="E65" s="38" t="n">
        <v>18</v>
      </c>
      <c r="F65" s="38" t="n">
        <v>2</v>
      </c>
      <c r="G65" s="38" t="n">
        <v>3</v>
      </c>
      <c r="H65" s="38" t="n">
        <v>1</v>
      </c>
      <c r="I65" s="38" t="n">
        <v>0</v>
      </c>
      <c r="J65" s="38" t="n">
        <v>0</v>
      </c>
      <c r="K65" s="38" t="n">
        <v>0</v>
      </c>
      <c r="L65" s="39" t="n">
        <v>0</v>
      </c>
      <c r="M65" s="39" t="n">
        <v>0</v>
      </c>
      <c r="N65" s="38" t="n">
        <v>4108</v>
      </c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  <c r="T65" s="43">
        <f>IF(Q65=1,A65,"")</f>
        <v/>
      </c>
    </row>
    <row r="66">
      <c r="A66" s="36">
        <f>A65+1</f>
        <v/>
      </c>
      <c r="B66" s="37">
        <f>IF(A66="","",TEXT(A66,"ddd"))</f>
        <v/>
      </c>
      <c r="C66" s="38" t="n">
        <v>5</v>
      </c>
      <c r="D66" s="38" t="n">
        <v>4</v>
      </c>
      <c r="E66" s="38" t="n">
        <v>21</v>
      </c>
      <c r="F66" s="38" t="n">
        <v>3</v>
      </c>
      <c r="G66" s="38" t="n">
        <v>3</v>
      </c>
      <c r="H66" s="38" t="n">
        <v>1</v>
      </c>
      <c r="I66" s="38" t="n">
        <v>0</v>
      </c>
      <c r="J66" s="38" t="n">
        <v>0</v>
      </c>
      <c r="K66" s="38" t="n">
        <v>0</v>
      </c>
      <c r="L66" s="39" t="n">
        <v>0</v>
      </c>
      <c r="M66" s="39" t="n">
        <v>0</v>
      </c>
      <c r="N66" s="38" t="n">
        <v>4112</v>
      </c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  <c r="T66" s="43">
        <f>IF(Q66=1,A66,"")</f>
        <v/>
      </c>
    </row>
    <row r="67">
      <c r="A67" s="36">
        <f>A66+1</f>
        <v/>
      </c>
      <c r="B67" s="37">
        <f>IF(A67="","",TEXT(A67,"ddd"))</f>
        <v/>
      </c>
      <c r="C67" s="38" t="n">
        <v>5</v>
      </c>
      <c r="D67" s="38" t="n">
        <v>4</v>
      </c>
      <c r="E67" s="38" t="n">
        <v>23</v>
      </c>
      <c r="F67" s="38" t="n">
        <v>9</v>
      </c>
      <c r="G67" s="38" t="n">
        <v>4</v>
      </c>
      <c r="H67" s="38" t="n">
        <v>2</v>
      </c>
      <c r="I67" s="38" t="n">
        <v>1</v>
      </c>
      <c r="J67" s="38" t="n">
        <v>0</v>
      </c>
      <c r="K67" s="38" t="n">
        <v>0</v>
      </c>
      <c r="L67" s="39" t="n">
        <v>0</v>
      </c>
      <c r="M67" s="39" t="n">
        <v>0</v>
      </c>
      <c r="N67" s="38" t="n">
        <v>4140</v>
      </c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  <c r="T67" s="43">
        <f>IF(Q67=1,A67,"")</f>
        <v/>
      </c>
    </row>
    <row r="68">
      <c r="A68" s="36">
        <f>A67+1</f>
        <v/>
      </c>
      <c r="B68" s="37">
        <f>IF(A68="","",TEXT(A68,"ddd"))</f>
        <v/>
      </c>
      <c r="C68" s="38" t="n">
        <v>5</v>
      </c>
      <c r="D68" s="38" t="n">
        <v>4</v>
      </c>
      <c r="E68" s="38" t="n">
        <v>24</v>
      </c>
      <c r="F68" s="38" t="n">
        <v>6</v>
      </c>
      <c r="G68" s="38" t="n">
        <v>4</v>
      </c>
      <c r="H68" s="38" t="n">
        <v>1</v>
      </c>
      <c r="I68" s="38" t="n">
        <v>0</v>
      </c>
      <c r="J68" s="38" t="n">
        <v>0</v>
      </c>
      <c r="K68" s="38" t="n">
        <v>0</v>
      </c>
      <c r="L68" s="39" t="n">
        <v>0</v>
      </c>
      <c r="M68" s="39" t="n">
        <v>0</v>
      </c>
      <c r="N68" s="38" t="n">
        <v>4169</v>
      </c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  <c r="T68" s="43">
        <f>IF(Q68=1,A68,"")</f>
        <v/>
      </c>
    </row>
    <row r="69">
      <c r="A69" s="36">
        <f>A68+1</f>
        <v/>
      </c>
      <c r="B69" s="37">
        <f>IF(A69="","",TEXT(A69,"ddd"))</f>
        <v/>
      </c>
      <c r="C69" s="38" t="n">
        <v>2</v>
      </c>
      <c r="D69" s="38" t="n">
        <v>2</v>
      </c>
      <c r="E69" s="38" t="n">
        <v>8</v>
      </c>
      <c r="F69" s="38" t="n">
        <v>2</v>
      </c>
      <c r="G69" s="38" t="n">
        <v>2</v>
      </c>
      <c r="H69" s="38" t="n">
        <v>1</v>
      </c>
      <c r="I69" s="38" t="n">
        <v>0</v>
      </c>
      <c r="J69" s="38" t="n">
        <v>0</v>
      </c>
      <c r="K69" s="38" t="n">
        <v>0</v>
      </c>
      <c r="L69" s="39" t="n">
        <v>0</v>
      </c>
      <c r="M69" s="39" t="n">
        <v>0</v>
      </c>
      <c r="N69" s="38" t="n">
        <v>4186</v>
      </c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  <c r="T69" s="43">
        <f>IF(Q69=1,A69,"")</f>
        <v/>
      </c>
    </row>
    <row r="70">
      <c r="A70" s="36">
        <f>A69+1</f>
        <v/>
      </c>
      <c r="B70" s="37">
        <f>IF(A70="","",TEXT(A70,"ddd"))</f>
        <v/>
      </c>
      <c r="C70" s="38" t="n">
        <v>2</v>
      </c>
      <c r="D70" s="38" t="n">
        <v>1</v>
      </c>
      <c r="E70" s="38" t="n">
        <v>9</v>
      </c>
      <c r="F70" s="38" t="n">
        <v>2</v>
      </c>
      <c r="G70" s="38" t="n">
        <v>2</v>
      </c>
      <c r="H70" s="38" t="n">
        <v>1</v>
      </c>
      <c r="I70" s="38" t="n">
        <v>0</v>
      </c>
      <c r="J70" s="38" t="n">
        <v>0</v>
      </c>
      <c r="K70" s="38" t="n">
        <v>0</v>
      </c>
      <c r="L70" s="39" t="n">
        <v>0</v>
      </c>
      <c r="M70" s="39" t="n">
        <v>0</v>
      </c>
      <c r="N70" s="38" t="n">
        <v>4212</v>
      </c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  <c r="T70" s="43">
        <f>IF(Q70=1,A70,"")</f>
        <v/>
      </c>
    </row>
    <row r="71">
      <c r="A71" s="36">
        <f>A70+1</f>
        <v/>
      </c>
      <c r="B71" s="37">
        <f>IF(A71="","",TEXT(A71,"ddd"))</f>
        <v/>
      </c>
      <c r="C71" s="38" t="n">
        <v>7</v>
      </c>
      <c r="D71" s="38" t="n">
        <v>5</v>
      </c>
      <c r="E71" s="38" t="n">
        <v>23</v>
      </c>
      <c r="F71" s="38" t="n">
        <v>7</v>
      </c>
      <c r="G71" s="38" t="n">
        <v>4</v>
      </c>
      <c r="H71" s="38" t="n">
        <v>2</v>
      </c>
      <c r="I71" s="38" t="n">
        <v>0</v>
      </c>
      <c r="J71" s="38" t="n">
        <v>0</v>
      </c>
      <c r="K71" s="38" t="n">
        <v>0</v>
      </c>
      <c r="L71" s="39" t="n">
        <v>0</v>
      </c>
      <c r="M71" s="39" t="n">
        <v>0</v>
      </c>
      <c r="N71" s="38" t="n">
        <v>4231</v>
      </c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  <c r="T71" s="43">
        <f>IF(Q71=1,A71,"")</f>
        <v/>
      </c>
    </row>
    <row r="72">
      <c r="A72" s="36">
        <f>A71+1</f>
        <v/>
      </c>
      <c r="B72" s="37">
        <f>IF(A72="","",TEXT(A72,"ddd"))</f>
        <v/>
      </c>
      <c r="C72" s="38" t="n">
        <v>6</v>
      </c>
      <c r="D72" s="38" t="n">
        <v>5</v>
      </c>
      <c r="E72" s="38" t="n">
        <v>20</v>
      </c>
      <c r="F72" s="38" t="n">
        <v>6</v>
      </c>
      <c r="G72" s="38" t="n">
        <v>5</v>
      </c>
      <c r="H72" s="38" t="n">
        <v>3</v>
      </c>
      <c r="I72" s="38" t="n">
        <v>1</v>
      </c>
      <c r="J72" s="38" t="n">
        <v>0</v>
      </c>
      <c r="K72" s="38" t="n">
        <v>0</v>
      </c>
      <c r="L72" s="39" t="n">
        <v>0</v>
      </c>
      <c r="M72" s="39" t="n">
        <v>0</v>
      </c>
      <c r="N72" s="38" t="n">
        <v>4241</v>
      </c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  <c r="T72" s="43">
        <f>IF(Q72=1,A72,"")</f>
        <v/>
      </c>
    </row>
    <row r="73">
      <c r="A73" s="36">
        <f>A72+1</f>
        <v/>
      </c>
      <c r="B73" s="37">
        <f>IF(A73="","",TEXT(A73,"ddd"))</f>
        <v/>
      </c>
      <c r="C73" s="38" t="n">
        <v>5</v>
      </c>
      <c r="D73" s="38" t="n">
        <v>5</v>
      </c>
      <c r="E73" s="38" t="n">
        <v>25</v>
      </c>
      <c r="F73" s="38" t="n">
        <v>8</v>
      </c>
      <c r="G73" s="38" t="n">
        <v>4</v>
      </c>
      <c r="H73" s="38" t="n">
        <v>2</v>
      </c>
      <c r="I73" s="38" t="n">
        <v>1</v>
      </c>
      <c r="J73" s="38" t="n">
        <v>1</v>
      </c>
      <c r="K73" s="38" t="n">
        <v>0</v>
      </c>
      <c r="L73" s="39" t="n">
        <v>0</v>
      </c>
      <c r="M73" s="39" t="n">
        <v>0</v>
      </c>
      <c r="N73" s="38" t="n">
        <v>4265</v>
      </c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  <c r="T73" s="43">
        <f>IF(Q73=1,A73,"")</f>
        <v/>
      </c>
    </row>
    <row r="74">
      <c r="A74" s="36">
        <f>A73+1</f>
        <v/>
      </c>
      <c r="B74" s="37">
        <f>IF(A74="","",TEXT(A74,"ddd"))</f>
        <v/>
      </c>
      <c r="C74" s="38" t="n">
        <v>7</v>
      </c>
      <c r="D74" s="38" t="n">
        <v>4</v>
      </c>
      <c r="E74" s="38" t="n">
        <v>25</v>
      </c>
      <c r="F74" s="38" t="n">
        <v>6</v>
      </c>
      <c r="G74" s="38" t="n">
        <v>6</v>
      </c>
      <c r="H74" s="38" t="n">
        <v>4</v>
      </c>
      <c r="I74" s="38" t="n">
        <v>1</v>
      </c>
      <c r="J74" s="38" t="n">
        <v>1</v>
      </c>
      <c r="K74" s="38" t="n">
        <v>0</v>
      </c>
      <c r="L74" s="39" t="n">
        <v>0</v>
      </c>
      <c r="M74" s="39" t="n">
        <v>0</v>
      </c>
      <c r="N74" s="38" t="n">
        <v>4282</v>
      </c>
      <c r="O74" s="40">
        <f>IF($Q74=0,"",IF(C74&gt;=C$2,1,0)+IF(D74&gt;=D$2,1,0)+IF(E74&gt;=E$2,1,0)+IF(F74&gt;=F$2,1,0))</f>
        <v/>
      </c>
      <c r="P74" s="41" t="inlineStr">
        <is>
          <t>Coach flagged follow-ups on our call — fixing it</t>
        </is>
      </c>
      <c r="Q74" s="42">
        <f>IF(COUNT(C74:M74)&gt;0,1,0)</f>
        <v/>
      </c>
      <c r="R74" s="42">
        <f>IF(Q74=0,0,R73+1)</f>
        <v/>
      </c>
      <c r="S74" s="42">
        <f>IF(O74="",0,IF(O74=4,S73+1,0))</f>
        <v/>
      </c>
      <c r="T74" s="43">
        <f>IF(Q74=1,A74,"")</f>
        <v/>
      </c>
    </row>
    <row r="75">
      <c r="A75" s="36">
        <f>A74+1</f>
        <v/>
      </c>
      <c r="B75" s="37">
        <f>IF(A75="","",TEXT(A75,"ddd"))</f>
        <v/>
      </c>
      <c r="C75" s="38" t="n">
        <v>6</v>
      </c>
      <c r="D75" s="38" t="n">
        <v>5</v>
      </c>
      <c r="E75" s="38" t="n">
        <v>24</v>
      </c>
      <c r="F75" s="38" t="n">
        <v>6</v>
      </c>
      <c r="G75" s="38" t="n">
        <v>5</v>
      </c>
      <c r="H75" s="38" t="n">
        <v>3</v>
      </c>
      <c r="I75" s="38" t="n">
        <v>1</v>
      </c>
      <c r="J75" s="38" t="n">
        <v>1</v>
      </c>
      <c r="K75" s="38" t="n">
        <v>0</v>
      </c>
      <c r="L75" s="39" t="n">
        <v>0</v>
      </c>
      <c r="M75" s="39" t="n">
        <v>0</v>
      </c>
      <c r="N75" s="38" t="n">
        <v>4301</v>
      </c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  <c r="T75" s="43">
        <f>IF(Q75=1,A75,"")</f>
        <v/>
      </c>
    </row>
    <row r="76">
      <c r="A76" s="36">
        <f>A75+1</f>
        <v/>
      </c>
      <c r="B76" s="37">
        <f>IF(A76="","",TEXT(A76,"ddd"))</f>
        <v/>
      </c>
      <c r="C76" s="38" t="n">
        <v>2</v>
      </c>
      <c r="D76" s="38" t="n">
        <v>2</v>
      </c>
      <c r="E76" s="38" t="n">
        <v>8</v>
      </c>
      <c r="F76" s="38" t="n">
        <v>3</v>
      </c>
      <c r="G76" s="38" t="n">
        <v>2</v>
      </c>
      <c r="H76" s="38" t="n">
        <v>1</v>
      </c>
      <c r="I76" s="38" t="n">
        <v>0</v>
      </c>
      <c r="J76" s="38" t="n">
        <v>1</v>
      </c>
      <c r="K76" s="38" t="n">
        <v>0</v>
      </c>
      <c r="L76" s="39" t="n">
        <v>0</v>
      </c>
      <c r="M76" s="39" t="n">
        <v>0</v>
      </c>
      <c r="N76" s="38" t="n">
        <v>4312</v>
      </c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  <c r="T76" s="43">
        <f>IF(Q76=1,A76,"")</f>
        <v/>
      </c>
    </row>
    <row r="77">
      <c r="A77" s="36">
        <f>A76+1</f>
        <v/>
      </c>
      <c r="B77" s="37">
        <f>IF(A77="","",TEXT(A77,"ddd"))</f>
        <v/>
      </c>
      <c r="C77" s="38" t="n">
        <v>0</v>
      </c>
      <c r="D77" s="38" t="n">
        <v>0</v>
      </c>
      <c r="E77" s="38" t="n">
        <v>0</v>
      </c>
      <c r="F77" s="38" t="n">
        <v>0</v>
      </c>
      <c r="G77" s="38" t="n">
        <v>0</v>
      </c>
      <c r="H77" s="38" t="n">
        <v>0</v>
      </c>
      <c r="I77" s="38" t="n">
        <v>0</v>
      </c>
      <c r="J77" s="38" t="n">
        <v>0</v>
      </c>
      <c r="K77" s="38" t="n">
        <v>0</v>
      </c>
      <c r="L77" s="39" t="n">
        <v>0</v>
      </c>
      <c r="M77" s="39" t="n">
        <v>0</v>
      </c>
      <c r="N77" s="38" t="n">
        <v>4312</v>
      </c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  <c r="T77" s="43">
        <f>IF(Q77=1,A77,"")</f>
        <v/>
      </c>
    </row>
    <row r="78">
      <c r="A78" s="36">
        <f>A77+1</f>
        <v/>
      </c>
      <c r="B78" s="37">
        <f>IF(A78="","",TEXT(A78,"ddd"))</f>
        <v/>
      </c>
      <c r="C78" s="38" t="n">
        <v>7</v>
      </c>
      <c r="D78" s="38" t="n">
        <v>6</v>
      </c>
      <c r="E78" s="38" t="n">
        <v>25</v>
      </c>
      <c r="F78" s="38" t="n">
        <v>6</v>
      </c>
      <c r="G78" s="38" t="n">
        <v>4</v>
      </c>
      <c r="H78" s="38" t="n">
        <v>3</v>
      </c>
      <c r="I78" s="38" t="n">
        <v>1</v>
      </c>
      <c r="J78" s="38" t="n">
        <v>0</v>
      </c>
      <c r="K78" s="38" t="n">
        <v>0</v>
      </c>
      <c r="L78" s="39" t="n">
        <v>0</v>
      </c>
      <c r="M78" s="39" t="n">
        <v>0</v>
      </c>
      <c r="N78" s="38" t="n">
        <v>4326</v>
      </c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  <c r="T78" s="43">
        <f>IF(Q78=1,A78,"")</f>
        <v/>
      </c>
    </row>
    <row r="79">
      <c r="A79" s="36">
        <f>A78+1</f>
        <v/>
      </c>
      <c r="B79" s="37">
        <f>IF(A79="","",TEXT(A79,"ddd"))</f>
        <v/>
      </c>
      <c r="C79" s="38" t="n">
        <v>6</v>
      </c>
      <c r="D79" s="38" t="n">
        <v>6</v>
      </c>
      <c r="E79" s="38" t="n">
        <v>24</v>
      </c>
      <c r="F79" s="38" t="n">
        <v>6</v>
      </c>
      <c r="G79" s="38" t="n">
        <v>4</v>
      </c>
      <c r="H79" s="38" t="n">
        <v>2</v>
      </c>
      <c r="I79" s="38" t="n">
        <v>0</v>
      </c>
      <c r="J79" s="38" t="n">
        <v>1</v>
      </c>
      <c r="K79" s="38" t="n">
        <v>0</v>
      </c>
      <c r="L79" s="39" t="n">
        <v>0</v>
      </c>
      <c r="M79" s="39" t="n">
        <v>0</v>
      </c>
      <c r="N79" s="38" t="n">
        <v>4351</v>
      </c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  <c r="T79" s="43">
        <f>IF(Q79=1,A79,"")</f>
        <v/>
      </c>
    </row>
    <row r="80">
      <c r="A80" s="36">
        <f>A79+1</f>
        <v/>
      </c>
      <c r="B80" s="37">
        <f>IF(A80="","",TEXT(A80,"ddd"))</f>
        <v/>
      </c>
      <c r="C80" s="38" t="n">
        <v>6</v>
      </c>
      <c r="D80" s="38" t="n">
        <v>5</v>
      </c>
      <c r="E80" s="38" t="n">
        <v>25</v>
      </c>
      <c r="F80" s="38" t="n">
        <v>8</v>
      </c>
      <c r="G80" s="38" t="n">
        <v>5</v>
      </c>
      <c r="H80" s="38" t="n">
        <v>2</v>
      </c>
      <c r="I80" s="38" t="n">
        <v>1</v>
      </c>
      <c r="J80" s="38" t="n">
        <v>0</v>
      </c>
      <c r="K80" s="38" t="n">
        <v>0</v>
      </c>
      <c r="L80" s="39" t="n">
        <v>0</v>
      </c>
      <c r="M80" s="39" t="n">
        <v>0</v>
      </c>
      <c r="N80" s="38" t="n">
        <v>4369</v>
      </c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  <c r="T80" s="43">
        <f>IF(Q80=1,A80,"")</f>
        <v/>
      </c>
    </row>
    <row r="81">
      <c r="A81" s="36">
        <f>A80+1</f>
        <v/>
      </c>
      <c r="B81" s="37">
        <f>IF(A81="","",TEXT(A81,"ddd"))</f>
        <v/>
      </c>
      <c r="C81" s="38" t="n">
        <v>6</v>
      </c>
      <c r="D81" s="38" t="n">
        <v>5</v>
      </c>
      <c r="E81" s="38" t="n">
        <v>29</v>
      </c>
      <c r="F81" s="38" t="n">
        <v>12</v>
      </c>
      <c r="G81" s="38" t="n">
        <v>9</v>
      </c>
      <c r="H81" s="38" t="n">
        <v>6</v>
      </c>
      <c r="I81" s="38" t="n">
        <v>2</v>
      </c>
      <c r="J81" s="38" t="n">
        <v>1</v>
      </c>
      <c r="K81" s="38" t="n">
        <v>1</v>
      </c>
      <c r="L81" s="39" t="n">
        <v>2000</v>
      </c>
      <c r="M81" s="39" t="n">
        <v>3500</v>
      </c>
      <c r="N81" s="38" t="n">
        <v>4390</v>
      </c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  <c r="T81" s="43">
        <f>IF(Q81=1,A81,"")</f>
        <v/>
      </c>
    </row>
    <row r="82">
      <c r="A82" s="36">
        <f>A81+1</f>
        <v/>
      </c>
      <c r="B82" s="37">
        <f>IF(A82="","",TEXT(A82,"ddd"))</f>
        <v/>
      </c>
      <c r="C82" s="38" t="n">
        <v>6</v>
      </c>
      <c r="D82" s="38" t="n">
        <v>7</v>
      </c>
      <c r="E82" s="38" t="n">
        <v>28</v>
      </c>
      <c r="F82" s="38" t="n">
        <v>13</v>
      </c>
      <c r="G82" s="38" t="n">
        <v>6</v>
      </c>
      <c r="H82" s="38" t="n">
        <v>5</v>
      </c>
      <c r="I82" s="38" t="n">
        <v>2</v>
      </c>
      <c r="J82" s="38" t="n">
        <v>1</v>
      </c>
      <c r="K82" s="38" t="n">
        <v>1</v>
      </c>
      <c r="L82" s="39" t="n">
        <v>1500</v>
      </c>
      <c r="M82" s="39" t="n">
        <v>3000</v>
      </c>
      <c r="N82" s="38" t="n">
        <v>4413</v>
      </c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  <c r="T82" s="43">
        <f>IF(Q82=1,A82,"")</f>
        <v/>
      </c>
    </row>
    <row r="83">
      <c r="A83" s="36">
        <f>A82+1</f>
        <v/>
      </c>
      <c r="B83" s="37">
        <f>IF(A83="","",TEXT(A83,"ddd"))</f>
        <v/>
      </c>
      <c r="C83" s="38" t="n">
        <v>2</v>
      </c>
      <c r="D83" s="38" t="n">
        <v>2</v>
      </c>
      <c r="E83" s="38" t="n">
        <v>9</v>
      </c>
      <c r="F83" s="38" t="n">
        <v>4</v>
      </c>
      <c r="G83" s="38" t="n">
        <v>2</v>
      </c>
      <c r="H83" s="38" t="n">
        <v>1</v>
      </c>
      <c r="I83" s="38" t="n">
        <v>0</v>
      </c>
      <c r="J83" s="38" t="n">
        <v>1</v>
      </c>
      <c r="K83" s="38" t="n">
        <v>1</v>
      </c>
      <c r="L83" s="39" t="n">
        <v>2000</v>
      </c>
      <c r="M83" s="39" t="n">
        <v>2000</v>
      </c>
      <c r="N83" s="38" t="n">
        <v>4426</v>
      </c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  <c r="T83" s="43">
        <f>IF(Q83=1,A83,"")</f>
        <v/>
      </c>
    </row>
    <row r="84">
      <c r="A84" s="36">
        <f>A83+1</f>
        <v/>
      </c>
      <c r="B84" s="37">
        <f>IF(A84="","",TEXT(A84,"ddd"))</f>
        <v/>
      </c>
      <c r="C84" s="38" t="n">
        <v>3</v>
      </c>
      <c r="D84" s="38" t="n">
        <v>2</v>
      </c>
      <c r="E84" s="38" t="n">
        <v>9</v>
      </c>
      <c r="F84" s="38" t="n">
        <v>5</v>
      </c>
      <c r="G84" s="38" t="n">
        <v>2</v>
      </c>
      <c r="H84" s="38" t="n">
        <v>1</v>
      </c>
      <c r="I84" s="38" t="n">
        <v>0</v>
      </c>
      <c r="J84" s="38" t="n">
        <v>0</v>
      </c>
      <c r="K84" s="38" t="n">
        <v>0</v>
      </c>
      <c r="L84" s="39" t="n">
        <v>0</v>
      </c>
      <c r="M84" s="39" t="n">
        <v>0</v>
      </c>
      <c r="N84" s="38" t="n">
        <v>4458</v>
      </c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  <c r="T84" s="43">
        <f>IF(Q84=1,A84,"")</f>
        <v/>
      </c>
    </row>
    <row r="85">
      <c r="A85" s="36">
        <f>A84+1</f>
        <v/>
      </c>
      <c r="B85" s="37">
        <f>IF(A85="","",TEXT(A85,"ddd"))</f>
        <v/>
      </c>
      <c r="C85" s="38" t="n">
        <v>8</v>
      </c>
      <c r="D85" s="38" t="n">
        <v>5</v>
      </c>
      <c r="E85" s="38" t="n">
        <v>25</v>
      </c>
      <c r="F85" s="38" t="n">
        <v>12</v>
      </c>
      <c r="G85" s="38" t="n">
        <v>6</v>
      </c>
      <c r="H85" s="38" t="n">
        <v>3</v>
      </c>
      <c r="I85" s="38" t="n">
        <v>1</v>
      </c>
      <c r="J85" s="38" t="n">
        <v>0</v>
      </c>
      <c r="K85" s="38" t="n">
        <v>0</v>
      </c>
      <c r="L85" s="39" t="n">
        <v>0</v>
      </c>
      <c r="M85" s="39" t="n">
        <v>0</v>
      </c>
      <c r="N85" s="38" t="n">
        <v>4483</v>
      </c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  <c r="T85" s="43">
        <f>IF(Q85=1,A85,"")</f>
        <v/>
      </c>
    </row>
    <row r="86">
      <c r="A86" s="36">
        <f>A85+1</f>
        <v/>
      </c>
      <c r="B86" s="37">
        <f>IF(A86="","",TEXT(A86,"ddd"))</f>
        <v/>
      </c>
      <c r="C86" s="38" t="n">
        <v>8</v>
      </c>
      <c r="D86" s="38" t="n">
        <v>6</v>
      </c>
      <c r="E86" s="38" t="n">
        <v>25</v>
      </c>
      <c r="F86" s="38" t="n">
        <v>13</v>
      </c>
      <c r="G86" s="38" t="n">
        <v>9</v>
      </c>
      <c r="H86" s="38" t="n">
        <v>6</v>
      </c>
      <c r="I86" s="38" t="n">
        <v>2</v>
      </c>
      <c r="J86" s="38" t="n">
        <v>1</v>
      </c>
      <c r="K86" s="38" t="n">
        <v>1</v>
      </c>
      <c r="L86" s="39" t="n">
        <v>2000</v>
      </c>
      <c r="M86" s="39" t="n">
        <v>2000</v>
      </c>
      <c r="N86" s="38" t="n">
        <v>4499</v>
      </c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  <c r="T86" s="43">
        <f>IF(Q86=1,A86,"")</f>
        <v/>
      </c>
    </row>
    <row r="87">
      <c r="A87" s="36">
        <f>A86+1</f>
        <v/>
      </c>
      <c r="B87" s="37">
        <f>IF(A87="","",TEXT(A87,"ddd"))</f>
        <v/>
      </c>
      <c r="C87" s="38" t="n">
        <v>8</v>
      </c>
      <c r="D87" s="38" t="n">
        <v>7</v>
      </c>
      <c r="E87" s="38" t="n">
        <v>24</v>
      </c>
      <c r="F87" s="38" t="n">
        <v>11</v>
      </c>
      <c r="G87" s="38" t="n">
        <v>8</v>
      </c>
      <c r="H87" s="38" t="n">
        <v>3</v>
      </c>
      <c r="I87" s="38" t="n">
        <v>1</v>
      </c>
      <c r="J87" s="38" t="n">
        <v>2</v>
      </c>
      <c r="K87" s="38" t="n">
        <v>1</v>
      </c>
      <c r="L87" s="39" t="n">
        <v>2000</v>
      </c>
      <c r="M87" s="39" t="n">
        <v>2000</v>
      </c>
      <c r="N87" s="38" t="n">
        <v>4529</v>
      </c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  <c r="T87" s="43">
        <f>IF(Q87=1,A87,"")</f>
        <v/>
      </c>
    </row>
    <row r="88">
      <c r="A88" s="36">
        <f>A87+1</f>
        <v/>
      </c>
      <c r="B88" s="37">
        <f>IF(A88="","",TEXT(A88,"ddd"))</f>
        <v/>
      </c>
      <c r="C88" s="38" t="n">
        <v>6</v>
      </c>
      <c r="D88" s="38" t="n">
        <v>7</v>
      </c>
      <c r="E88" s="38" t="n">
        <v>24</v>
      </c>
      <c r="F88" s="38" t="n">
        <v>13</v>
      </c>
      <c r="G88" s="38" t="n">
        <v>8</v>
      </c>
      <c r="H88" s="38" t="n">
        <v>4</v>
      </c>
      <c r="I88" s="38" t="n">
        <v>1</v>
      </c>
      <c r="J88" s="38" t="n">
        <v>1</v>
      </c>
      <c r="K88" s="38" t="n">
        <v>1</v>
      </c>
      <c r="L88" s="39" t="n">
        <v>1500</v>
      </c>
      <c r="M88" s="39" t="n">
        <v>1500</v>
      </c>
      <c r="N88" s="38" t="n">
        <v>4552</v>
      </c>
      <c r="O88" s="40">
        <f>IF($Q88=0,"",IF(C88&gt;=C$2,1,0)+IF(D88&gt;=D$2,1,0)+IF(E88&gt;=E$2,1,0)+IF(F88&gt;=F$2,1,0))</f>
        <v/>
      </c>
      <c r="P88" s="41" t="inlineStr">
        <is>
          <t>Back on follow-ups properly this week</t>
        </is>
      </c>
      <c r="Q88" s="42">
        <f>IF(COUNT(C88:M88)&gt;0,1,0)</f>
        <v/>
      </c>
      <c r="R88" s="42">
        <f>IF(Q88=0,0,R87+1)</f>
        <v/>
      </c>
      <c r="S88" s="42">
        <f>IF(O88="",0,IF(O88=4,S87+1,0))</f>
        <v/>
      </c>
      <c r="T88" s="43">
        <f>IF(Q88=1,A88,"")</f>
        <v/>
      </c>
    </row>
    <row r="89">
      <c r="A89" s="36">
        <f>A88+1</f>
        <v/>
      </c>
      <c r="B89" s="37">
        <f>IF(A89="","",TEXT(A89,"ddd"))</f>
        <v/>
      </c>
      <c r="C89" s="38" t="n">
        <v>8</v>
      </c>
      <c r="D89" s="38" t="n">
        <v>5</v>
      </c>
      <c r="E89" s="38" t="n">
        <v>26</v>
      </c>
      <c r="F89" s="38" t="n">
        <v>14</v>
      </c>
      <c r="G89" s="38" t="n">
        <v>10</v>
      </c>
      <c r="H89" s="38" t="n">
        <v>5</v>
      </c>
      <c r="I89" s="38" t="n">
        <v>1</v>
      </c>
      <c r="J89" s="38" t="n">
        <v>1</v>
      </c>
      <c r="K89" s="38" t="n">
        <v>0</v>
      </c>
      <c r="L89" s="39" t="n">
        <v>0</v>
      </c>
      <c r="M89" s="39" t="n">
        <v>0</v>
      </c>
      <c r="N89" s="38" t="n">
        <v>4580</v>
      </c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  <c r="T89" s="43">
        <f>IF(Q89=1,A89,"")</f>
        <v/>
      </c>
    </row>
    <row r="90">
      <c r="A90" s="36">
        <f>A89+1</f>
        <v/>
      </c>
      <c r="B90" s="37">
        <f>IF(A90="","",TEXT(A90,"ddd"))</f>
        <v/>
      </c>
      <c r="C90" s="38" t="n">
        <v>2</v>
      </c>
      <c r="D90" s="38" t="n">
        <v>2</v>
      </c>
      <c r="E90" s="38" t="n">
        <v>9</v>
      </c>
      <c r="F90" s="38" t="n">
        <v>4</v>
      </c>
      <c r="G90" s="38" t="n">
        <v>3</v>
      </c>
      <c r="H90" s="38" t="n">
        <v>2</v>
      </c>
      <c r="I90" s="38" t="n">
        <v>1</v>
      </c>
      <c r="J90" s="38" t="n">
        <v>0</v>
      </c>
      <c r="K90" s="38" t="n">
        <v>0</v>
      </c>
      <c r="L90" s="39" t="n">
        <v>0</v>
      </c>
      <c r="M90" s="39" t="n">
        <v>0</v>
      </c>
      <c r="N90" s="38" t="n">
        <v>4591</v>
      </c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  <c r="T90" s="43">
        <f>IF(Q90=1,A90,"")</f>
        <v/>
      </c>
    </row>
    <row r="91">
      <c r="A91" s="36">
        <f>A90+1</f>
        <v/>
      </c>
      <c r="B91" s="37">
        <f>IF(A91="","",TEXT(A91,"ddd"))</f>
        <v/>
      </c>
      <c r="C91" s="38" t="n">
        <v>3</v>
      </c>
      <c r="D91" s="38" t="n">
        <v>2</v>
      </c>
      <c r="E91" s="38" t="n">
        <v>9</v>
      </c>
      <c r="F91" s="38" t="n">
        <v>5</v>
      </c>
      <c r="G91" s="38" t="n">
        <v>3</v>
      </c>
      <c r="H91" s="38" t="n">
        <v>2</v>
      </c>
      <c r="I91" s="38" t="n">
        <v>1</v>
      </c>
      <c r="J91" s="38" t="n">
        <v>0</v>
      </c>
      <c r="K91" s="38" t="n">
        <v>0</v>
      </c>
      <c r="L91" s="39" t="n">
        <v>0</v>
      </c>
      <c r="M91" s="39" t="n">
        <v>0</v>
      </c>
      <c r="N91" s="38" t="n">
        <v>4600</v>
      </c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  <c r="T91" s="43">
        <f>IF(Q91=1,A91,"")</f>
        <v/>
      </c>
    </row>
    <row r="92">
      <c r="A92" s="36">
        <f>A91+1</f>
        <v/>
      </c>
      <c r="B92" s="37">
        <f>IF(A92="","",TEXT(A92,"ddd"))</f>
        <v/>
      </c>
      <c r="C92" s="38" t="n">
        <v>6</v>
      </c>
      <c r="D92" s="38" t="n">
        <v>6</v>
      </c>
      <c r="E92" s="38" t="n">
        <v>24</v>
      </c>
      <c r="F92" s="38" t="n">
        <v>15</v>
      </c>
      <c r="G92" s="38" t="n">
        <v>6</v>
      </c>
      <c r="H92" s="38" t="n">
        <v>3</v>
      </c>
      <c r="I92" s="38" t="n">
        <v>1</v>
      </c>
      <c r="J92" s="38" t="n">
        <v>1</v>
      </c>
      <c r="K92" s="38" t="n">
        <v>1</v>
      </c>
      <c r="L92" s="39" t="n">
        <v>2000</v>
      </c>
      <c r="M92" s="39" t="n">
        <v>2000</v>
      </c>
      <c r="N92" s="38" t="n">
        <v>4620</v>
      </c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  <c r="T92" s="43">
        <f>IF(Q92=1,A92,"")</f>
        <v/>
      </c>
    </row>
    <row r="93">
      <c r="A93" s="36">
        <f>A92+1</f>
        <v/>
      </c>
      <c r="B93" s="37">
        <f>IF(A93="","",TEXT(A93,"ddd"))</f>
        <v/>
      </c>
      <c r="C93" s="38" t="n">
        <v>8</v>
      </c>
      <c r="D93" s="38" t="n">
        <v>7</v>
      </c>
      <c r="E93" s="38" t="n">
        <v>25</v>
      </c>
      <c r="F93" s="38" t="n">
        <v>13</v>
      </c>
      <c r="G93" s="38" t="n">
        <v>10</v>
      </c>
      <c r="H93" s="38" t="n">
        <v>5</v>
      </c>
      <c r="I93" s="38" t="n">
        <v>2</v>
      </c>
      <c r="J93" s="38" t="n">
        <v>1</v>
      </c>
      <c r="K93" s="38" t="n">
        <v>0</v>
      </c>
      <c r="L93" s="39" t="n">
        <v>0</v>
      </c>
      <c r="M93" s="39" t="n">
        <v>0</v>
      </c>
      <c r="N93" s="38" t="n">
        <v>4650</v>
      </c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  <c r="T93" s="43">
        <f>IF(Q93=1,A93,"")</f>
        <v/>
      </c>
    </row>
    <row r="94">
      <c r="A94" s="36">
        <f>A93+1</f>
        <v/>
      </c>
      <c r="B94" s="37">
        <f>IF(A94="","",TEXT(A94,"ddd"))</f>
        <v/>
      </c>
      <c r="C94" s="38" t="n">
        <v>7</v>
      </c>
      <c r="D94" s="38" t="n">
        <v>6</v>
      </c>
      <c r="E94" s="38" t="n">
        <v>27</v>
      </c>
      <c r="F94" s="38" t="n">
        <v>13</v>
      </c>
      <c r="G94" s="38" t="n">
        <v>8</v>
      </c>
      <c r="H94" s="38" t="n">
        <v>4</v>
      </c>
      <c r="I94" s="38" t="n">
        <v>2</v>
      </c>
      <c r="J94" s="38" t="n">
        <v>2</v>
      </c>
      <c r="K94" s="38" t="n">
        <v>1</v>
      </c>
      <c r="L94" s="39" t="n">
        <v>2000</v>
      </c>
      <c r="M94" s="39" t="n">
        <v>2000</v>
      </c>
      <c r="N94" s="38" t="n">
        <v>4671</v>
      </c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  <c r="T94" s="43">
        <f>IF(Q94=1,A94,"")</f>
        <v/>
      </c>
    </row>
    <row r="95">
      <c r="A95" s="36">
        <f>A94+1</f>
        <v/>
      </c>
      <c r="B95" s="37">
        <f>IF(A95="","",TEXT(A95,"ddd"))</f>
        <v/>
      </c>
      <c r="C95" s="38" t="n">
        <v>8</v>
      </c>
      <c r="D95" s="38" t="n">
        <v>6</v>
      </c>
      <c r="E95" s="38" t="n">
        <v>29</v>
      </c>
      <c r="F95" s="38" t="n">
        <v>12</v>
      </c>
      <c r="G95" s="38" t="n">
        <v>10</v>
      </c>
      <c r="H95" s="38" t="n">
        <v>5</v>
      </c>
      <c r="I95" s="38" t="n">
        <v>2</v>
      </c>
      <c r="J95" s="38" t="n">
        <v>2</v>
      </c>
      <c r="K95" s="38" t="n">
        <v>1</v>
      </c>
      <c r="L95" s="39" t="n">
        <v>1500</v>
      </c>
      <c r="M95" s="39" t="n">
        <v>1500</v>
      </c>
      <c r="N95" s="38" t="n">
        <v>4689</v>
      </c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  <c r="T95" s="43">
        <f>IF(Q95=1,A95,"")</f>
        <v/>
      </c>
    </row>
    <row r="96">
      <c r="A96" s="36">
        <f>A95+1</f>
        <v/>
      </c>
      <c r="B96" s="37">
        <f>IF(A96="","",TEXT(A96,"ddd"))</f>
        <v/>
      </c>
      <c r="C96" s="38" t="n">
        <v>6</v>
      </c>
      <c r="D96" s="38" t="n">
        <v>5</v>
      </c>
      <c r="E96" s="38" t="n">
        <v>27</v>
      </c>
      <c r="F96" s="38" t="n">
        <v>11</v>
      </c>
      <c r="G96" s="38" t="n">
        <v>8</v>
      </c>
      <c r="H96" s="38" t="n">
        <v>5</v>
      </c>
      <c r="I96" s="38" t="n">
        <v>2</v>
      </c>
      <c r="J96" s="38" t="n">
        <v>1</v>
      </c>
      <c r="K96" s="38" t="n">
        <v>1</v>
      </c>
      <c r="L96" s="39" t="n">
        <v>2000</v>
      </c>
      <c r="M96" s="39" t="n">
        <v>3500</v>
      </c>
      <c r="N96" s="38" t="n">
        <v>4700</v>
      </c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  <c r="T96" s="43">
        <f>IF(Q96=1,A96,"")</f>
        <v/>
      </c>
    </row>
    <row r="97">
      <c r="A97" s="36">
        <f>A96+1</f>
        <v/>
      </c>
      <c r="B97" s="37">
        <f>IF(A97="","",TEXT(A97,"ddd"))</f>
        <v/>
      </c>
      <c r="C97" s="38" t="n">
        <v>2</v>
      </c>
      <c r="D97" s="38" t="n">
        <v>2</v>
      </c>
      <c r="E97" s="38" t="n">
        <v>9</v>
      </c>
      <c r="F97" s="38" t="n">
        <v>4</v>
      </c>
      <c r="G97" s="38" t="n">
        <v>3</v>
      </c>
      <c r="H97" s="38" t="n">
        <v>1</v>
      </c>
      <c r="I97" s="38" t="n">
        <v>0</v>
      </c>
      <c r="J97" s="38" t="n">
        <v>2</v>
      </c>
      <c r="K97" s="38" t="n">
        <v>1</v>
      </c>
      <c r="L97" s="39" t="n">
        <v>2000</v>
      </c>
      <c r="M97" s="39" t="n">
        <v>2000</v>
      </c>
      <c r="N97" s="38" t="n">
        <v>4725</v>
      </c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  <c r="T97" s="43">
        <f>IF(Q97=1,A97,"")</f>
        <v/>
      </c>
    </row>
    <row r="98">
      <c r="A98" s="36">
        <f>A97+1</f>
        <v/>
      </c>
      <c r="B98" s="37">
        <f>IF(A98="","",TEXT(A98,"ddd"))</f>
        <v/>
      </c>
      <c r="C98" s="38" t="n">
        <v>2</v>
      </c>
      <c r="D98" s="38" t="n">
        <v>2</v>
      </c>
      <c r="E98" s="38" t="n">
        <v>9</v>
      </c>
      <c r="F98" s="38" t="n">
        <v>5</v>
      </c>
      <c r="G98" s="38" t="n">
        <v>3</v>
      </c>
      <c r="H98" s="38" t="n">
        <v>2</v>
      </c>
      <c r="I98" s="38" t="n">
        <v>1</v>
      </c>
      <c r="J98" s="38" t="n">
        <v>0</v>
      </c>
      <c r="K98" s="38" t="n">
        <v>0</v>
      </c>
      <c r="L98" s="39" t="n">
        <v>0</v>
      </c>
      <c r="M98" s="39" t="n">
        <v>0</v>
      </c>
      <c r="N98" s="38" t="n">
        <v>4749</v>
      </c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  <c r="T98" s="43">
        <f>IF(Q98=1,A98,"")</f>
        <v/>
      </c>
    </row>
    <row r="99">
      <c r="A99" s="36">
        <f>A98+1</f>
        <v/>
      </c>
      <c r="B99" s="37">
        <f>IF(A99="","",TEXT(A99,"ddd"))</f>
        <v/>
      </c>
      <c r="C99" s="38" t="n">
        <v>7</v>
      </c>
      <c r="D99" s="38" t="n">
        <v>7</v>
      </c>
      <c r="E99" s="38" t="n">
        <v>29</v>
      </c>
      <c r="F99" s="38" t="n">
        <v>11</v>
      </c>
      <c r="G99" s="38" t="n">
        <v>10</v>
      </c>
      <c r="H99" s="38" t="n">
        <v>8</v>
      </c>
      <c r="I99" s="38" t="n">
        <v>3</v>
      </c>
      <c r="J99" s="38" t="n">
        <v>0</v>
      </c>
      <c r="K99" s="38" t="n">
        <v>0</v>
      </c>
      <c r="L99" s="39" t="n">
        <v>0</v>
      </c>
      <c r="M99" s="39" t="n">
        <v>0</v>
      </c>
      <c r="N99" s="38" t="n">
        <v>4779</v>
      </c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  <c r="T99" s="43">
        <f>IF(Q99=1,A99,"")</f>
        <v/>
      </c>
    </row>
    <row r="100">
      <c r="A100" s="36">
        <f>A99+1</f>
        <v/>
      </c>
      <c r="B100" s="37">
        <f>IF(A100="","",TEXT(A100,"ddd"))</f>
        <v/>
      </c>
      <c r="C100" s="38" t="n">
        <v>7</v>
      </c>
      <c r="D100" s="38" t="n">
        <v>5</v>
      </c>
      <c r="E100" s="38" t="n">
        <v>29</v>
      </c>
      <c r="F100" s="38" t="n">
        <v>14</v>
      </c>
      <c r="G100" s="38" t="n">
        <v>11</v>
      </c>
      <c r="H100" s="38" t="n">
        <v>8</v>
      </c>
      <c r="I100" s="38" t="n">
        <v>4</v>
      </c>
      <c r="J100" s="38" t="n">
        <v>3</v>
      </c>
      <c r="K100" s="38" t="n">
        <v>0</v>
      </c>
      <c r="L100" s="39" t="n">
        <v>0</v>
      </c>
      <c r="M100" s="39" t="n">
        <v>0</v>
      </c>
      <c r="N100" s="38" t="n">
        <v>4792</v>
      </c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  <c r="T100" s="43">
        <f>IF(Q100=1,A100,"")</f>
        <v/>
      </c>
    </row>
    <row r="101">
      <c r="A101" s="36">
        <f>A100+1</f>
        <v/>
      </c>
      <c r="B101" s="37">
        <f>IF(A101="","",TEXT(A101,"ddd"))</f>
        <v/>
      </c>
      <c r="C101" s="38" t="n">
        <v>6</v>
      </c>
      <c r="D101" s="38" t="n">
        <v>7</v>
      </c>
      <c r="E101" s="38" t="n">
        <v>24</v>
      </c>
      <c r="F101" s="38" t="n">
        <v>14</v>
      </c>
      <c r="G101" s="38" t="n">
        <v>9</v>
      </c>
      <c r="H101" s="38" t="n">
        <v>5</v>
      </c>
      <c r="I101" s="38" t="n">
        <v>2</v>
      </c>
      <c r="J101" s="38" t="n">
        <v>3</v>
      </c>
      <c r="K101" s="38" t="n">
        <v>1</v>
      </c>
      <c r="L101" s="39" t="n">
        <v>2000</v>
      </c>
      <c r="M101" s="39" t="n">
        <v>2000</v>
      </c>
      <c r="N101" s="38" t="n">
        <v>4815</v>
      </c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  <c r="T101" s="43">
        <f>IF(Q101=1,A101,"")</f>
        <v/>
      </c>
    </row>
    <row r="102">
      <c r="A102" s="36">
        <f>A101+1</f>
        <v/>
      </c>
      <c r="B102" s="37">
        <f>IF(A102="","",TEXT(A102,"ddd"))</f>
        <v/>
      </c>
      <c r="C102" s="38" t="n">
        <v>6</v>
      </c>
      <c r="D102" s="38" t="n">
        <v>7</v>
      </c>
      <c r="E102" s="38" t="n">
        <v>26</v>
      </c>
      <c r="F102" s="38" t="n">
        <v>11</v>
      </c>
      <c r="G102" s="38" t="n">
        <v>7</v>
      </c>
      <c r="H102" s="38" t="n">
        <v>3</v>
      </c>
      <c r="I102" s="38" t="n">
        <v>1</v>
      </c>
      <c r="J102" s="38" t="n">
        <v>2</v>
      </c>
      <c r="K102" s="38" t="n">
        <v>0</v>
      </c>
      <c r="L102" s="39" t="n">
        <v>0</v>
      </c>
      <c r="M102" s="39" t="n">
        <v>0</v>
      </c>
      <c r="N102" s="38" t="n">
        <v>4838</v>
      </c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  <c r="T102" s="43">
        <f>IF(Q102=1,A102,"")</f>
        <v/>
      </c>
    </row>
    <row r="103">
      <c r="A103" s="36">
        <f>A102+1</f>
        <v/>
      </c>
      <c r="B103" s="37">
        <f>IF(A103="","",TEXT(A103,"ddd"))</f>
        <v/>
      </c>
      <c r="C103" s="38" t="n">
        <v>6</v>
      </c>
      <c r="D103" s="38" t="n">
        <v>6</v>
      </c>
      <c r="E103" s="38" t="n">
        <v>26</v>
      </c>
      <c r="F103" s="38" t="n">
        <v>12</v>
      </c>
      <c r="G103" s="38" t="n">
        <v>10</v>
      </c>
      <c r="H103" s="38" t="n">
        <v>8</v>
      </c>
      <c r="I103" s="38" t="n">
        <v>3</v>
      </c>
      <c r="J103" s="38" t="n">
        <v>0</v>
      </c>
      <c r="K103" s="38" t="n">
        <v>0</v>
      </c>
      <c r="L103" s="39" t="n">
        <v>0</v>
      </c>
      <c r="M103" s="39" t="n">
        <v>0</v>
      </c>
      <c r="N103" s="38" t="n">
        <v>4864</v>
      </c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  <c r="T103" s="43">
        <f>IF(Q103=1,A103,"")</f>
        <v/>
      </c>
    </row>
    <row r="104">
      <c r="A104" s="36">
        <f>A103+1</f>
        <v/>
      </c>
      <c r="B104" s="37">
        <f>IF(A104="","",TEXT(A104,"ddd"))</f>
        <v/>
      </c>
      <c r="C104" s="38" t="n">
        <v>2</v>
      </c>
      <c r="D104" s="38" t="n">
        <v>2</v>
      </c>
      <c r="E104" s="38" t="n">
        <v>9</v>
      </c>
      <c r="F104" s="38" t="n">
        <v>5</v>
      </c>
      <c r="G104" s="38" t="n">
        <v>4</v>
      </c>
      <c r="H104" s="38" t="n">
        <v>2</v>
      </c>
      <c r="I104" s="38" t="n">
        <v>1</v>
      </c>
      <c r="J104" s="38" t="n">
        <v>2</v>
      </c>
      <c r="K104" s="38" t="n">
        <v>1</v>
      </c>
      <c r="L104" s="39" t="n">
        <v>2000</v>
      </c>
      <c r="M104" s="39" t="n">
        <v>2000</v>
      </c>
      <c r="N104" s="38" t="n">
        <v>4889</v>
      </c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  <c r="T104" s="43">
        <f>IF(Q104=1,A104,"")</f>
        <v/>
      </c>
    </row>
    <row r="105">
      <c r="A105" s="36">
        <f>A104+1</f>
        <v/>
      </c>
      <c r="B105" s="37">
        <f>IF(A105="","",TEXT(A105,"ddd"))</f>
        <v/>
      </c>
      <c r="C105" s="38" t="n">
        <v>2</v>
      </c>
      <c r="D105" s="38" t="n">
        <v>2</v>
      </c>
      <c r="E105" s="38" t="n">
        <v>10</v>
      </c>
      <c r="F105" s="38" t="n">
        <v>4</v>
      </c>
      <c r="G105" s="38" t="n">
        <v>4</v>
      </c>
      <c r="H105" s="38" t="n">
        <v>3</v>
      </c>
      <c r="I105" s="38" t="n">
        <v>1</v>
      </c>
      <c r="J105" s="38" t="n">
        <v>1</v>
      </c>
      <c r="K105" s="38" t="n">
        <v>1</v>
      </c>
      <c r="L105" s="39" t="n">
        <v>3000</v>
      </c>
      <c r="M105" s="39" t="n">
        <v>4500</v>
      </c>
      <c r="N105" s="38" t="n">
        <v>4903</v>
      </c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  <c r="T105" s="43">
        <f>IF(Q105=1,A105,"")</f>
        <v/>
      </c>
    </row>
    <row r="106">
      <c r="A106" s="36">
        <f>A105+1</f>
        <v/>
      </c>
      <c r="B106" s="37">
        <f>IF(A106="","",TEXT(A106,"ddd"))</f>
        <v/>
      </c>
      <c r="C106" s="38" t="n">
        <v>7</v>
      </c>
      <c r="D106" s="38" t="n">
        <v>5</v>
      </c>
      <c r="E106" s="38" t="n">
        <v>29</v>
      </c>
      <c r="F106" s="38" t="n">
        <v>13</v>
      </c>
      <c r="G106" s="38" t="n">
        <v>7</v>
      </c>
      <c r="H106" s="38" t="n">
        <v>5</v>
      </c>
      <c r="I106" s="38" t="n">
        <v>2</v>
      </c>
      <c r="J106" s="38" t="n">
        <v>1</v>
      </c>
      <c r="K106" s="38" t="n">
        <v>0</v>
      </c>
      <c r="L106" s="39" t="n">
        <v>0</v>
      </c>
      <c r="M106" s="39" t="n">
        <v>0</v>
      </c>
      <c r="N106" s="38" t="n">
        <v>4931</v>
      </c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  <c r="T106" s="43">
        <f>IF(Q106=1,A106,"")</f>
        <v/>
      </c>
    </row>
    <row r="107">
      <c r="A107" s="36">
        <f>A106+1</f>
        <v/>
      </c>
      <c r="B107" s="37">
        <f>IF(A107="","",TEXT(A107,"ddd"))</f>
        <v/>
      </c>
      <c r="C107" s="38" t="n">
        <v>7</v>
      </c>
      <c r="D107" s="38" t="n">
        <v>7</v>
      </c>
      <c r="E107" s="38" t="n">
        <v>27</v>
      </c>
      <c r="F107" s="38" t="n">
        <v>11</v>
      </c>
      <c r="G107" s="38" t="n">
        <v>6</v>
      </c>
      <c r="H107" s="38" t="n">
        <v>4</v>
      </c>
      <c r="I107" s="38" t="n">
        <v>1</v>
      </c>
      <c r="J107" s="38" t="n">
        <v>0</v>
      </c>
      <c r="K107" s="38" t="n">
        <v>0</v>
      </c>
      <c r="L107" s="39" t="n">
        <v>0</v>
      </c>
      <c r="M107" s="39" t="n">
        <v>0</v>
      </c>
      <c r="N107" s="38" t="n">
        <v>4944</v>
      </c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  <c r="T107" s="43">
        <f>IF(Q107=1,A107,"")</f>
        <v/>
      </c>
    </row>
    <row r="108">
      <c r="A108" s="36">
        <f>A107+1</f>
        <v/>
      </c>
      <c r="B108" s="37">
        <f>IF(A108="","",TEXT(A108,"ddd"))</f>
        <v/>
      </c>
      <c r="C108" s="38" t="n">
        <v>6</v>
      </c>
      <c r="D108" s="38" t="n">
        <v>6</v>
      </c>
      <c r="E108" s="38" t="n">
        <v>25</v>
      </c>
      <c r="F108" s="38" t="n">
        <v>15</v>
      </c>
      <c r="G108" s="38" t="n">
        <v>10</v>
      </c>
      <c r="H108" s="38" t="n">
        <v>4</v>
      </c>
      <c r="I108" s="38" t="n">
        <v>1</v>
      </c>
      <c r="J108" s="38" t="n">
        <v>1</v>
      </c>
      <c r="K108" s="38" t="n">
        <v>0</v>
      </c>
      <c r="L108" s="39" t="n">
        <v>0</v>
      </c>
      <c r="M108" s="39" t="n">
        <v>0</v>
      </c>
      <c r="N108" s="38" t="n">
        <v>4971</v>
      </c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  <c r="T108" s="43">
        <f>IF(Q108=1,A108,"")</f>
        <v/>
      </c>
    </row>
    <row r="109">
      <c r="A109" s="36">
        <f>A108+1</f>
        <v/>
      </c>
      <c r="B109" s="37">
        <f>IF(A109="","",TEXT(A109,"ddd"))</f>
        <v/>
      </c>
      <c r="C109" s="38" t="n">
        <v>8</v>
      </c>
      <c r="D109" s="38" t="n">
        <v>7</v>
      </c>
      <c r="E109" s="38" t="n">
        <v>25</v>
      </c>
      <c r="F109" s="38" t="n">
        <v>11</v>
      </c>
      <c r="G109" s="38" t="n">
        <v>9</v>
      </c>
      <c r="H109" s="38" t="n">
        <v>5</v>
      </c>
      <c r="I109" s="38" t="n">
        <v>2</v>
      </c>
      <c r="J109" s="38" t="n">
        <v>1</v>
      </c>
      <c r="K109" s="38" t="n">
        <v>0</v>
      </c>
      <c r="L109" s="39" t="n">
        <v>0</v>
      </c>
      <c r="M109" s="39" t="n">
        <v>0</v>
      </c>
      <c r="N109" s="38" t="n">
        <v>4986</v>
      </c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  <c r="T109" s="43">
        <f>IF(Q109=1,A109,"")</f>
        <v/>
      </c>
    </row>
    <row r="110">
      <c r="A110" s="36">
        <f>A109+1</f>
        <v/>
      </c>
      <c r="B110" s="37">
        <f>IF(A110="","",TEXT(A110,"ddd"))</f>
        <v/>
      </c>
      <c r="C110" s="38" t="n">
        <v>6</v>
      </c>
      <c r="D110" s="38" t="n">
        <v>7</v>
      </c>
      <c r="E110" s="38" t="n">
        <v>26</v>
      </c>
      <c r="F110" s="38" t="n">
        <v>15</v>
      </c>
      <c r="G110" s="38" t="n">
        <v>9</v>
      </c>
      <c r="H110" s="38" t="n">
        <v>7</v>
      </c>
      <c r="I110" s="38" t="n">
        <v>3</v>
      </c>
      <c r="J110" s="38" t="n">
        <v>2</v>
      </c>
      <c r="K110" s="38" t="n">
        <v>0</v>
      </c>
      <c r="L110" s="39" t="n">
        <v>0</v>
      </c>
      <c r="M110" s="39" t="n">
        <v>0</v>
      </c>
      <c r="N110" s="38" t="n">
        <v>5016</v>
      </c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  <c r="T110" s="43">
        <f>IF(Q110=1,A110,"")</f>
        <v/>
      </c>
    </row>
    <row r="111">
      <c r="A111" s="36">
        <f>A110+1</f>
        <v/>
      </c>
      <c r="B111" s="37">
        <f>IF(A111="","",TEXT(A111,"ddd"))</f>
        <v/>
      </c>
      <c r="C111" s="38" t="n">
        <v>3</v>
      </c>
      <c r="D111" s="38" t="n">
        <v>2</v>
      </c>
      <c r="E111" s="38" t="n">
        <v>9</v>
      </c>
      <c r="F111" s="38" t="n">
        <v>4</v>
      </c>
      <c r="G111" s="38" t="n">
        <v>3</v>
      </c>
      <c r="H111" s="38" t="n">
        <v>1</v>
      </c>
      <c r="I111" s="38" t="n">
        <v>0</v>
      </c>
      <c r="J111" s="38" t="n">
        <v>1</v>
      </c>
      <c r="K111" s="38" t="n">
        <v>0</v>
      </c>
      <c r="L111" s="39" t="n">
        <v>0</v>
      </c>
      <c r="M111" s="39" t="n">
        <v>0</v>
      </c>
      <c r="N111" s="38" t="n">
        <v>5025</v>
      </c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  <c r="T111" s="43">
        <f>IF(Q111=1,A111,"")</f>
        <v/>
      </c>
    </row>
    <row r="112">
      <c r="A112" s="36">
        <f>A111+1</f>
        <v/>
      </c>
      <c r="B112" s="37">
        <f>IF(A112="","",TEXT(A112,"ddd"))</f>
        <v/>
      </c>
      <c r="C112" s="38" t="n">
        <v>2</v>
      </c>
      <c r="D112" s="38" t="n">
        <v>2</v>
      </c>
      <c r="E112" s="38" t="n">
        <v>10</v>
      </c>
      <c r="F112" s="38" t="n">
        <v>5</v>
      </c>
      <c r="G112" s="38" t="n">
        <v>3</v>
      </c>
      <c r="H112" s="38" t="n">
        <v>2</v>
      </c>
      <c r="I112" s="38" t="n">
        <v>1</v>
      </c>
      <c r="J112" s="38" t="n">
        <v>0</v>
      </c>
      <c r="K112" s="38" t="n">
        <v>0</v>
      </c>
      <c r="L112" s="39" t="n">
        <v>0</v>
      </c>
      <c r="M112" s="39" t="n">
        <v>0</v>
      </c>
      <c r="N112" s="38" t="n">
        <v>5034</v>
      </c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  <c r="T112" s="43">
        <f>IF(Q112=1,A112,"")</f>
        <v/>
      </c>
    </row>
    <row r="113">
      <c r="A113" s="36">
        <f>A112+1</f>
        <v/>
      </c>
      <c r="B113" s="37">
        <f>IF(A113="","",TEXT(A113,"ddd"))</f>
        <v/>
      </c>
      <c r="C113" s="38" t="n">
        <v>8</v>
      </c>
      <c r="D113" s="38" t="n">
        <v>5</v>
      </c>
      <c r="E113" s="38" t="n">
        <v>27</v>
      </c>
      <c r="F113" s="38" t="n">
        <v>12</v>
      </c>
      <c r="G113" s="38" t="n">
        <v>7</v>
      </c>
      <c r="H113" s="38" t="n">
        <v>4</v>
      </c>
      <c r="I113" s="38" t="n">
        <v>1</v>
      </c>
      <c r="J113" s="38" t="n">
        <v>1</v>
      </c>
      <c r="K113" s="38" t="n">
        <v>0</v>
      </c>
      <c r="L113" s="39" t="n">
        <v>0</v>
      </c>
      <c r="M113" s="39" t="n">
        <v>0</v>
      </c>
      <c r="N113" s="38" t="n">
        <v>5055</v>
      </c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  <c r="T113" s="43">
        <f>IF(Q113=1,A113,"")</f>
        <v/>
      </c>
    </row>
    <row r="114">
      <c r="A114" s="36">
        <f>A113+1</f>
        <v/>
      </c>
      <c r="B114" s="37">
        <f>IF(A114="","",TEXT(A114,"ddd"))</f>
        <v/>
      </c>
      <c r="C114" s="38" t="n">
        <v>8</v>
      </c>
      <c r="D114" s="38" t="n">
        <v>7</v>
      </c>
      <c r="E114" s="38" t="n">
        <v>23</v>
      </c>
      <c r="F114" s="38" t="n">
        <v>13</v>
      </c>
      <c r="G114" s="38" t="n">
        <v>6</v>
      </c>
      <c r="H114" s="38" t="n">
        <v>3</v>
      </c>
      <c r="I114" s="38" t="n">
        <v>1</v>
      </c>
      <c r="J114" s="38" t="n">
        <v>1</v>
      </c>
      <c r="K114" s="38" t="n">
        <v>1</v>
      </c>
      <c r="L114" s="39" t="n">
        <v>3000</v>
      </c>
      <c r="M114" s="39" t="n">
        <v>4500</v>
      </c>
      <c r="N114" s="38" t="n">
        <v>5084</v>
      </c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  <c r="T114" s="43">
        <f>IF(Q114=1,A114,"")</f>
        <v/>
      </c>
    </row>
    <row r="115">
      <c r="A115" s="36">
        <f>A114+1</f>
        <v/>
      </c>
      <c r="B115" s="37">
        <f>IF(A115="","",TEXT(A115,"ddd"))</f>
        <v/>
      </c>
      <c r="C115" s="38" t="n">
        <v>7</v>
      </c>
      <c r="D115" s="38" t="n">
        <v>6</v>
      </c>
      <c r="E115" s="38" t="n">
        <v>29</v>
      </c>
      <c r="F115" s="38" t="n">
        <v>14</v>
      </c>
      <c r="G115" s="38" t="n">
        <v>6</v>
      </c>
      <c r="H115" s="38" t="n">
        <v>3</v>
      </c>
      <c r="I115" s="38" t="n">
        <v>1</v>
      </c>
      <c r="J115" s="38" t="n">
        <v>1</v>
      </c>
      <c r="K115" s="38" t="n">
        <v>0</v>
      </c>
      <c r="L115" s="39" t="n">
        <v>0</v>
      </c>
      <c r="M115" s="39" t="n">
        <v>0</v>
      </c>
      <c r="N115" s="38" t="n">
        <v>5098</v>
      </c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  <c r="T115" s="43">
        <f>IF(Q115=1,A115,"")</f>
        <v/>
      </c>
    </row>
    <row r="116">
      <c r="A116" s="36">
        <f>A115+1</f>
        <v/>
      </c>
      <c r="B116" s="37">
        <f>IF(A116="","",TEXT(A116,"ddd"))</f>
        <v/>
      </c>
      <c r="C116" s="38" t="n">
        <v>6</v>
      </c>
      <c r="D116" s="38" t="n">
        <v>6</v>
      </c>
      <c r="E116" s="38" t="n">
        <v>23</v>
      </c>
      <c r="F116" s="38" t="n">
        <v>14</v>
      </c>
      <c r="G116" s="38" t="n">
        <v>8</v>
      </c>
      <c r="H116" s="38" t="n">
        <v>3</v>
      </c>
      <c r="I116" s="38" t="n">
        <v>0</v>
      </c>
      <c r="J116" s="38" t="n">
        <v>1</v>
      </c>
      <c r="K116" s="38" t="n">
        <v>1</v>
      </c>
      <c r="L116" s="39" t="n">
        <v>3000</v>
      </c>
      <c r="M116" s="39" t="n">
        <v>3000</v>
      </c>
      <c r="N116" s="38" t="n">
        <v>5117</v>
      </c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  <c r="T116" s="43">
        <f>IF(Q116=1,A116,"")</f>
        <v/>
      </c>
    </row>
    <row r="117">
      <c r="A117" s="36">
        <f>A116+1</f>
        <v/>
      </c>
      <c r="B117" s="37">
        <f>IF(A117="","",TEXT(A117,"ddd"))</f>
        <v/>
      </c>
      <c r="C117" s="38" t="n">
        <v>7</v>
      </c>
      <c r="D117" s="38" t="n">
        <v>7</v>
      </c>
      <c r="E117" s="38" t="n">
        <v>24</v>
      </c>
      <c r="F117" s="38" t="n">
        <v>12</v>
      </c>
      <c r="G117" s="38" t="n">
        <v>9</v>
      </c>
      <c r="H117" s="38" t="n">
        <v>6</v>
      </c>
      <c r="I117" s="38" t="n">
        <v>1</v>
      </c>
      <c r="J117" s="38" t="n">
        <v>0</v>
      </c>
      <c r="K117" s="38" t="n">
        <v>0</v>
      </c>
      <c r="L117" s="39" t="n">
        <v>0</v>
      </c>
      <c r="M117" s="39" t="n">
        <v>0</v>
      </c>
      <c r="N117" s="38" t="n">
        <v>5136</v>
      </c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  <c r="T117" s="43">
        <f>IF(Q117=1,A117,"")</f>
        <v/>
      </c>
    </row>
    <row r="118">
      <c r="A118" s="36">
        <f>A117+1</f>
        <v/>
      </c>
      <c r="B118" s="37">
        <f>IF(A118="","",TEXT(A118,"ddd"))</f>
        <v/>
      </c>
      <c r="C118" s="38" t="n">
        <v>2</v>
      </c>
      <c r="D118" s="38" t="n">
        <v>2</v>
      </c>
      <c r="E118" s="38" t="n">
        <v>8</v>
      </c>
      <c r="F118" s="38" t="n">
        <v>5</v>
      </c>
      <c r="G118" s="38" t="n">
        <v>3</v>
      </c>
      <c r="H118" s="38" t="n">
        <v>1</v>
      </c>
      <c r="I118" s="38" t="n">
        <v>0</v>
      </c>
      <c r="J118" s="38" t="n">
        <v>1</v>
      </c>
      <c r="K118" s="38" t="n">
        <v>0</v>
      </c>
      <c r="L118" s="39" t="n">
        <v>0</v>
      </c>
      <c r="M118" s="39" t="n">
        <v>0</v>
      </c>
      <c r="N118" s="38" t="n">
        <v>5161</v>
      </c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  <c r="T118" s="43">
        <f>IF(Q118=1,A118,"")</f>
        <v/>
      </c>
    </row>
    <row r="119">
      <c r="A119" s="36">
        <f>A118+1</f>
        <v/>
      </c>
      <c r="B119" s="37">
        <f>IF(A119="","",TEXT(A119,"ddd"))</f>
        <v/>
      </c>
      <c r="C119" s="38" t="n">
        <v>2</v>
      </c>
      <c r="D119" s="38" t="n">
        <v>2</v>
      </c>
      <c r="E119" s="38" t="n">
        <v>9</v>
      </c>
      <c r="F119" s="38" t="n">
        <v>4</v>
      </c>
      <c r="G119" s="38" t="n">
        <v>2</v>
      </c>
      <c r="H119" s="38" t="n">
        <v>1</v>
      </c>
      <c r="I119" s="38" t="n">
        <v>0</v>
      </c>
      <c r="J119" s="38" t="n">
        <v>0</v>
      </c>
      <c r="K119" s="38" t="n">
        <v>0</v>
      </c>
      <c r="L119" s="39" t="n">
        <v>0</v>
      </c>
      <c r="M119" s="39" t="n">
        <v>0</v>
      </c>
      <c r="N119" s="38" t="n">
        <v>5182</v>
      </c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  <c r="T119" s="43">
        <f>IF(Q119=1,A119,"")</f>
        <v/>
      </c>
    </row>
    <row r="120">
      <c r="A120" s="36">
        <f>A119+1</f>
        <v/>
      </c>
      <c r="B120" s="37">
        <f>IF(A120="","",TEXT(A120,"ddd"))</f>
        <v/>
      </c>
      <c r="C120" s="38" t="n">
        <v>6</v>
      </c>
      <c r="D120" s="38" t="n">
        <v>7</v>
      </c>
      <c r="E120" s="38" t="n">
        <v>25</v>
      </c>
      <c r="F120" s="38" t="n">
        <v>13</v>
      </c>
      <c r="G120" s="38" t="n">
        <v>10</v>
      </c>
      <c r="H120" s="38" t="n">
        <v>6</v>
      </c>
      <c r="I120" s="38" t="n">
        <v>1</v>
      </c>
      <c r="J120" s="38" t="n">
        <v>0</v>
      </c>
      <c r="K120" s="38" t="n">
        <v>0</v>
      </c>
      <c r="L120" s="39" t="n">
        <v>0</v>
      </c>
      <c r="M120" s="39" t="n">
        <v>0</v>
      </c>
      <c r="N120" s="38" t="n">
        <v>5208</v>
      </c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  <c r="T120" s="43">
        <f>IF(Q120=1,A120,"")</f>
        <v/>
      </c>
    </row>
    <row r="121">
      <c r="A121" s="36">
        <f>A120+1</f>
        <v/>
      </c>
      <c r="B121" s="37">
        <f>IF(A121="","",TEXT(A121,"ddd"))</f>
        <v/>
      </c>
      <c r="C121" s="38" t="n">
        <v>7</v>
      </c>
      <c r="D121" s="38" t="n">
        <v>7</v>
      </c>
      <c r="E121" s="38" t="n">
        <v>24</v>
      </c>
      <c r="F121" s="38" t="n">
        <v>13</v>
      </c>
      <c r="G121" s="38" t="n">
        <v>8</v>
      </c>
      <c r="H121" s="38" t="n">
        <v>5</v>
      </c>
      <c r="I121" s="38" t="n">
        <v>1</v>
      </c>
      <c r="J121" s="38" t="n">
        <v>1</v>
      </c>
      <c r="K121" s="38" t="n">
        <v>0</v>
      </c>
      <c r="L121" s="39" t="n">
        <v>0</v>
      </c>
      <c r="M121" s="39" t="n">
        <v>0</v>
      </c>
      <c r="N121" s="38" t="n">
        <v>5239</v>
      </c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  <c r="T121" s="43">
        <f>IF(Q121=1,A121,"")</f>
        <v/>
      </c>
    </row>
    <row r="122">
      <c r="A122" s="36">
        <f>A121+1</f>
        <v/>
      </c>
      <c r="B122" s="37">
        <f>IF(A122="","",TEXT(A122,"ddd"))</f>
        <v/>
      </c>
      <c r="C122" s="38" t="n">
        <v>8</v>
      </c>
      <c r="D122" s="38" t="n">
        <v>6</v>
      </c>
      <c r="E122" s="38" t="n">
        <v>27</v>
      </c>
      <c r="F122" s="38" t="n">
        <v>11</v>
      </c>
      <c r="G122" s="38" t="n">
        <v>9</v>
      </c>
      <c r="H122" s="38" t="n">
        <v>4</v>
      </c>
      <c r="I122" s="38" t="n">
        <v>0</v>
      </c>
      <c r="J122" s="38" t="n">
        <v>1</v>
      </c>
      <c r="K122" s="38" t="n">
        <v>0</v>
      </c>
      <c r="L122" s="39" t="n">
        <v>0</v>
      </c>
      <c r="M122" s="39" t="n">
        <v>0</v>
      </c>
      <c r="N122" s="38" t="n">
        <v>5270</v>
      </c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  <c r="T122" s="43">
        <f>IF(Q122=1,A122,"")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  <c r="T123" s="43">
        <f>IF(Q123=1,A123,"")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  <c r="T124" s="43">
        <f>IF(Q124=1,A124,"")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  <c r="T125" s="43">
        <f>IF(Q125=1,A125,"")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  <c r="T126" s="43">
        <f>IF(Q126=1,A126,"")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  <c r="T127" s="43">
        <f>IF(Q127=1,A127,"")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  <c r="T128" s="43">
        <f>IF(Q128=1,A128,"")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  <c r="T129" s="43">
        <f>IF(Q129=1,A129,"")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  <c r="T130" s="43">
        <f>IF(Q130=1,A130,"")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  <c r="T131" s="43">
        <f>IF(Q131=1,A131,"")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  <c r="T132" s="43">
        <f>IF(Q132=1,A132,"")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  <c r="T133" s="43">
        <f>IF(Q133=1,A133,"")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  <c r="T134" s="43">
        <f>IF(Q134=1,A134,"")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  <c r="T135" s="43">
        <f>IF(Q135=1,A135,"")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  <c r="T136" s="43">
        <f>IF(Q136=1,A136,"")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  <c r="T137" s="43">
        <f>IF(Q137=1,A137,"")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  <c r="T138" s="43">
        <f>IF(Q138=1,A138,"")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  <c r="T139" s="43">
        <f>IF(Q139=1,A139,"")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  <c r="T140" s="43">
        <f>IF(Q140=1,A140,"")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  <c r="T141" s="43">
        <f>IF(Q141=1,A141,"")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  <c r="T142" s="43">
        <f>IF(Q142=1,A142,"")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  <c r="T143" s="43">
        <f>IF(Q143=1,A143,"")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  <c r="T144" s="43">
        <f>IF(Q144=1,A144,"")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  <c r="T145" s="43">
        <f>IF(Q145=1,A145,"")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  <c r="T146" s="43">
        <f>IF(Q146=1,A146,"")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  <c r="T147" s="43">
        <f>IF(Q147=1,A147,"")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  <c r="T148" s="43">
        <f>IF(Q148=1,A148,"")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  <c r="T149" s="43">
        <f>IF(Q149=1,A149,"")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  <c r="T150" s="43">
        <f>IF(Q150=1,A150,"")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  <c r="T151" s="43">
        <f>IF(Q151=1,A151,"")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  <c r="T152" s="43">
        <f>IF(Q152=1,A152,"")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  <c r="T153" s="43">
        <f>IF(Q153=1,A153,"")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  <c r="T154" s="43">
        <f>IF(Q154=1,A154,"")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  <c r="T155" s="43">
        <f>IF(Q155=1,A155,"")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  <c r="T156" s="43">
        <f>IF(Q156=1,A156,"")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  <c r="T157" s="43">
        <f>IF(Q157=1,A157,"")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  <c r="T158" s="43">
        <f>IF(Q158=1,A158,"")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  <c r="T159" s="43">
        <f>IF(Q159=1,A159,"")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  <c r="T160" s="43">
        <f>IF(Q160=1,A160,"")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  <c r="T161" s="43">
        <f>IF(Q161=1,A161,"")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  <c r="T162" s="43">
        <f>IF(Q162=1,A162,"")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  <c r="T163" s="43">
        <f>IF(Q163=1,A163,"")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  <c r="T164" s="43">
        <f>IF(Q164=1,A164,"")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  <c r="T165" s="43">
        <f>IF(Q165=1,A165,"")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  <c r="T166" s="43">
        <f>IF(Q166=1,A166,"")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  <c r="T167" s="43">
        <f>IF(Q167=1,A167,"")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  <c r="T168" s="43">
        <f>IF(Q168=1,A168,"")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  <c r="T169" s="43">
        <f>IF(Q169=1,A169,"")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  <c r="T170" s="43">
        <f>IF(Q170=1,A170,"")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  <c r="T171" s="43">
        <f>IF(Q171=1,A171,"")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  <c r="T172" s="43">
        <f>IF(Q172=1,A172,"")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  <c r="T173" s="43">
        <f>IF(Q173=1,A173,"")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  <c r="T174" s="43">
        <f>IF(Q174=1,A174,"")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  <c r="T175" s="43">
        <f>IF(Q175=1,A175,"")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  <c r="T176" s="43">
        <f>IF(Q176=1,A176,"")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  <c r="T177" s="43">
        <f>IF(Q177=1,A177,"")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  <c r="T178" s="43">
        <f>IF(Q178=1,A178,"")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  <c r="T179" s="43">
        <f>IF(Q179=1,A179,"")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  <c r="T180" s="43">
        <f>IF(Q180=1,A180,"")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  <c r="T181" s="43">
        <f>IF(Q181=1,A181,"")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  <c r="T182" s="43">
        <f>IF(Q182=1,A182,"")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  <c r="T183" s="43">
        <f>IF(Q183=1,A183,"")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  <c r="T184" s="43">
        <f>IF(Q184=1,A184,"")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  <c r="T185" s="43">
        <f>IF(Q185=1,A185,"")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  <c r="T186" s="43">
        <f>IF(Q186=1,A186,"")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  <c r="T187" s="43">
        <f>IF(Q187=1,A187,"")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  <c r="T188" s="43">
        <f>IF(Q188=1,A188,"")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  <c r="T189" s="43">
        <f>IF(Q189=1,A189,"")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  <c r="T190" s="43">
        <f>IF(Q190=1,A190,"")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  <c r="T191" s="43">
        <f>IF(Q191=1,A191,"")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  <c r="T192" s="43">
        <f>IF(Q192=1,A192,"")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  <c r="T193" s="43">
        <f>IF(Q193=1,A193,"")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  <c r="T194" s="43">
        <f>IF(Q194=1,A194,"")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  <c r="T195" s="43">
        <f>IF(Q195=1,A195,"")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  <c r="T196" s="43">
        <f>IF(Q196=1,A196,"")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  <c r="T197" s="43">
        <f>IF(Q197=1,A197,"")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  <c r="T198" s="43">
        <f>IF(Q198=1,A198,"")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  <c r="T199" s="43">
        <f>IF(Q199=1,A199,"")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  <c r="T200" s="43">
        <f>IF(Q200=1,A200,"")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  <c r="T201" s="43">
        <f>IF(Q201=1,A201,"")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  <c r="T202" s="43">
        <f>IF(Q202=1,A202,"")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  <c r="T203" s="43">
        <f>IF(Q203=1,A203,"")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  <c r="T204" s="43">
        <f>IF(Q204=1,A204,"")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  <c r="T205" s="43">
        <f>IF(Q205=1,A205,"")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  <c r="T206" s="43">
        <f>IF(Q206=1,A206,"")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  <c r="T207" s="43">
        <f>IF(Q207=1,A207,"")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  <c r="T208" s="43">
        <f>IF(Q208=1,A208,"")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  <c r="T209" s="43">
        <f>IF(Q209=1,A209,"")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  <c r="T210" s="43">
        <f>IF(Q210=1,A210,"")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  <c r="T211" s="43">
        <f>IF(Q211=1,A211,"")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  <c r="T212" s="43">
        <f>IF(Q212=1,A212,"")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  <c r="T213" s="43">
        <f>IF(Q213=1,A213,"")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  <c r="T214" s="43">
        <f>IF(Q214=1,A214,"")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  <c r="T215" s="43">
        <f>IF(Q215=1,A215,"")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  <c r="T216" s="43">
        <f>IF(Q216=1,A216,"")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  <c r="T217" s="43">
        <f>IF(Q217=1,A217,"")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  <c r="T218" s="43">
        <f>IF(Q218=1,A218,"")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  <c r="T219" s="43">
        <f>IF(Q219=1,A219,"")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  <c r="T220" s="43">
        <f>IF(Q220=1,A220,"")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  <c r="T221" s="43">
        <f>IF(Q221=1,A221,"")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  <c r="T222" s="43">
        <f>IF(Q222=1,A222,"")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  <c r="T223" s="43">
        <f>IF(Q223=1,A223,"")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  <c r="T224" s="43">
        <f>IF(Q224=1,A224,"")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  <c r="T225" s="43">
        <f>IF(Q225=1,A225,"")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  <c r="T226" s="43">
        <f>IF(Q226=1,A226,"")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  <c r="T227" s="43">
        <f>IF(Q227=1,A227,"")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  <c r="T228" s="43">
        <f>IF(Q228=1,A228,"")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  <c r="T229" s="43">
        <f>IF(Q229=1,A229,"")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  <c r="T230" s="43">
        <f>IF(Q230=1,A230,"")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  <c r="T231" s="43">
        <f>IF(Q231=1,A231,"")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  <c r="T232" s="43">
        <f>IF(Q232=1,A232,"")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  <c r="T233" s="43">
        <f>IF(Q233=1,A233,"")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  <c r="T234" s="43">
        <f>IF(Q234=1,A234,"")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  <c r="T235" s="43">
        <f>IF(Q235=1,A235,"")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  <c r="T236" s="43">
        <f>IF(Q236=1,A236,"")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  <c r="T237" s="43">
        <f>IF(Q237=1,A237,"")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  <c r="T238" s="43">
        <f>IF(Q238=1,A238,"")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  <c r="T239" s="43">
        <f>IF(Q239=1,A239,"")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  <c r="T240" s="43">
        <f>IF(Q240=1,A240,"")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  <c r="T241" s="43">
        <f>IF(Q241=1,A241,"")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  <c r="T242" s="43">
        <f>IF(Q242=1,A242,"")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  <c r="T243" s="43">
        <f>IF(Q243=1,A243,"")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  <c r="T244" s="43">
        <f>IF(Q244=1,A244,"")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  <c r="T245" s="43">
        <f>IF(Q245=1,A245,"")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  <c r="T246" s="43">
        <f>IF(Q246=1,A246,"")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  <c r="T247" s="43">
        <f>IF(Q247=1,A247,"")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  <c r="T248" s="43">
        <f>IF(Q248=1,A248,"")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  <c r="T249" s="43">
        <f>IF(Q249=1,A249,"")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  <c r="T250" s="43">
        <f>IF(Q250=1,A250,"")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  <c r="T251" s="43">
        <f>IF(Q251=1,A251,"")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  <c r="T252" s="43">
        <f>IF(Q252=1,A252,"")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  <c r="T253" s="43">
        <f>IF(Q253=1,A253,"")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  <c r="T254" s="43">
        <f>IF(Q254=1,A254,"")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  <c r="T255" s="43">
        <f>IF(Q255=1,A255,"")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  <c r="T256" s="43">
        <f>IF(Q256=1,A256,"")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  <c r="T257" s="43">
        <f>IF(Q257=1,A257,"")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  <c r="T258" s="43">
        <f>IF(Q258=1,A258,"")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  <c r="T259" s="43">
        <f>IF(Q259=1,A259,"")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  <c r="T260" s="43">
        <f>IF(Q260=1,A260,"")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  <c r="T261" s="43">
        <f>IF(Q261=1,A261,"")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  <c r="T262" s="43">
        <f>IF(Q262=1,A262,"")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  <c r="T263" s="43">
        <f>IF(Q263=1,A263,"")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  <c r="T264" s="43">
        <f>IF(Q264=1,A264,"")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  <c r="T265" s="43">
        <f>IF(Q265=1,A265,"")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  <c r="T266" s="43">
        <f>IF(Q266=1,A266,"")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  <c r="T267" s="43">
        <f>IF(Q267=1,A267,"")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  <c r="T268" s="43">
        <f>IF(Q268=1,A268,"")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  <c r="T269" s="43">
        <f>IF(Q269=1,A269,"")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  <c r="T270" s="43">
        <f>IF(Q270=1,A270,"")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  <c r="T271" s="43">
        <f>IF(Q271=1,A271,"")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  <c r="T272" s="43">
        <f>IF(Q272=1,A272,"")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  <c r="T273" s="43">
        <f>IF(Q273=1,A273,"")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  <c r="T274" s="43">
        <f>IF(Q274=1,A274,"")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  <c r="T275" s="43">
        <f>IF(Q275=1,A275,"")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  <c r="T276" s="43">
        <f>IF(Q276=1,A276,"")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  <c r="T277" s="43">
        <f>IF(Q277=1,A277,"")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  <c r="T278" s="43">
        <f>IF(Q278=1,A278,"")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  <c r="T279" s="43">
        <f>IF(Q279=1,A279,"")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  <c r="T280" s="43">
        <f>IF(Q280=1,A280,"")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  <c r="T281" s="43">
        <f>IF(Q281=1,A281,"")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  <c r="T282" s="43">
        <f>IF(Q282=1,A282,"")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  <c r="T283" s="43">
        <f>IF(Q283=1,A283,"")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  <c r="T284" s="43">
        <f>IF(Q284=1,A284,"")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  <c r="T285" s="43">
        <f>IF(Q285=1,A285,"")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  <c r="T286" s="43">
        <f>IF(Q286=1,A286,"")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  <c r="T287" s="43">
        <f>IF(Q287=1,A287,"")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  <c r="T288" s="43">
        <f>IF(Q288=1,A288,"")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  <c r="T289" s="43">
        <f>IF(Q289=1,A289,"")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  <c r="T290" s="43">
        <f>IF(Q290=1,A290,"")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  <c r="T291" s="43">
        <f>IF(Q291=1,A291,"")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  <c r="T292" s="43">
        <f>IF(Q292=1,A292,"")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  <c r="T293" s="43">
        <f>IF(Q293=1,A293,"")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  <c r="T294" s="43">
        <f>IF(Q294=1,A294,"")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  <c r="T295" s="43">
        <f>IF(Q295=1,A295,"")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  <c r="T296" s="43">
        <f>IF(Q296=1,A296,"")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  <c r="T297" s="43">
        <f>IF(Q297=1,A297,"")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  <c r="T298" s="43">
        <f>IF(Q298=1,A298,"")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  <c r="T299" s="43">
        <f>IF(Q299=1,A299,"")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  <c r="T300" s="43">
        <f>IF(Q300=1,A300,"")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  <c r="T301" s="43">
        <f>IF(Q301=1,A301,"")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  <c r="T302" s="43">
        <f>IF(Q302=1,A302,"")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  <c r="T303" s="43">
        <f>IF(Q303=1,A303,"")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  <c r="T304" s="43">
        <f>IF(Q304=1,A304,"")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  <c r="T305" s="43">
        <f>IF(Q305=1,A305,"")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  <c r="T306" s="43">
        <f>IF(Q306=1,A306,"")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  <c r="T307" s="43">
        <f>IF(Q307=1,A307,"")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  <c r="T308" s="43">
        <f>IF(Q308=1,A308,"")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  <c r="T309" s="43">
        <f>IF(Q309=1,A309,"")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  <c r="T310" s="43">
        <f>IF(Q310=1,A310,"")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  <c r="T311" s="43">
        <f>IF(Q311=1,A311,"")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  <c r="T312" s="43">
        <f>IF(Q312=1,A312,"")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  <c r="T313" s="43">
        <f>IF(Q313=1,A313,"")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  <c r="T314" s="43">
        <f>IF(Q314=1,A314,"")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  <c r="T315" s="43">
        <f>IF(Q315=1,A315,"")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  <c r="T316" s="43">
        <f>IF(Q316=1,A316,"")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  <c r="T317" s="43">
        <f>IF(Q317=1,A317,"")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  <c r="T318" s="43">
        <f>IF(Q318=1,A318,"")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  <c r="T319" s="43">
        <f>IF(Q319=1,A319,"")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  <c r="T320" s="43">
        <f>IF(Q320=1,A320,"")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  <c r="T321" s="43">
        <f>IF(Q321=1,A321,"")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  <c r="T322" s="43">
        <f>IF(Q322=1,A322,"")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  <c r="T323" s="43">
        <f>IF(Q323=1,A323,"")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  <c r="T324" s="43">
        <f>IF(Q324=1,A324,"")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  <c r="T325" s="43">
        <f>IF(Q325=1,A325,"")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  <c r="T326" s="43">
        <f>IF(Q326=1,A326,"")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  <c r="T327" s="43">
        <f>IF(Q327=1,A327,"")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  <c r="T328" s="43">
        <f>IF(Q328=1,A328,"")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  <c r="T329" s="43">
        <f>IF(Q329=1,A329,"")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  <c r="T330" s="43">
        <f>IF(Q330=1,A330,"")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  <c r="T331" s="43">
        <f>IF(Q331=1,A331,"")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  <c r="T332" s="43">
        <f>IF(Q332=1,A332,"")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  <c r="T333" s="43">
        <f>IF(Q333=1,A333,"")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  <c r="T334" s="43">
        <f>IF(Q334=1,A334,"")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  <c r="T335" s="43">
        <f>IF(Q335=1,A335,"")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  <c r="T336" s="43">
        <f>IF(Q336=1,A336,"")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  <c r="T337" s="43">
        <f>IF(Q337=1,A337,"")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  <c r="T338" s="43">
        <f>IF(Q338=1,A338,"")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  <c r="T339" s="43">
        <f>IF(Q339=1,A339,"")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  <c r="T340" s="43">
        <f>IF(Q340=1,A340,"")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  <c r="T341" s="43">
        <f>IF(Q341=1,A341,"")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  <c r="T342" s="43">
        <f>IF(Q342=1,A342,"")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  <c r="T343" s="43">
        <f>IF(Q343=1,A343,"")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  <c r="T344" s="43">
        <f>IF(Q344=1,A344,"")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  <c r="T345" s="43">
        <f>IF(Q345=1,A345,"")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  <c r="T346" s="43">
        <f>IF(Q346=1,A346,"")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  <c r="T347" s="43">
        <f>IF(Q347=1,A347,"")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  <c r="T348" s="43">
        <f>IF(Q348=1,A348,"")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  <c r="T349" s="43">
        <f>IF(Q349=1,A349,"")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  <c r="T350" s="43">
        <f>IF(Q350=1,A350,"")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  <c r="T351" s="43">
        <f>IF(Q351=1,A351,"")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  <c r="T352" s="43">
        <f>IF(Q352=1,A352,"")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  <c r="T353" s="43">
        <f>IF(Q353=1,A353,"")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  <c r="T354" s="43">
        <f>IF(Q354=1,A354,"")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  <c r="T355" s="43">
        <f>IF(Q355=1,A355,"")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  <c r="T356" s="43">
        <f>IF(Q356=1,A356,"")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  <c r="T357" s="43">
        <f>IF(Q357=1,A357,"")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  <c r="T358" s="43">
        <f>IF(Q358=1,A358,"")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  <c r="T359" s="43">
        <f>IF(Q359=1,A359,"")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  <c r="T360" s="43">
        <f>IF(Q360=1,A360,"")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  <c r="T361" s="43">
        <f>IF(Q361=1,A361,"")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  <c r="T362" s="43">
        <f>IF(Q362=1,A362,"")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  <c r="T363" s="43">
        <f>IF(Q363=1,A363,"")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  <c r="T364" s="43">
        <f>IF(Q364=1,A364,"")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  <c r="T365" s="43">
        <f>IF(Q365=1,A365,"")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  <c r="T366" s="43">
        <f>IF(Q366=1,A366,"")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  <c r="T367" s="43">
        <f>IF(Q367=1,A367,"")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  <c r="T368" s="43">
        <f>IF(Q368=1,A368,"")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  <c r="T369" s="43">
        <f>IF(Q369=1,A369,"")</f>
        <v/>
      </c>
    </row>
  </sheetData>
  <mergeCells count="2">
    <mergeCell ref="A1:T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T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B579"/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4" t="inlineStr">
        <is>
          <t>Week starts</t>
        </is>
      </c>
      <c r="B3" s="45">
        <f>TODAY()-WEEKDAY(TODAY(),2)+1</f>
        <v/>
      </c>
      <c r="C3" s="44" t="inlineStr">
        <is>
          <t>Day of week</t>
        </is>
      </c>
      <c r="D3" s="44">
        <f>TODAY()-B3+1</f>
        <v/>
      </c>
      <c r="E3" s="44" t="inlineStr">
        <is>
          <t>Last week</t>
        </is>
      </c>
      <c r="F3" s="45">
        <f>B3-7</f>
        <v/>
      </c>
      <c r="G3" s="45">
        <f>B3-1</f>
        <v/>
      </c>
    </row>
    <row r="5" ht="28" customHeight="1">
      <c r="A5" s="46">
        <f>IF(SUM(B10:B13)=0,"Log a couple of days and this line tells you what to fix first.",IF(MIN($F$10:$F$13)&gt;=1,"Every standard is at or ahead of pace. Hold it — and push volume.","Fix this first: "&amp;INDEX($A$10:$A$13,MATCH(MIN($F$10:$F$13),$F$10:$F$13,0))&amp;" — you are at "&amp;TEXT(MIN($F$10:$F$13),"0%")&amp;" of your target for end of today."))</f>
        <v/>
      </c>
    </row>
    <row r="6" ht="24" customHeight="1">
      <c r="A6" s="47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8" t="inlineStr">
        <is>
          <t>Reels / posts</t>
        </is>
      </c>
      <c r="B10" s="49">
        <f>SUMIFS('Daily Log'!$C$4:$C$369,'Daily Log'!$A$4:$A$369,"&gt;="&amp;$B$3,'Daily Log'!$A$4:$A$369,"&lt;="&amp;TODAY())</f>
        <v/>
      </c>
      <c r="C10" s="50">
        <f>Setup!$C$12*$D$3</f>
        <v/>
      </c>
      <c r="D10" s="51">
        <f>B10-C10</f>
        <v/>
      </c>
      <c r="E10" s="50">
        <f>Setup!$C$12*7</f>
        <v/>
      </c>
      <c r="F10" s="52">
        <f>IFERROR(B10/C10,0)</f>
        <v/>
      </c>
      <c r="G10" s="53">
        <f>IF(F10&gt;=1,ROUND(Setup!$C$12*1.1,0),Setup!$C$12)</f>
        <v/>
      </c>
    </row>
    <row r="11">
      <c r="A11" s="48" t="inlineStr">
        <is>
          <t>Stories</t>
        </is>
      </c>
      <c r="B11" s="49">
        <f>SUMIFS('Daily Log'!$D$4:$D$369,'Daily Log'!$A$4:$A$369,"&gt;="&amp;$B$3,'Daily Log'!$A$4:$A$369,"&lt;="&amp;TODAY())</f>
        <v/>
      </c>
      <c r="C11" s="50">
        <f>Setup!$C$13*$D$3</f>
        <v/>
      </c>
      <c r="D11" s="51">
        <f>B11-C11</f>
        <v/>
      </c>
      <c r="E11" s="50">
        <f>Setup!$C$13*7</f>
        <v/>
      </c>
      <c r="F11" s="52">
        <f>IFERROR(B11/C11,0)</f>
        <v/>
      </c>
      <c r="G11" s="53">
        <f>IF(F11&gt;=1,ROUND(Setup!$C$13*1.1,0),Setup!$C$13)</f>
        <v/>
      </c>
    </row>
    <row r="12">
      <c r="A12" s="48" t="inlineStr">
        <is>
          <t>Opener DMs</t>
        </is>
      </c>
      <c r="B12" s="49">
        <f>SUMIFS('Daily Log'!$E$4:$E$369,'Daily Log'!$A$4:$A$369,"&gt;="&amp;$B$3,'Daily Log'!$A$4:$A$369,"&lt;="&amp;TODAY())</f>
        <v/>
      </c>
      <c r="C12" s="50">
        <f>Setup!$C$14*$D$3</f>
        <v/>
      </c>
      <c r="D12" s="51">
        <f>B12-C12</f>
        <v/>
      </c>
      <c r="E12" s="50">
        <f>Setup!$C$14*7</f>
        <v/>
      </c>
      <c r="F12" s="52">
        <f>IFERROR(B12/C12,0)</f>
        <v/>
      </c>
      <c r="G12" s="53">
        <f>IF(F12&gt;=1,ROUND(Setup!$C$14*1.1,0),Setup!$C$14)</f>
        <v/>
      </c>
    </row>
    <row r="13">
      <c r="A13" s="48" t="inlineStr">
        <is>
          <t>Follow-up DMs</t>
        </is>
      </c>
      <c r="B13" s="49">
        <f>SUMIFS('Daily Log'!$F$4:$F$369,'Daily Log'!$A$4:$A$369,"&gt;="&amp;$B$3,'Daily Log'!$A$4:$A$369,"&lt;="&amp;TODAY())</f>
        <v/>
      </c>
      <c r="C13" s="50">
        <f>Setup!$C$15*$D$3</f>
        <v/>
      </c>
      <c r="D13" s="51">
        <f>B13-C13</f>
        <v/>
      </c>
      <c r="E13" s="50">
        <f>Setup!$C$15*7</f>
        <v/>
      </c>
      <c r="F13" s="52">
        <f>IFERROR(B13/C13,0)</f>
        <v/>
      </c>
      <c r="G13" s="53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8" t="inlineStr">
        <is>
          <t>Total DMs sent</t>
        </is>
      </c>
      <c r="B17" s="49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50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1">
        <f>B17-C17</f>
        <v/>
      </c>
    </row>
    <row r="18">
      <c r="A18" s="54" t="inlineStr">
        <is>
          <t>Replies</t>
        </is>
      </c>
      <c r="B18" s="49">
        <f>SUMIFS('Daily Log'!$G$4:$G$369,'Daily Log'!$A$4:$A$369,"&gt;="&amp;$B$3,'Daily Log'!$A$4:$A$369,"&lt;="&amp;TODAY())</f>
        <v/>
      </c>
      <c r="C18" s="50">
        <f>SUMIFS('Daily Log'!$G$4:$G$369,'Daily Log'!$A$4:$A$369,"&gt;="&amp;$F$3,'Daily Log'!$A$4:$A$369,"&lt;="&amp;$G$3)</f>
        <v/>
      </c>
      <c r="D18" s="51">
        <f>B18-C18</f>
        <v/>
      </c>
    </row>
    <row r="19">
      <c r="A19" s="54" t="inlineStr">
        <is>
          <t>Calls pitched</t>
        </is>
      </c>
      <c r="B19" s="49">
        <f>SUMIFS('Daily Log'!$H$4:$H$369,'Daily Log'!$A$4:$A$369,"&gt;="&amp;$B$3,'Daily Log'!$A$4:$A$369,"&lt;="&amp;TODAY())</f>
        <v/>
      </c>
      <c r="C19" s="50">
        <f>SUMIFS('Daily Log'!$H$4:$H$369,'Daily Log'!$A$4:$A$369,"&gt;="&amp;$F$3,'Daily Log'!$A$4:$A$369,"&lt;="&amp;$G$3)</f>
        <v/>
      </c>
      <c r="D19" s="51">
        <f>B19-C19</f>
        <v/>
      </c>
    </row>
    <row r="20">
      <c r="A20" s="54" t="inlineStr">
        <is>
          <t>Calls booked</t>
        </is>
      </c>
      <c r="B20" s="49">
        <f>SUMIFS('Daily Log'!$I$4:$I$369,'Daily Log'!$A$4:$A$369,"&gt;="&amp;$B$3,'Daily Log'!$A$4:$A$369,"&lt;="&amp;TODAY())</f>
        <v/>
      </c>
      <c r="C20" s="50">
        <f>SUMIFS('Daily Log'!$I$4:$I$369,'Daily Log'!$A$4:$A$369,"&gt;="&amp;$F$3,'Daily Log'!$A$4:$A$369,"&lt;="&amp;$G$3)</f>
        <v/>
      </c>
      <c r="D20" s="51">
        <f>B20-C20</f>
        <v/>
      </c>
    </row>
    <row r="21">
      <c r="A21" s="54" t="inlineStr">
        <is>
          <t>Calls showed</t>
        </is>
      </c>
      <c r="B21" s="49">
        <f>SUMIFS('Daily Log'!$J$4:$J$369,'Daily Log'!$A$4:$A$369,"&gt;="&amp;$B$3,'Daily Log'!$A$4:$A$369,"&lt;="&amp;TODAY())</f>
        <v/>
      </c>
      <c r="C21" s="50">
        <f>SUMIFS('Daily Log'!$J$4:$J$369,'Daily Log'!$A$4:$A$369,"&gt;="&amp;$F$3,'Daily Log'!$A$4:$A$369,"&lt;="&amp;$G$3)</f>
        <v/>
      </c>
      <c r="D21" s="51">
        <f>B21-C21</f>
        <v/>
      </c>
    </row>
    <row r="22">
      <c r="A22" s="54" t="inlineStr">
        <is>
          <t>Closes</t>
        </is>
      </c>
      <c r="B22" s="49">
        <f>SUMIFS('Daily Log'!$K$4:$K$369,'Daily Log'!$A$4:$A$369,"&gt;="&amp;$B$3,'Daily Log'!$A$4:$A$369,"&lt;="&amp;TODAY())</f>
        <v/>
      </c>
      <c r="C22" s="50">
        <f>SUMIFS('Daily Log'!$K$4:$K$369,'Daily Log'!$A$4:$A$369,"&gt;="&amp;$F$3,'Daily Log'!$A$4:$A$369,"&lt;="&amp;$G$3)</f>
        <v/>
      </c>
      <c r="D22" s="51">
        <f>B22-C22</f>
        <v/>
      </c>
    </row>
    <row r="23">
      <c r="A23" s="48" t="inlineStr">
        <is>
          <t>Cash collected</t>
        </is>
      </c>
      <c r="B23" s="55">
        <f>SUMIFS('Daily Log'!$L$4:$L$369,'Daily Log'!$A$4:$A$369,"&gt;="&amp;$B$3,'Daily Log'!$A$4:$A$369,"&lt;="&amp;TODAY())</f>
        <v/>
      </c>
      <c r="C23" s="56">
        <f>SUMIFS('Daily Log'!$L$4:$L$369,'Daily Log'!$A$4:$A$369,"&gt;="&amp;$F$3,'Daily Log'!$A$4:$A$369,"&lt;="&amp;$G$3)</f>
        <v/>
      </c>
      <c r="D23" s="57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8" t="inlineStr">
        <is>
          <t>Reply rate</t>
        </is>
      </c>
      <c r="B27" s="58">
        <f>IFERROR(B18/B17,"")</f>
        <v/>
      </c>
      <c r="C27" s="59">
        <f>IFERROR(AVERAGE('Weekly Rollup'!$P$4:$P$16),"")</f>
        <v/>
      </c>
      <c r="D27" s="60">
        <f>IFERROR(B27-C27,"")</f>
        <v/>
      </c>
    </row>
    <row r="28">
      <c r="A28" s="48" t="inlineStr">
        <is>
          <t>Pitch rate</t>
        </is>
      </c>
      <c r="B28" s="58">
        <f>IFERROR(B19/B18,"")</f>
        <v/>
      </c>
      <c r="C28" s="59">
        <f>IFERROR(AVERAGE('Weekly Rollup'!$Q$4:$Q$16),"")</f>
        <v/>
      </c>
      <c r="D28" s="60">
        <f>IFERROR(B28-C28,"")</f>
        <v/>
      </c>
    </row>
    <row r="29">
      <c r="A29" s="48" t="inlineStr">
        <is>
          <t>Book rate</t>
        </is>
      </c>
      <c r="B29" s="58">
        <f>IFERROR(B20/B19,"")</f>
        <v/>
      </c>
      <c r="C29" s="59">
        <f>IFERROR(AVERAGE('Weekly Rollup'!$R$4:$R$16),"")</f>
        <v/>
      </c>
      <c r="D29" s="60">
        <f>IFERROR(B29-C29,"")</f>
        <v/>
      </c>
    </row>
    <row r="30">
      <c r="A30" s="48" t="inlineStr">
        <is>
          <t>Show rate</t>
        </is>
      </c>
      <c r="B30" s="58">
        <f>IFERROR(B21/B20,"")</f>
        <v/>
      </c>
      <c r="C30" s="59">
        <f>IFERROR(AVERAGE('Weekly Rollup'!$S$4:$S$16),"")</f>
        <v/>
      </c>
      <c r="D30" s="60">
        <f>IFERROR(B30-C30,"")</f>
        <v/>
      </c>
    </row>
    <row r="31">
      <c r="A31" s="48" t="inlineStr">
        <is>
          <t>Close rate</t>
        </is>
      </c>
      <c r="B31" s="58">
        <f>IFERROR(B22/B21,"")</f>
        <v/>
      </c>
      <c r="C31" s="59">
        <f>IFERROR(AVERAGE('Weekly Rollup'!$T$4:$T$16),"")</f>
        <v/>
      </c>
      <c r="D31" s="60">
        <f>IFERROR(B31-C31,"")</f>
        <v/>
      </c>
    </row>
    <row r="33" ht="21" customHeight="1">
      <c r="A33" s="5" t="inlineStr">
        <is>
          <t>AIM FOR NEXT WEEK</t>
        </is>
      </c>
    </row>
    <row r="34" ht="26" customHeight="1">
      <c r="A34" s="61">
        <f>IF(SUM(B10:B13)=0,"Log this week first — next week's aim builds off it.","Next week, the one to protect: "&amp;INDEX($A$10:$A$13,MATCH(MIN($F$10:$F$13),$F$10:$F$13,0))&amp;" — "&amp;INDEX($G$10:$G$13,MATCH(MIN($F$10:$F$13),$F$10:$F$13,0))&amp;" a day, every day.")</f>
        <v/>
      </c>
    </row>
    <row r="35" ht="32" customHeight="1">
      <c r="A35" s="6" t="inlineStr">
        <is>
          <t>Standard</t>
        </is>
      </c>
      <c r="B35" s="6" t="inlineStr">
        <is>
          <t>This week</t>
        </is>
      </c>
      <c r="C35" s="6" t="inlineStr">
        <is>
          <t>Per day</t>
        </is>
      </c>
      <c r="D35" s="6" t="inlineStr">
        <is>
          <t>Week total</t>
        </is>
      </c>
      <c r="E35" s="6" t="inlineStr">
        <is>
          <t>Why</t>
        </is>
      </c>
      <c r="F35" s="25" t="n"/>
      <c r="G35" s="26" t="n"/>
    </row>
    <row r="36">
      <c r="A36" s="48" t="inlineStr">
        <is>
          <t>Reels / posts</t>
        </is>
      </c>
      <c r="B36" s="50">
        <f>B10</f>
        <v/>
      </c>
      <c r="C36" s="53">
        <f>G10</f>
        <v/>
      </c>
      <c r="D36" s="49">
        <f>C36*7</f>
        <v/>
      </c>
      <c r="E36" s="62">
        <f>IF(F10&gt;=1,"Held the line — push it 10%.","Missed it. Hold the standard and close the gap.")</f>
        <v/>
      </c>
    </row>
    <row r="37">
      <c r="A37" s="48" t="inlineStr">
        <is>
          <t>Stories</t>
        </is>
      </c>
      <c r="B37" s="50">
        <f>B11</f>
        <v/>
      </c>
      <c r="C37" s="53">
        <f>G11</f>
        <v/>
      </c>
      <c r="D37" s="49">
        <f>C37*7</f>
        <v/>
      </c>
      <c r="E37" s="62">
        <f>IF(F11&gt;=1,"Held the line — push it 10%.","Missed it. Hold the standard and close the gap.")</f>
        <v/>
      </c>
    </row>
    <row r="38">
      <c r="A38" s="48" t="inlineStr">
        <is>
          <t>Opener DMs</t>
        </is>
      </c>
      <c r="B38" s="50">
        <f>B12</f>
        <v/>
      </c>
      <c r="C38" s="53">
        <f>G12</f>
        <v/>
      </c>
      <c r="D38" s="49">
        <f>C38*7</f>
        <v/>
      </c>
      <c r="E38" s="62">
        <f>IF(F12&gt;=1,"Held the line — push it 10%.","Missed it. Hold the standard and close the gap.")</f>
        <v/>
      </c>
    </row>
    <row r="39">
      <c r="A39" s="48" t="inlineStr">
        <is>
          <t>Follow-up DMs</t>
        </is>
      </c>
      <c r="B39" s="50">
        <f>B13</f>
        <v/>
      </c>
      <c r="C39" s="53">
        <f>G13</f>
        <v/>
      </c>
      <c r="D39" s="49">
        <f>C39*7</f>
        <v/>
      </c>
      <c r="E39" s="62">
        <f>IF(F13&gt;=1,"Held the line — push it 10%.","Missed it. Hold the standard and close the gap.")</f>
        <v/>
      </c>
    </row>
    <row r="41" ht="26" customHeight="1">
      <c r="A41" s="63" t="inlineStr">
        <is>
          <t>Per day nudges up 10% on anything you hit this week and holds the standard on anything you didn't. It's a suggestion — your actual standards live on Setup.</t>
        </is>
      </c>
    </row>
  </sheetData>
  <mergeCells count="15">
    <mergeCell ref="A1:G1"/>
    <mergeCell ref="E36:G36"/>
    <mergeCell ref="E38:G38"/>
    <mergeCell ref="A8:G8"/>
    <mergeCell ref="A6:G6"/>
    <mergeCell ref="E37:G37"/>
    <mergeCell ref="A34:G34"/>
    <mergeCell ref="E39:G39"/>
    <mergeCell ref="A2:G2"/>
    <mergeCell ref="E35:G35"/>
    <mergeCell ref="A15:G15"/>
    <mergeCell ref="A25:G25"/>
    <mergeCell ref="A41:G41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4" t="inlineStr">
        <is>
          <t>CASH THIS MONTH</t>
        </is>
      </c>
      <c r="D4" s="64" t="inlineStr">
        <is>
          <t>% OF MONTHLY GOAL</t>
        </is>
      </c>
      <c r="F4" s="64" t="inlineStr">
        <is>
          <t>CALLS BOOKED THIS WEEK</t>
        </is>
      </c>
      <c r="H4" s="64" t="inlineStr">
        <is>
          <t>DAYS LOGGED IN A ROW</t>
        </is>
      </c>
      <c r="J4" s="64" t="inlineStr">
        <is>
          <t>PERFECT DAYS IN A ROW</t>
        </is>
      </c>
    </row>
    <row r="5" ht="16" customHeight="1">
      <c r="A5" s="65" t="inlineStr">
        <is>
          <t>AT A GLANCE</t>
        </is>
      </c>
      <c r="B5" s="66">
        <f>SUMIFS('Daily Log'!$L$4:$L$369,'Daily Log'!$A$4:$A$369,"&gt;="&amp;$D$10,'Daily Log'!$A$4:$A$369,"&lt;="&amp;$D$11)</f>
        <v/>
      </c>
      <c r="D5" s="67">
        <f>IFERROR(B5/Setup!$C$18,0)</f>
        <v/>
      </c>
      <c r="F5" s="68">
        <f>SUMIFS('Daily Log'!$I$4:$I$369,'Daily Log'!$A$4:$A$369,"&gt;="&amp;$B$10,'Daily Log'!$A$4:$A$369,"&lt;="&amp;$B$11)</f>
        <v/>
      </c>
      <c r="H5" s="68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8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7" ht="19" customHeight="1">
      <c r="A7" s="69">
        <f>"Last entry: "&amp;IF($G$7=-1,"nothing logged yet",IF($G$7=0,"today",IF($G$7=1,"yesterday",$G$7&amp;" days ago")))</f>
        <v/>
      </c>
      <c r="G7" s="70">
        <f>IF(MAX('Daily Log'!$T$4:$T$369)=0,-1,TODAY()-MAX('Daily Log'!$T$4:$T$369))</f>
        <v/>
      </c>
    </row>
    <row r="8" ht="20" customHeight="1">
      <c r="B8" s="71" t="inlineStr">
        <is>
          <t>This Week</t>
        </is>
      </c>
      <c r="C8" s="71" t="inlineStr">
        <is>
          <t>Last Week</t>
        </is>
      </c>
      <c r="D8" s="71" t="inlineStr">
        <is>
          <t>This Month</t>
        </is>
      </c>
      <c r="E8" s="71" t="inlineStr">
        <is>
          <t>Last Month</t>
        </is>
      </c>
      <c r="F8" s="71" t="inlineStr">
        <is>
          <t>All Time</t>
        </is>
      </c>
    </row>
    <row r="9">
      <c r="B9" s="72">
        <f>TEXT(B10,"d mmm")&amp;" – "&amp;TEXT(B11,"d mmm")</f>
        <v/>
      </c>
      <c r="C9" s="72">
        <f>TEXT(C10,"d mmm")&amp;" – "&amp;TEXT(C11,"d mmm")</f>
        <v/>
      </c>
      <c r="D9" s="72">
        <f>TEXT(D10,"d mmm")&amp;" – "&amp;TEXT(D11,"d mmm")</f>
        <v/>
      </c>
      <c r="E9" s="72">
        <f>TEXT(E10,"d mmm")&amp;" – "&amp;TEXT(E11,"d mmm")</f>
        <v/>
      </c>
      <c r="F9" s="72">
        <f>TEXT(F10,"d mmm")&amp;" – "&amp;TEXT(F11,"d mmm")</f>
        <v/>
      </c>
    </row>
    <row r="10">
      <c r="A10" s="73" t="inlineStr">
        <is>
          <t>Period start</t>
        </is>
      </c>
      <c r="B10" s="74">
        <f>TODAY()-WEEKDAY(TODAY(),2)+1</f>
        <v/>
      </c>
      <c r="C10" s="74">
        <f>B10-7</f>
        <v/>
      </c>
      <c r="D10" s="74">
        <f>DATE(YEAR(TODAY()),MONTH(TODAY()),1)</f>
        <v/>
      </c>
      <c r="E10" s="74">
        <f>EOMONTH(TODAY(),-2)+1</f>
        <v/>
      </c>
      <c r="F10" s="74">
        <f>Setup!$C$8</f>
        <v/>
      </c>
    </row>
    <row r="11">
      <c r="A11" s="73" t="inlineStr">
        <is>
          <t>Period end</t>
        </is>
      </c>
      <c r="B11" s="74">
        <f>TODAY()</f>
        <v/>
      </c>
      <c r="C11" s="74">
        <f>B10-1</f>
        <v/>
      </c>
      <c r="D11" s="74">
        <f>TODAY()</f>
        <v/>
      </c>
      <c r="E11" s="74">
        <f>EOMONTH(TODAY(),-1)</f>
        <v/>
      </c>
      <c r="F11" s="74">
        <f>TODAY()</f>
        <v/>
      </c>
    </row>
    <row r="13" ht="21" customHeight="1">
      <c r="A13" s="5" t="inlineStr">
        <is>
          <t>ACTIVITY — what you put in</t>
        </is>
      </c>
    </row>
    <row r="14">
      <c r="A14" s="75" t="inlineStr">
        <is>
          <t>Days Logged</t>
        </is>
      </c>
      <c r="B14" s="50">
        <f>SUMIFS('Daily Log'!$Q$4:$Q$369,'Daily Log'!$A$4:$A$369,"&gt;="&amp;B$10,'Daily Log'!$A$4:$A$369,"&lt;="&amp;B$11)</f>
        <v/>
      </c>
      <c r="C14" s="50">
        <f>SUMIFS('Daily Log'!$Q$4:$Q$369,'Daily Log'!$A$4:$A$369,"&gt;="&amp;C$10,'Daily Log'!$A$4:$A$369,"&lt;="&amp;C$11)</f>
        <v/>
      </c>
      <c r="D14" s="50">
        <f>SUMIFS('Daily Log'!$Q$4:$Q$369,'Daily Log'!$A$4:$A$369,"&gt;="&amp;D$10,'Daily Log'!$A$4:$A$369,"&lt;="&amp;D$11)</f>
        <v/>
      </c>
      <c r="E14" s="50">
        <f>SUMIFS('Daily Log'!$Q$4:$Q$369,'Daily Log'!$A$4:$A$369,"&gt;="&amp;E$10,'Daily Log'!$A$4:$A$369,"&lt;="&amp;E$11)</f>
        <v/>
      </c>
      <c r="F14" s="50">
        <f>SUMIFS('Daily Log'!$Q$4:$Q$369,'Daily Log'!$A$4:$A$369,"&gt;="&amp;F$10,'Daily Log'!$A$4:$A$369,"&lt;="&amp;F$11)</f>
        <v/>
      </c>
    </row>
    <row r="15">
      <c r="A15" s="75" t="inlineStr">
        <is>
          <t>Reels / Posts</t>
        </is>
      </c>
      <c r="B15" s="50">
        <f>SUMIFS('Daily Log'!$C$4:$C$369,'Daily Log'!$A$4:$A$369,"&gt;="&amp;B$10,'Daily Log'!$A$4:$A$369,"&lt;="&amp;B$11)</f>
        <v/>
      </c>
      <c r="C15" s="50">
        <f>SUMIFS('Daily Log'!$C$4:$C$369,'Daily Log'!$A$4:$A$369,"&gt;="&amp;C$10,'Daily Log'!$A$4:$A$369,"&lt;="&amp;C$11)</f>
        <v/>
      </c>
      <c r="D15" s="50">
        <f>SUMIFS('Daily Log'!$C$4:$C$369,'Daily Log'!$A$4:$A$369,"&gt;="&amp;D$10,'Daily Log'!$A$4:$A$369,"&lt;="&amp;D$11)</f>
        <v/>
      </c>
      <c r="E15" s="50">
        <f>SUMIFS('Daily Log'!$C$4:$C$369,'Daily Log'!$A$4:$A$369,"&gt;="&amp;E$10,'Daily Log'!$A$4:$A$369,"&lt;="&amp;E$11)</f>
        <v/>
      </c>
      <c r="F15" s="50">
        <f>SUMIFS('Daily Log'!$C$4:$C$369,'Daily Log'!$A$4:$A$369,"&gt;="&amp;F$10,'Daily Log'!$A$4:$A$369,"&lt;="&amp;F$11)</f>
        <v/>
      </c>
    </row>
    <row r="16">
      <c r="A16" s="75" t="inlineStr">
        <is>
          <t>Stories</t>
        </is>
      </c>
      <c r="B16" s="50">
        <f>SUMIFS('Daily Log'!$D$4:$D$369,'Daily Log'!$A$4:$A$369,"&gt;="&amp;B$10,'Daily Log'!$A$4:$A$369,"&lt;="&amp;B$11)</f>
        <v/>
      </c>
      <c r="C16" s="50">
        <f>SUMIFS('Daily Log'!$D$4:$D$369,'Daily Log'!$A$4:$A$369,"&gt;="&amp;C$10,'Daily Log'!$A$4:$A$369,"&lt;="&amp;C$11)</f>
        <v/>
      </c>
      <c r="D16" s="50">
        <f>SUMIFS('Daily Log'!$D$4:$D$369,'Daily Log'!$A$4:$A$369,"&gt;="&amp;D$10,'Daily Log'!$A$4:$A$369,"&lt;="&amp;D$11)</f>
        <v/>
      </c>
      <c r="E16" s="50">
        <f>SUMIFS('Daily Log'!$D$4:$D$369,'Daily Log'!$A$4:$A$369,"&gt;="&amp;E$10,'Daily Log'!$A$4:$A$369,"&lt;="&amp;E$11)</f>
        <v/>
      </c>
      <c r="F16" s="50">
        <f>SUMIFS('Daily Log'!$D$4:$D$369,'Daily Log'!$A$4:$A$369,"&gt;="&amp;F$10,'Daily Log'!$A$4:$A$369,"&lt;="&amp;F$11)</f>
        <v/>
      </c>
    </row>
    <row r="17">
      <c r="A17" s="75" t="inlineStr">
        <is>
          <t>Opener DMs Sent</t>
        </is>
      </c>
      <c r="B17" s="50">
        <f>SUMIFS('Daily Log'!$E$4:$E$369,'Daily Log'!$A$4:$A$369,"&gt;="&amp;B$10,'Daily Log'!$A$4:$A$369,"&lt;="&amp;B$11)</f>
        <v/>
      </c>
      <c r="C17" s="50">
        <f>SUMIFS('Daily Log'!$E$4:$E$369,'Daily Log'!$A$4:$A$369,"&gt;="&amp;C$10,'Daily Log'!$A$4:$A$369,"&lt;="&amp;C$11)</f>
        <v/>
      </c>
      <c r="D17" s="50">
        <f>SUMIFS('Daily Log'!$E$4:$E$369,'Daily Log'!$A$4:$A$369,"&gt;="&amp;D$10,'Daily Log'!$A$4:$A$369,"&lt;="&amp;D$11)</f>
        <v/>
      </c>
      <c r="E17" s="50">
        <f>SUMIFS('Daily Log'!$E$4:$E$369,'Daily Log'!$A$4:$A$369,"&gt;="&amp;E$10,'Daily Log'!$A$4:$A$369,"&lt;="&amp;E$11)</f>
        <v/>
      </c>
      <c r="F17" s="50">
        <f>SUMIFS('Daily Log'!$E$4:$E$369,'Daily Log'!$A$4:$A$369,"&gt;="&amp;F$10,'Daily Log'!$A$4:$A$369,"&lt;="&amp;F$11)</f>
        <v/>
      </c>
    </row>
    <row r="18">
      <c r="A18" s="75" t="inlineStr">
        <is>
          <t>Follow-Up DMs Sent</t>
        </is>
      </c>
      <c r="B18" s="50">
        <f>SUMIFS('Daily Log'!$F$4:$F$369,'Daily Log'!$A$4:$A$369,"&gt;="&amp;B$10,'Daily Log'!$A$4:$A$369,"&lt;="&amp;B$11)</f>
        <v/>
      </c>
      <c r="C18" s="50">
        <f>SUMIFS('Daily Log'!$F$4:$F$369,'Daily Log'!$A$4:$A$369,"&gt;="&amp;C$10,'Daily Log'!$A$4:$A$369,"&lt;="&amp;C$11)</f>
        <v/>
      </c>
      <c r="D18" s="50">
        <f>SUMIFS('Daily Log'!$F$4:$F$369,'Daily Log'!$A$4:$A$369,"&gt;="&amp;D$10,'Daily Log'!$A$4:$A$369,"&lt;="&amp;D$11)</f>
        <v/>
      </c>
      <c r="E18" s="50">
        <f>SUMIFS('Daily Log'!$F$4:$F$369,'Daily Log'!$A$4:$A$369,"&gt;="&amp;E$10,'Daily Log'!$A$4:$A$369,"&lt;="&amp;E$11)</f>
        <v/>
      </c>
      <c r="F18" s="50">
        <f>SUMIFS('Daily Log'!$F$4:$F$369,'Daily Log'!$A$4:$A$369,"&gt;="&amp;F$10,'Daily Log'!$A$4:$A$369,"&lt;="&amp;F$11)</f>
        <v/>
      </c>
    </row>
    <row r="19">
      <c r="A19" s="76" t="inlineStr">
        <is>
          <t>Total DMs Sent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</row>
    <row r="20">
      <c r="A20" s="75" t="inlineStr">
        <is>
          <t>Replies</t>
        </is>
      </c>
      <c r="B20" s="50">
        <f>SUMIFS('Daily Log'!$G$4:$G$369,'Daily Log'!$A$4:$A$369,"&gt;="&amp;B$10,'Daily Log'!$A$4:$A$369,"&lt;="&amp;B$11)</f>
        <v/>
      </c>
      <c r="C20" s="50">
        <f>SUMIFS('Daily Log'!$G$4:$G$369,'Daily Log'!$A$4:$A$369,"&gt;="&amp;C$10,'Daily Log'!$A$4:$A$369,"&lt;="&amp;C$11)</f>
        <v/>
      </c>
      <c r="D20" s="50">
        <f>SUMIFS('Daily Log'!$G$4:$G$369,'Daily Log'!$A$4:$A$369,"&gt;="&amp;D$10,'Daily Log'!$A$4:$A$369,"&lt;="&amp;D$11)</f>
        <v/>
      </c>
      <c r="E20" s="50">
        <f>SUMIFS('Daily Log'!$G$4:$G$369,'Daily Log'!$A$4:$A$369,"&gt;="&amp;E$10,'Daily Log'!$A$4:$A$369,"&lt;="&amp;E$11)</f>
        <v/>
      </c>
      <c r="F20" s="50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5" t="inlineStr">
        <is>
          <t>Calls Pitched</t>
        </is>
      </c>
      <c r="B23" s="50">
        <f>SUMIFS('Daily Log'!$H$4:$H$369,'Daily Log'!$A$4:$A$369,"&gt;="&amp;B$10,'Daily Log'!$A$4:$A$369,"&lt;="&amp;B$11)</f>
        <v/>
      </c>
      <c r="C23" s="50">
        <f>SUMIFS('Daily Log'!$H$4:$H$369,'Daily Log'!$A$4:$A$369,"&gt;="&amp;C$10,'Daily Log'!$A$4:$A$369,"&lt;="&amp;C$11)</f>
        <v/>
      </c>
      <c r="D23" s="50">
        <f>SUMIFS('Daily Log'!$H$4:$H$369,'Daily Log'!$A$4:$A$369,"&gt;="&amp;D$10,'Daily Log'!$A$4:$A$369,"&lt;="&amp;D$11)</f>
        <v/>
      </c>
      <c r="E23" s="50">
        <f>SUMIFS('Daily Log'!$H$4:$H$369,'Daily Log'!$A$4:$A$369,"&gt;="&amp;E$10,'Daily Log'!$A$4:$A$369,"&lt;="&amp;E$11)</f>
        <v/>
      </c>
      <c r="F23" s="50">
        <f>SUMIFS('Daily Log'!$H$4:$H$369,'Daily Log'!$A$4:$A$369,"&gt;="&amp;F$10,'Daily Log'!$A$4:$A$369,"&lt;="&amp;F$11)</f>
        <v/>
      </c>
    </row>
    <row r="24">
      <c r="A24" s="75" t="inlineStr">
        <is>
          <t>Calls Booked</t>
        </is>
      </c>
      <c r="B24" s="50">
        <f>SUMIFS('Daily Log'!$I$4:$I$369,'Daily Log'!$A$4:$A$369,"&gt;="&amp;B$10,'Daily Log'!$A$4:$A$369,"&lt;="&amp;B$11)</f>
        <v/>
      </c>
      <c r="C24" s="50">
        <f>SUMIFS('Daily Log'!$I$4:$I$369,'Daily Log'!$A$4:$A$369,"&gt;="&amp;C$10,'Daily Log'!$A$4:$A$369,"&lt;="&amp;C$11)</f>
        <v/>
      </c>
      <c r="D24" s="50">
        <f>SUMIFS('Daily Log'!$I$4:$I$369,'Daily Log'!$A$4:$A$369,"&gt;="&amp;D$10,'Daily Log'!$A$4:$A$369,"&lt;="&amp;D$11)</f>
        <v/>
      </c>
      <c r="E24" s="50">
        <f>SUMIFS('Daily Log'!$I$4:$I$369,'Daily Log'!$A$4:$A$369,"&gt;="&amp;E$10,'Daily Log'!$A$4:$A$369,"&lt;="&amp;E$11)</f>
        <v/>
      </c>
      <c r="F24" s="50">
        <f>SUMIFS('Daily Log'!$I$4:$I$369,'Daily Log'!$A$4:$A$369,"&gt;="&amp;F$10,'Daily Log'!$A$4:$A$369,"&lt;="&amp;F$11)</f>
        <v/>
      </c>
    </row>
    <row r="25">
      <c r="A25" s="75" t="inlineStr">
        <is>
          <t>Calls Showed</t>
        </is>
      </c>
      <c r="B25" s="50">
        <f>SUMIFS('Daily Log'!$J$4:$J$369,'Daily Log'!$A$4:$A$369,"&gt;="&amp;B$10,'Daily Log'!$A$4:$A$369,"&lt;="&amp;B$11)</f>
        <v/>
      </c>
      <c r="C25" s="50">
        <f>SUMIFS('Daily Log'!$J$4:$J$369,'Daily Log'!$A$4:$A$369,"&gt;="&amp;C$10,'Daily Log'!$A$4:$A$369,"&lt;="&amp;C$11)</f>
        <v/>
      </c>
      <c r="D25" s="50">
        <f>SUMIFS('Daily Log'!$J$4:$J$369,'Daily Log'!$A$4:$A$369,"&gt;="&amp;D$10,'Daily Log'!$A$4:$A$369,"&lt;="&amp;D$11)</f>
        <v/>
      </c>
      <c r="E25" s="50">
        <f>SUMIFS('Daily Log'!$J$4:$J$369,'Daily Log'!$A$4:$A$369,"&gt;="&amp;E$10,'Daily Log'!$A$4:$A$369,"&lt;="&amp;E$11)</f>
        <v/>
      </c>
      <c r="F25" s="50">
        <f>SUMIFS('Daily Log'!$J$4:$J$369,'Daily Log'!$A$4:$A$369,"&gt;="&amp;F$10,'Daily Log'!$A$4:$A$369,"&lt;="&amp;F$11)</f>
        <v/>
      </c>
    </row>
    <row r="26">
      <c r="A26" s="75" t="inlineStr">
        <is>
          <t>Closes</t>
        </is>
      </c>
      <c r="B26" s="50">
        <f>SUMIFS('Daily Log'!$K$4:$K$369,'Daily Log'!$A$4:$A$369,"&gt;="&amp;B$10,'Daily Log'!$A$4:$A$369,"&lt;="&amp;B$11)</f>
        <v/>
      </c>
      <c r="C26" s="50">
        <f>SUMIFS('Daily Log'!$K$4:$K$369,'Daily Log'!$A$4:$A$369,"&gt;="&amp;C$10,'Daily Log'!$A$4:$A$369,"&lt;="&amp;C$11)</f>
        <v/>
      </c>
      <c r="D26" s="50">
        <f>SUMIFS('Daily Log'!$K$4:$K$369,'Daily Log'!$A$4:$A$369,"&gt;="&amp;D$10,'Daily Log'!$A$4:$A$369,"&lt;="&amp;D$11)</f>
        <v/>
      </c>
      <c r="E26" s="50">
        <f>SUMIFS('Daily Log'!$K$4:$K$369,'Daily Log'!$A$4:$A$369,"&gt;="&amp;E$10,'Daily Log'!$A$4:$A$369,"&lt;="&amp;E$11)</f>
        <v/>
      </c>
      <c r="F26" s="50">
        <f>SUMIFS('Daily Log'!$K$4:$K$369,'Daily Log'!$A$4:$A$369,"&gt;="&amp;F$10,'Daily Log'!$A$4:$A$369,"&lt;="&amp;F$11)</f>
        <v/>
      </c>
    </row>
    <row r="27">
      <c r="A27" s="76" t="inlineStr">
        <is>
          <t>Cash Collected</t>
        </is>
      </c>
      <c r="B27" s="55">
        <f>SUMIFS('Daily Log'!$L$4:$L$369,'Daily Log'!$A$4:$A$369,"&gt;="&amp;B$10,'Daily Log'!$A$4:$A$369,"&lt;="&amp;B$11)</f>
        <v/>
      </c>
      <c r="C27" s="55">
        <f>SUMIFS('Daily Log'!$L$4:$L$369,'Daily Log'!$A$4:$A$369,"&gt;="&amp;C$10,'Daily Log'!$A$4:$A$369,"&lt;="&amp;C$11)</f>
        <v/>
      </c>
      <c r="D27" s="55">
        <f>SUMIFS('Daily Log'!$L$4:$L$369,'Daily Log'!$A$4:$A$369,"&gt;="&amp;D$10,'Daily Log'!$A$4:$A$369,"&lt;="&amp;D$11)</f>
        <v/>
      </c>
      <c r="E27" s="55">
        <f>SUMIFS('Daily Log'!$L$4:$L$369,'Daily Log'!$A$4:$A$369,"&gt;="&amp;E$10,'Daily Log'!$A$4:$A$369,"&lt;="&amp;E$11)</f>
        <v/>
      </c>
      <c r="F27" s="55">
        <f>SUMIFS('Daily Log'!$L$4:$L$369,'Daily Log'!$A$4:$A$369,"&gt;="&amp;F$10,'Daily Log'!$A$4:$A$369,"&lt;="&amp;F$11)</f>
        <v/>
      </c>
    </row>
    <row r="28">
      <c r="A28" s="75" t="inlineStr">
        <is>
          <t>Revenue Generated</t>
        </is>
      </c>
      <c r="B28" s="56">
        <f>SUMIFS('Daily Log'!$M$4:$M$369,'Daily Log'!$A$4:$A$369,"&gt;="&amp;B$10,'Daily Log'!$A$4:$A$369,"&lt;="&amp;B$11)</f>
        <v/>
      </c>
      <c r="C28" s="56">
        <f>SUMIFS('Daily Log'!$M$4:$M$369,'Daily Log'!$A$4:$A$369,"&gt;="&amp;C$10,'Daily Log'!$A$4:$A$369,"&lt;="&amp;C$11)</f>
        <v/>
      </c>
      <c r="D28" s="56">
        <f>SUMIFS('Daily Log'!$M$4:$M$369,'Daily Log'!$A$4:$A$369,"&gt;="&amp;D$10,'Daily Log'!$A$4:$A$369,"&lt;="&amp;D$11)</f>
        <v/>
      </c>
      <c r="E28" s="56">
        <f>SUMIFS('Daily Log'!$M$4:$M$369,'Daily Log'!$A$4:$A$369,"&gt;="&amp;E$10,'Daily Log'!$A$4:$A$369,"&lt;="&amp;E$11)</f>
        <v/>
      </c>
      <c r="F28" s="56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  <c r="G30" s="77" t="inlineStr">
        <is>
          <t>Healthy
floor</t>
        </is>
      </c>
    </row>
    <row r="31">
      <c r="A31" s="75" t="inlineStr">
        <is>
          <t>Reply Rate (replies ÷ DMs sent)</t>
        </is>
      </c>
      <c r="B31" s="59">
        <f>IFERROR(B20/B19,"")</f>
        <v/>
      </c>
      <c r="C31" s="59">
        <f>IFERROR(C20/C19,"")</f>
        <v/>
      </c>
      <c r="D31" s="59">
        <f>IFERROR(D20/D19,"")</f>
        <v/>
      </c>
      <c r="E31" s="59">
        <f>IFERROR(E20/E19,"")</f>
        <v/>
      </c>
      <c r="F31" s="59">
        <f>IFERROR(F20/F19,"")</f>
        <v/>
      </c>
      <c r="G31" s="78">
        <f>'Cheat Sheet'!$C$11</f>
        <v/>
      </c>
    </row>
    <row r="32">
      <c r="A32" s="75" t="inlineStr">
        <is>
          <t>Pitch Rate (pitched ÷ replies)</t>
        </is>
      </c>
      <c r="B32" s="59">
        <f>IFERROR(B23/B20,"")</f>
        <v/>
      </c>
      <c r="C32" s="59">
        <f>IFERROR(C23/C20,"")</f>
        <v/>
      </c>
      <c r="D32" s="59">
        <f>IFERROR(D23/D20,"")</f>
        <v/>
      </c>
      <c r="E32" s="59">
        <f>IFERROR(E23/E20,"")</f>
        <v/>
      </c>
      <c r="F32" s="59">
        <f>IFERROR(F23/F20,"")</f>
        <v/>
      </c>
      <c r="G32" s="78">
        <f>'Cheat Sheet'!$C$12</f>
        <v/>
      </c>
    </row>
    <row r="33">
      <c r="A33" s="75" t="inlineStr">
        <is>
          <t>Book Rate (booked ÷ pitched)</t>
        </is>
      </c>
      <c r="B33" s="59">
        <f>IFERROR(B24/B23,"")</f>
        <v/>
      </c>
      <c r="C33" s="59">
        <f>IFERROR(C24/C23,"")</f>
        <v/>
      </c>
      <c r="D33" s="59">
        <f>IFERROR(D24/D23,"")</f>
        <v/>
      </c>
      <c r="E33" s="59">
        <f>IFERROR(E24/E23,"")</f>
        <v/>
      </c>
      <c r="F33" s="59">
        <f>IFERROR(F24/F23,"")</f>
        <v/>
      </c>
      <c r="G33" s="78">
        <f>'Cheat Sheet'!$C$13</f>
        <v/>
      </c>
    </row>
    <row r="34">
      <c r="A34" s="75" t="inlineStr">
        <is>
          <t>Show Rate (showed ÷ booked)</t>
        </is>
      </c>
      <c r="B34" s="59">
        <f>IFERROR(B25/B24,"")</f>
        <v/>
      </c>
      <c r="C34" s="59">
        <f>IFERROR(C25/C24,"")</f>
        <v/>
      </c>
      <c r="D34" s="59">
        <f>IFERROR(D25/D24,"")</f>
        <v/>
      </c>
      <c r="E34" s="59">
        <f>IFERROR(E25/E24,"")</f>
        <v/>
      </c>
      <c r="F34" s="59">
        <f>IFERROR(F25/F24,"")</f>
        <v/>
      </c>
      <c r="G34" s="78">
        <f>'Cheat Sheet'!$C$14</f>
        <v/>
      </c>
    </row>
    <row r="35">
      <c r="A35" s="75" t="inlineStr">
        <is>
          <t>Close Rate (closes ÷ showed)</t>
        </is>
      </c>
      <c r="B35" s="59">
        <f>IFERROR(B26/B25,"")</f>
        <v/>
      </c>
      <c r="C35" s="59">
        <f>IFERROR(C26/C25,"")</f>
        <v/>
      </c>
      <c r="D35" s="59">
        <f>IFERROR(D26/D25,"")</f>
        <v/>
      </c>
      <c r="E35" s="59">
        <f>IFERROR(E26/E25,"")</f>
        <v/>
      </c>
      <c r="F35" s="59">
        <f>IFERROR(F26/F25,"")</f>
        <v/>
      </c>
      <c r="G35" s="78">
        <f>'Cheat Sheet'!$C$15</f>
        <v/>
      </c>
    </row>
    <row r="36">
      <c r="A36" s="75" t="inlineStr">
        <is>
          <t>DMs per Call Booked</t>
        </is>
      </c>
      <c r="B36" s="79">
        <f>IFERROR(B19/B24,"")</f>
        <v/>
      </c>
      <c r="C36" s="79">
        <f>IFERROR(C19/C24,"")</f>
        <v/>
      </c>
      <c r="D36" s="79">
        <f>IFERROR(D19/D24,"")</f>
        <v/>
      </c>
      <c r="E36" s="79">
        <f>IFERROR(E19/E24,"")</f>
        <v/>
      </c>
      <c r="F36" s="79">
        <f>IFERROR(F19/F24,"")</f>
        <v/>
      </c>
    </row>
    <row r="37">
      <c r="A37" s="75" t="inlineStr">
        <is>
          <t>Cash per Call Booked</t>
        </is>
      </c>
      <c r="B37" s="56">
        <f>IFERROR(B27/B24,"")</f>
        <v/>
      </c>
      <c r="C37" s="56">
        <f>IFERROR(C27/C24,"")</f>
        <v/>
      </c>
      <c r="D37" s="56">
        <f>IFERROR(D27/D24,"")</f>
        <v/>
      </c>
      <c r="E37" s="56">
        <f>IFERROR(E27/E24,"")</f>
        <v/>
      </c>
      <c r="F37" s="56">
        <f>IFERROR(F27/F24,"")</f>
        <v/>
      </c>
    </row>
    <row r="38">
      <c r="A38" s="76" t="inlineStr">
        <is>
          <t>Cash per 100 DMs Sent</t>
        </is>
      </c>
      <c r="B38" s="55">
        <f>IFERROR(B27/B19*100,"")</f>
        <v/>
      </c>
      <c r="C38" s="55">
        <f>IFERROR(C27/C19*100,"")</f>
        <v/>
      </c>
      <c r="D38" s="55">
        <f>IFERROR(D27/D19*100,"")</f>
        <v/>
      </c>
      <c r="E38" s="55">
        <f>IFERROR(E27/E19*100,"")</f>
        <v/>
      </c>
      <c r="F38" s="55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5" t="inlineStr">
        <is>
          <t>Avg Reels / day</t>
        </is>
      </c>
      <c r="B41" s="79">
        <f>IFERROR(B15/B14,"")</f>
        <v/>
      </c>
      <c r="C41" s="79">
        <f>IFERROR(C15/C14,"")</f>
        <v/>
      </c>
      <c r="D41" s="79">
        <f>IFERROR(D15/D14,"")</f>
        <v/>
      </c>
      <c r="E41" s="79">
        <f>IFERROR(E15/E14,"")</f>
        <v/>
      </c>
      <c r="F41" s="79">
        <f>IFERROR(F15/F14,"")</f>
        <v/>
      </c>
      <c r="G41" s="80">
        <f>Setup!$C$12</f>
        <v/>
      </c>
    </row>
    <row r="42">
      <c r="A42" s="75" t="inlineStr">
        <is>
          <t>Avg Stories / day</t>
        </is>
      </c>
      <c r="B42" s="79">
        <f>IFERROR(B16/B14,"")</f>
        <v/>
      </c>
      <c r="C42" s="79">
        <f>IFERROR(C16/C14,"")</f>
        <v/>
      </c>
      <c r="D42" s="79">
        <f>IFERROR(D16/D14,"")</f>
        <v/>
      </c>
      <c r="E42" s="79">
        <f>IFERROR(E16/E14,"")</f>
        <v/>
      </c>
      <c r="F42" s="79">
        <f>IFERROR(F16/F14,"")</f>
        <v/>
      </c>
      <c r="G42" s="80">
        <f>Setup!$C$13</f>
        <v/>
      </c>
    </row>
    <row r="43">
      <c r="A43" s="75" t="inlineStr">
        <is>
          <t>Avg Opener DMs / day</t>
        </is>
      </c>
      <c r="B43" s="79">
        <f>IFERROR(B17/B14,"")</f>
        <v/>
      </c>
      <c r="C43" s="79">
        <f>IFERROR(C17/C14,"")</f>
        <v/>
      </c>
      <c r="D43" s="79">
        <f>IFERROR(D17/D14,"")</f>
        <v/>
      </c>
      <c r="E43" s="79">
        <f>IFERROR(E17/E14,"")</f>
        <v/>
      </c>
      <c r="F43" s="79">
        <f>IFERROR(F17/F14,"")</f>
        <v/>
      </c>
      <c r="G43" s="80">
        <f>Setup!$C$14</f>
        <v/>
      </c>
    </row>
    <row r="44">
      <c r="A44" s="75" t="inlineStr">
        <is>
          <t>Avg Follow-Up DMs / day</t>
        </is>
      </c>
      <c r="B44" s="79">
        <f>IFERROR(B18/B14,"")</f>
        <v/>
      </c>
      <c r="C44" s="79">
        <f>IFERROR(C18/C14,"")</f>
        <v/>
      </c>
      <c r="D44" s="79">
        <f>IFERROR(D18/D14,"")</f>
        <v/>
      </c>
      <c r="E44" s="79">
        <f>IFERROR(E18/E14,"")</f>
        <v/>
      </c>
      <c r="F44" s="79">
        <f>IFERROR(F18/F14,"")</f>
        <v/>
      </c>
      <c r="G44" s="80">
        <f>Setup!$C$15</f>
        <v/>
      </c>
    </row>
    <row r="45">
      <c r="A45" s="75" t="inlineStr">
        <is>
          <t>Perfect Days (all 4 standards hit)</t>
        </is>
      </c>
      <c r="B45" s="50">
        <f>COUNTIFS('Daily Log'!$A$4:$A$369,"&gt;="&amp;B$10,'Daily Log'!$A$4:$A$369,"&lt;="&amp;B$11,'Daily Log'!$O$4:$O$369,4)</f>
        <v/>
      </c>
      <c r="C45" s="50">
        <f>COUNTIFS('Daily Log'!$A$4:$A$369,"&gt;="&amp;C$10,'Daily Log'!$A$4:$A$369,"&lt;="&amp;C$11,'Daily Log'!$O$4:$O$369,4)</f>
        <v/>
      </c>
      <c r="D45" s="50">
        <f>COUNTIFS('Daily Log'!$A$4:$A$369,"&gt;="&amp;D$10,'Daily Log'!$A$4:$A$369,"&lt;="&amp;D$11,'Daily Log'!$O$4:$O$369,4)</f>
        <v/>
      </c>
      <c r="E45" s="50">
        <f>COUNTIFS('Daily Log'!$A$4:$A$369,"&gt;="&amp;E$10,'Daily Log'!$A$4:$A$369,"&lt;="&amp;E$11,'Daily Log'!$O$4:$O$369,4)</f>
        <v/>
      </c>
      <c r="F45" s="50">
        <f>COUNTIFS('Daily Log'!$A$4:$A$369,"&gt;="&amp;F$10,'Daily Log'!$A$4:$A$369,"&lt;="&amp;F$11,'Daily Log'!$O$4:$O$369,4)</f>
        <v/>
      </c>
    </row>
    <row r="46">
      <c r="A46" s="76" t="inlineStr">
        <is>
          <t>Standards Hit Rate</t>
        </is>
      </c>
      <c r="B46" s="58">
        <f>IFERROR(B45/B14,"")</f>
        <v/>
      </c>
      <c r="C46" s="58">
        <f>IFERROR(C45/C14,"")</f>
        <v/>
      </c>
      <c r="D46" s="58">
        <f>IFERROR(D45/D14,"")</f>
        <v/>
      </c>
      <c r="E46" s="58">
        <f>IFERROR(E45/E14,"")</f>
        <v/>
      </c>
      <c r="F46" s="58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8">
    <mergeCell ref="F4:G4"/>
    <mergeCell ref="A22:K22"/>
    <mergeCell ref="J4:K4"/>
    <mergeCell ref="A30:F30"/>
    <mergeCell ref="A48:K48"/>
    <mergeCell ref="A7:E7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A7:E7">
    <cfRule type="expression" priority="1" dxfId="2">
      <formula>$G$7&gt;3</formula>
    </cfRule>
    <cfRule type="expression" priority="2" dxfId="0">
      <formula>AND($G$7&gt;=0,$G$7&lt;=1)</formula>
    </cfRule>
  </conditionalFormatting>
  <conditionalFormatting sqref="B31:F35">
    <cfRule type="expression" priority="3" dxfId="0">
      <formula>AND(B31&lt;&gt;"",B31&gt;=$G31)</formula>
    </cfRule>
    <cfRule type="expression" priority="4" dxfId="2">
      <formula>AND(B31&lt;&gt;"",B31&lt;$G31)</formula>
    </cfRule>
  </conditionalFormatting>
  <conditionalFormatting sqref="B41:F44">
    <cfRule type="expression" priority="5" dxfId="0">
      <formula>AND(B41&lt;&gt;"",B41&gt;=$G41)</formula>
    </cfRule>
    <cfRule type="expression" priority="6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81" t="inlineStr">
        <is>
          <t>1.  Screenshot your profile — bio, follower count and the top of your grid.</t>
        </is>
      </c>
    </row>
    <row r="6">
      <c r="A6" s="81" t="inlineStr">
        <is>
          <t>2.  Screenshot Professional Dashboard → Insights (last 30 days).</t>
        </is>
      </c>
    </row>
    <row r="7">
      <c r="A7" s="81" t="inlineStr">
        <is>
          <t>3.  Click a box below, then Insert → Image → Image in cell, and upload.</t>
        </is>
      </c>
    </row>
    <row r="9">
      <c r="A9" s="82" t="inlineStr">
        <is>
          <t>PROFILE SCREENSHOT</t>
        </is>
      </c>
      <c r="G9" s="82" t="inlineStr">
        <is>
          <t>INSIGHTS SCREENSHOT</t>
        </is>
      </c>
    </row>
    <row r="10">
      <c r="A10" s="83" t="inlineStr">
        <is>
          <t>drop image here</t>
        </is>
      </c>
      <c r="B10" s="84" t="n"/>
      <c r="C10" s="84" t="n"/>
      <c r="D10" s="84" t="n"/>
      <c r="E10" s="84" t="n"/>
      <c r="G10" s="83" t="inlineStr">
        <is>
          <t>drop image here</t>
        </is>
      </c>
      <c r="H10" s="84" t="n"/>
      <c r="I10" s="84" t="n"/>
      <c r="J10" s="84" t="n"/>
      <c r="K10" s="84" t="n"/>
    </row>
    <row r="11">
      <c r="A11" s="84" t="n"/>
      <c r="B11" s="84" t="n"/>
      <c r="C11" s="84" t="n"/>
      <c r="D11" s="84" t="n"/>
      <c r="E11" s="84" t="n"/>
      <c r="G11" s="84" t="n"/>
      <c r="H11" s="84" t="n"/>
      <c r="I11" s="84" t="n"/>
      <c r="J11" s="84" t="n"/>
      <c r="K11" s="84" t="n"/>
    </row>
    <row r="12">
      <c r="A12" s="84" t="n"/>
      <c r="B12" s="84" t="n"/>
      <c r="C12" s="84" t="n"/>
      <c r="D12" s="84" t="n"/>
      <c r="E12" s="84" t="n"/>
      <c r="G12" s="84" t="n"/>
      <c r="H12" s="84" t="n"/>
      <c r="I12" s="84" t="n"/>
      <c r="J12" s="84" t="n"/>
      <c r="K12" s="84" t="n"/>
    </row>
    <row r="13">
      <c r="A13" s="84" t="n"/>
      <c r="B13" s="84" t="n"/>
      <c r="C13" s="84" t="n"/>
      <c r="D13" s="84" t="n"/>
      <c r="E13" s="84" t="n"/>
      <c r="G13" s="84" t="n"/>
      <c r="H13" s="84" t="n"/>
      <c r="I13" s="84" t="n"/>
      <c r="J13" s="84" t="n"/>
      <c r="K13" s="84" t="n"/>
    </row>
    <row r="14">
      <c r="A14" s="84" t="n"/>
      <c r="B14" s="84" t="n"/>
      <c r="C14" s="84" t="n"/>
      <c r="D14" s="84" t="n"/>
      <c r="E14" s="84" t="n"/>
      <c r="G14" s="84" t="n"/>
      <c r="H14" s="84" t="n"/>
      <c r="I14" s="84" t="n"/>
      <c r="J14" s="84" t="n"/>
      <c r="K14" s="84" t="n"/>
    </row>
    <row r="15">
      <c r="A15" s="84" t="n"/>
      <c r="B15" s="84" t="n"/>
      <c r="C15" s="84" t="n"/>
      <c r="D15" s="84" t="n"/>
      <c r="E15" s="84" t="n"/>
      <c r="G15" s="84" t="n"/>
      <c r="H15" s="84" t="n"/>
      <c r="I15" s="84" t="n"/>
      <c r="J15" s="84" t="n"/>
      <c r="K15" s="84" t="n"/>
    </row>
    <row r="16">
      <c r="A16" s="84" t="n"/>
      <c r="B16" s="84" t="n"/>
      <c r="C16" s="84" t="n"/>
      <c r="D16" s="84" t="n"/>
      <c r="E16" s="84" t="n"/>
      <c r="G16" s="84" t="n"/>
      <c r="H16" s="84" t="n"/>
      <c r="I16" s="84" t="n"/>
      <c r="J16" s="84" t="n"/>
      <c r="K16" s="84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85">
        <f>Setup!$C$9</f>
        <v/>
      </c>
      <c r="B20" s="38" t="n">
        <v>3248</v>
      </c>
      <c r="C20" s="86" t="n"/>
      <c r="D20" s="59" t="n"/>
      <c r="E20" s="38" t="n">
        <v>9800</v>
      </c>
      <c r="F20" s="38" t="n">
        <v>449</v>
      </c>
      <c r="G20" s="38" t="n">
        <v>325</v>
      </c>
      <c r="H20" s="38" t="n">
        <v>68</v>
      </c>
      <c r="I20" s="38" t="n">
        <v>22</v>
      </c>
      <c r="J20" s="50">
        <f>IF($A20&gt;TODAY(),"",SUMIFS('Daily Log'!$C$4:$C$369,'Daily Log'!$A$4:$A$369,"&gt;="&amp;$A20,'Daily Log'!$A$4:$A$369,"&lt;="&amp;$A20+6))</f>
        <v/>
      </c>
      <c r="K20" s="50">
        <f>IF($A20&gt;TODAY(),"",SUMIFS('Daily Log'!$D$4:$D$369,'Daily Log'!$A$4:$A$369,"&gt;="&amp;$A20,'Daily Log'!$A$4:$A$369,"&lt;="&amp;$A20+6))</f>
        <v/>
      </c>
      <c r="L20" s="79">
        <f>IFERROR(E20/J20,"")</f>
        <v/>
      </c>
      <c r="M20" s="79">
        <f>IFERROR(H20/E20*1000,"")</f>
        <v/>
      </c>
      <c r="N20" s="87" t="n"/>
    </row>
    <row r="21">
      <c r="A21" s="85">
        <f>A20+7</f>
        <v/>
      </c>
      <c r="B21" s="38" t="n">
        <v>3344</v>
      </c>
      <c r="C21" s="86">
        <f>IF(OR(B21="",B20=""),"",B21-B20)</f>
        <v/>
      </c>
      <c r="D21" s="59">
        <f>IF(OR(B21="",B20=""),"",IFERROR((B21-B20)/B20,""))</f>
        <v/>
      </c>
      <c r="E21" s="38" t="n">
        <v>11200</v>
      </c>
      <c r="F21" s="38" t="n">
        <v>554</v>
      </c>
      <c r="G21" s="38" t="n">
        <v>362</v>
      </c>
      <c r="H21" s="38" t="n">
        <v>96</v>
      </c>
      <c r="I21" s="38" t="n">
        <v>25</v>
      </c>
      <c r="J21" s="50">
        <f>IF($A21&gt;TODAY(),"",SUMIFS('Daily Log'!$C$4:$C$369,'Daily Log'!$A$4:$A$369,"&gt;="&amp;$A21,'Daily Log'!$A$4:$A$369,"&lt;="&amp;$A21+6))</f>
        <v/>
      </c>
      <c r="K21" s="50">
        <f>IF($A21&gt;TODAY(),"",SUMIFS('Daily Log'!$D$4:$D$369,'Daily Log'!$A$4:$A$369,"&gt;="&amp;$A21,'Daily Log'!$A$4:$A$369,"&lt;="&amp;$A21+6))</f>
        <v/>
      </c>
      <c r="L21" s="79">
        <f>IFERROR(E21/J21,"")</f>
        <v/>
      </c>
      <c r="M21" s="79">
        <f>IFERROR(H21/E21*1000,"")</f>
        <v/>
      </c>
      <c r="N21" s="87" t="n"/>
    </row>
    <row r="22">
      <c r="A22" s="85">
        <f>A21+7</f>
        <v/>
      </c>
      <c r="B22" s="38" t="n">
        <v>3441</v>
      </c>
      <c r="C22" s="86">
        <f>IF(OR(B22="",B21=""),"",B22-B21)</f>
        <v/>
      </c>
      <c r="D22" s="59">
        <f>IF(OR(B22="",B21=""),"",IFERROR((B22-B21)/B21,""))</f>
        <v/>
      </c>
      <c r="E22" s="38" t="n">
        <v>12600</v>
      </c>
      <c r="F22" s="38" t="n">
        <v>635</v>
      </c>
      <c r="G22" s="38" t="n">
        <v>357</v>
      </c>
      <c r="H22" s="38" t="n">
        <v>97</v>
      </c>
      <c r="I22" s="38" t="n">
        <v>36</v>
      </c>
      <c r="J22" s="50">
        <f>IF($A22&gt;TODAY(),"",SUMIFS('Daily Log'!$C$4:$C$369,'Daily Log'!$A$4:$A$369,"&gt;="&amp;$A22,'Daily Log'!$A$4:$A$369,"&lt;="&amp;$A22+6))</f>
        <v/>
      </c>
      <c r="K22" s="50">
        <f>IF($A22&gt;TODAY(),"",SUMIFS('Daily Log'!$D$4:$D$369,'Daily Log'!$A$4:$A$369,"&gt;="&amp;$A22,'Daily Log'!$A$4:$A$369,"&lt;="&amp;$A22+6))</f>
        <v/>
      </c>
      <c r="L22" s="79">
        <f>IFERROR(E22/J22,"")</f>
        <v/>
      </c>
      <c r="M22" s="79">
        <f>IFERROR(H22/E22*1000,"")</f>
        <v/>
      </c>
      <c r="N22" s="87" t="n"/>
    </row>
    <row r="23">
      <c r="A23" s="85">
        <f>A22+7</f>
        <v/>
      </c>
      <c r="B23" s="38" t="n">
        <v>3531</v>
      </c>
      <c r="C23" s="86">
        <f>IF(OR(B23="",B22=""),"",B23-B22)</f>
        <v/>
      </c>
      <c r="D23" s="59">
        <f>IF(OR(B23="",B22=""),"",IFERROR((B23-B22)/B22,""))</f>
        <v/>
      </c>
      <c r="E23" s="38" t="n">
        <v>13900</v>
      </c>
      <c r="F23" s="38" t="n">
        <v>729</v>
      </c>
      <c r="G23" s="38" t="n">
        <v>464</v>
      </c>
      <c r="H23" s="38" t="n">
        <v>90</v>
      </c>
      <c r="I23" s="38" t="n">
        <v>32</v>
      </c>
      <c r="J23" s="50">
        <f>IF($A23&gt;TODAY(),"",SUMIFS('Daily Log'!$C$4:$C$369,'Daily Log'!$A$4:$A$369,"&gt;="&amp;$A23,'Daily Log'!$A$4:$A$369,"&lt;="&amp;$A23+6))</f>
        <v/>
      </c>
      <c r="K23" s="50">
        <f>IF($A23&gt;TODAY(),"",SUMIFS('Daily Log'!$D$4:$D$369,'Daily Log'!$A$4:$A$369,"&gt;="&amp;$A23,'Daily Log'!$A$4:$A$369,"&lt;="&amp;$A23+6))</f>
        <v/>
      </c>
      <c r="L23" s="79">
        <f>IFERROR(E23/J23,"")</f>
        <v/>
      </c>
      <c r="M23" s="79">
        <f>IFERROR(H23/E23*1000,"")</f>
        <v/>
      </c>
      <c r="N23" s="87" t="n"/>
    </row>
    <row r="24">
      <c r="A24" s="85">
        <f>A23+7</f>
        <v/>
      </c>
      <c r="B24" s="38" t="n">
        <v>3628</v>
      </c>
      <c r="C24" s="86">
        <f>IF(OR(B24="",B23=""),"",B24-B23)</f>
        <v/>
      </c>
      <c r="D24" s="59">
        <f>IF(OR(B24="",B23=""),"",IFERROR((B24-B23)/B23,""))</f>
        <v/>
      </c>
      <c r="E24" s="38" t="n">
        <v>15200</v>
      </c>
      <c r="F24" s="38" t="n">
        <v>825</v>
      </c>
      <c r="G24" s="38" t="n">
        <v>425</v>
      </c>
      <c r="H24" s="38" t="n">
        <v>97</v>
      </c>
      <c r="I24" s="38" t="n">
        <v>40</v>
      </c>
      <c r="J24" s="50">
        <f>IF($A24&gt;TODAY(),"",SUMIFS('Daily Log'!$C$4:$C$369,'Daily Log'!$A$4:$A$369,"&gt;="&amp;$A24,'Daily Log'!$A$4:$A$369,"&lt;="&amp;$A24+6))</f>
        <v/>
      </c>
      <c r="K24" s="50">
        <f>IF($A24&gt;TODAY(),"",SUMIFS('Daily Log'!$D$4:$D$369,'Daily Log'!$A$4:$A$369,"&gt;="&amp;$A24,'Daily Log'!$A$4:$A$369,"&lt;="&amp;$A24+6))</f>
        <v/>
      </c>
      <c r="L24" s="79">
        <f>IFERROR(E24/J24,"")</f>
        <v/>
      </c>
      <c r="M24" s="79">
        <f>IFERROR(H24/E24*1000,"")</f>
        <v/>
      </c>
      <c r="N24" s="87" t="n"/>
    </row>
    <row r="25">
      <c r="A25" s="85">
        <f>A24+7</f>
        <v/>
      </c>
      <c r="B25" s="38" t="n">
        <v>3705</v>
      </c>
      <c r="C25" s="86">
        <f>IF(OR(B25="",B24=""),"",B25-B24)</f>
        <v/>
      </c>
      <c r="D25" s="59">
        <f>IF(OR(B25="",B24=""),"",IFERROR((B25-B24)/B24,""))</f>
        <v/>
      </c>
      <c r="E25" s="38" t="n">
        <v>11000</v>
      </c>
      <c r="F25" s="38" t="n">
        <v>578</v>
      </c>
      <c r="G25" s="38" t="n">
        <v>331</v>
      </c>
      <c r="H25" s="38" t="n">
        <v>77</v>
      </c>
      <c r="I25" s="38" t="n">
        <v>23</v>
      </c>
      <c r="J25" s="50">
        <f>IF($A25&gt;TODAY(),"",SUMIFS('Daily Log'!$C$4:$C$369,'Daily Log'!$A$4:$A$369,"&gt;="&amp;$A25,'Daily Log'!$A$4:$A$369,"&lt;="&amp;$A25+6))</f>
        <v/>
      </c>
      <c r="K25" s="50">
        <f>IF($A25&gt;TODAY(),"",SUMIFS('Daily Log'!$D$4:$D$369,'Daily Log'!$A$4:$A$369,"&gt;="&amp;$A25,'Daily Log'!$A$4:$A$369,"&lt;="&amp;$A25+6))</f>
        <v/>
      </c>
      <c r="L25" s="79">
        <f>IFERROR(E25/J25,"")</f>
        <v/>
      </c>
      <c r="M25" s="79">
        <f>IFERROR(H25/E25*1000,"")</f>
        <v/>
      </c>
      <c r="N25" s="87" t="n"/>
    </row>
    <row r="26">
      <c r="A26" s="85">
        <f>A25+7</f>
        <v/>
      </c>
      <c r="B26" s="38" t="n">
        <v>3778</v>
      </c>
      <c r="C26" s="86">
        <f>IF(OR(B26="",B25=""),"",B26-B25)</f>
        <v/>
      </c>
      <c r="D26" s="59">
        <f>IF(OR(B26="",B25=""),"",IFERROR((B26-B25)/B25,""))</f>
        <v/>
      </c>
      <c r="E26" s="38" t="n">
        <v>9400</v>
      </c>
      <c r="F26" s="38" t="n">
        <v>499</v>
      </c>
      <c r="G26" s="38" t="n">
        <v>288</v>
      </c>
      <c r="H26" s="38" t="n">
        <v>73</v>
      </c>
      <c r="I26" s="38" t="n">
        <v>22</v>
      </c>
      <c r="J26" s="50">
        <f>IF($A26&gt;TODAY(),"",SUMIFS('Daily Log'!$C$4:$C$369,'Daily Log'!$A$4:$A$369,"&gt;="&amp;$A26,'Daily Log'!$A$4:$A$369,"&lt;="&amp;$A26+6))</f>
        <v/>
      </c>
      <c r="K26" s="50">
        <f>IF($A26&gt;TODAY(),"",SUMIFS('Daily Log'!$D$4:$D$369,'Daily Log'!$A$4:$A$369,"&gt;="&amp;$A26,'Daily Log'!$A$4:$A$369,"&lt;="&amp;$A26+6))</f>
        <v/>
      </c>
      <c r="L26" s="79">
        <f>IFERROR(E26/J26,"")</f>
        <v/>
      </c>
      <c r="M26" s="79">
        <f>IFERROR(H26/E26*1000,"")</f>
        <v/>
      </c>
      <c r="N26" s="87" t="inlineStr">
        <is>
          <t>Posted less this month — reach went with it</t>
        </is>
      </c>
    </row>
    <row r="27">
      <c r="A27" s="85">
        <f>A26+7</f>
        <v/>
      </c>
      <c r="B27" s="38" t="n">
        <v>3849</v>
      </c>
      <c r="C27" s="86">
        <f>IF(OR(B27="",B26=""),"",B27-B26)</f>
        <v/>
      </c>
      <c r="D27" s="59">
        <f>IF(OR(B27="",B26=""),"",IFERROR((B27-B26)/B26,""))</f>
        <v/>
      </c>
      <c r="E27" s="38" t="n">
        <v>8600</v>
      </c>
      <c r="F27" s="38" t="n">
        <v>466</v>
      </c>
      <c r="G27" s="38" t="n">
        <v>292</v>
      </c>
      <c r="H27" s="38" t="n">
        <v>71</v>
      </c>
      <c r="I27" s="38" t="n">
        <v>18</v>
      </c>
      <c r="J27" s="50">
        <f>IF($A27&gt;TODAY(),"",SUMIFS('Daily Log'!$C$4:$C$369,'Daily Log'!$A$4:$A$369,"&gt;="&amp;$A27,'Daily Log'!$A$4:$A$369,"&lt;="&amp;$A27+6))</f>
        <v/>
      </c>
      <c r="K27" s="50">
        <f>IF($A27&gt;TODAY(),"",SUMIFS('Daily Log'!$D$4:$D$369,'Daily Log'!$A$4:$A$369,"&gt;="&amp;$A27,'Daily Log'!$A$4:$A$369,"&lt;="&amp;$A27+6))</f>
        <v/>
      </c>
      <c r="L27" s="79">
        <f>IFERROR(E27/J27,"")</f>
        <v/>
      </c>
      <c r="M27" s="79">
        <f>IFERROR(H27/E27*1000,"")</f>
        <v/>
      </c>
      <c r="N27" s="87" t="n"/>
    </row>
    <row r="28">
      <c r="A28" s="85">
        <f>A27+7</f>
        <v/>
      </c>
      <c r="B28" s="38" t="n">
        <v>3924</v>
      </c>
      <c r="C28" s="86">
        <f>IF(OR(B28="",B27=""),"",B28-B27)</f>
        <v/>
      </c>
      <c r="D28" s="59">
        <f>IF(OR(B28="",B27=""),"",IFERROR((B28-B27)/B27,""))</f>
        <v/>
      </c>
      <c r="E28" s="38" t="n">
        <v>9100</v>
      </c>
      <c r="F28" s="38" t="n">
        <v>486</v>
      </c>
      <c r="G28" s="38" t="n">
        <v>304</v>
      </c>
      <c r="H28" s="38" t="n">
        <v>75</v>
      </c>
      <c r="I28" s="38" t="n">
        <v>23</v>
      </c>
      <c r="J28" s="50">
        <f>IF($A28&gt;TODAY(),"",SUMIFS('Daily Log'!$C$4:$C$369,'Daily Log'!$A$4:$A$369,"&gt;="&amp;$A28,'Daily Log'!$A$4:$A$369,"&lt;="&amp;$A28+6))</f>
        <v/>
      </c>
      <c r="K28" s="50">
        <f>IF($A28&gt;TODAY(),"",SUMIFS('Daily Log'!$D$4:$D$369,'Daily Log'!$A$4:$A$369,"&gt;="&amp;$A28,'Daily Log'!$A$4:$A$369,"&lt;="&amp;$A28+6))</f>
        <v/>
      </c>
      <c r="L28" s="79">
        <f>IFERROR(E28/J28,"")</f>
        <v/>
      </c>
      <c r="M28" s="79">
        <f>IFERROR(H28/E28*1000,"")</f>
        <v/>
      </c>
      <c r="N28" s="87" t="n"/>
    </row>
    <row r="29">
      <c r="A29" s="85">
        <f>A28+7</f>
        <v/>
      </c>
      <c r="B29" s="38" t="n">
        <v>4017</v>
      </c>
      <c r="C29" s="86">
        <f>IF(OR(B29="",B28=""),"",B29-B28)</f>
        <v/>
      </c>
      <c r="D29" s="59">
        <f>IF(OR(B29="",B28=""),"",IFERROR((B29-B28)/B28,""))</f>
        <v/>
      </c>
      <c r="E29" s="38" t="n">
        <v>11800</v>
      </c>
      <c r="F29" s="38" t="n">
        <v>621</v>
      </c>
      <c r="G29" s="38" t="n">
        <v>341</v>
      </c>
      <c r="H29" s="38" t="n">
        <v>93</v>
      </c>
      <c r="I29" s="38" t="n">
        <v>28</v>
      </c>
      <c r="J29" s="50">
        <f>IF($A29&gt;TODAY(),"",SUMIFS('Daily Log'!$C$4:$C$369,'Daily Log'!$A$4:$A$369,"&gt;="&amp;$A29,'Daily Log'!$A$4:$A$369,"&lt;="&amp;$A29+6))</f>
        <v/>
      </c>
      <c r="K29" s="50">
        <f>IF($A29&gt;TODAY(),"",SUMIFS('Daily Log'!$D$4:$D$369,'Daily Log'!$A$4:$A$369,"&gt;="&amp;$A29,'Daily Log'!$A$4:$A$369,"&lt;="&amp;$A29+6))</f>
        <v/>
      </c>
      <c r="L29" s="79">
        <f>IFERROR(E29/J29,"")</f>
        <v/>
      </c>
      <c r="M29" s="79">
        <f>IFERROR(H29/E29*1000,"")</f>
        <v/>
      </c>
      <c r="N29" s="87" t="n"/>
    </row>
    <row r="30">
      <c r="A30" s="85">
        <f>A29+7</f>
        <v/>
      </c>
      <c r="B30" s="38" t="n">
        <v>4097</v>
      </c>
      <c r="C30" s="86">
        <f>IF(OR(B30="",B29=""),"",B30-B29)</f>
        <v/>
      </c>
      <c r="D30" s="59">
        <f>IF(OR(B30="",B29=""),"",IFERROR((B30-B29)/B29,""))</f>
        <v/>
      </c>
      <c r="E30" s="38" t="n">
        <v>13200</v>
      </c>
      <c r="F30" s="38" t="n">
        <v>663</v>
      </c>
      <c r="G30" s="38" t="n">
        <v>378</v>
      </c>
      <c r="H30" s="38" t="n">
        <v>80</v>
      </c>
      <c r="I30" s="38" t="n">
        <v>31</v>
      </c>
      <c r="J30" s="50">
        <f>IF($A30&gt;TODAY(),"",SUMIFS('Daily Log'!$C$4:$C$369,'Daily Log'!$A$4:$A$369,"&gt;="&amp;$A30,'Daily Log'!$A$4:$A$369,"&lt;="&amp;$A30+6))</f>
        <v/>
      </c>
      <c r="K30" s="50">
        <f>IF($A30&gt;TODAY(),"",SUMIFS('Daily Log'!$D$4:$D$369,'Daily Log'!$A$4:$A$369,"&gt;="&amp;$A30,'Daily Log'!$A$4:$A$369,"&lt;="&amp;$A30+6))</f>
        <v/>
      </c>
      <c r="L30" s="79">
        <f>IFERROR(E30/J30,"")</f>
        <v/>
      </c>
      <c r="M30" s="79">
        <f>IFERROR(H30/E30*1000,"")</f>
        <v/>
      </c>
      <c r="N30" s="87" t="n"/>
    </row>
    <row r="31">
      <c r="A31" s="85">
        <f>A30+7</f>
        <v/>
      </c>
      <c r="B31" s="38" t="n">
        <v>4206</v>
      </c>
      <c r="C31" s="86">
        <f>IF(OR(B31="",B30=""),"",B31-B30)</f>
        <v/>
      </c>
      <c r="D31" s="59">
        <f>IF(OR(B31="",B30=""),"",IFERROR((B31-B30)/B30,""))</f>
        <v/>
      </c>
      <c r="E31" s="38" t="n">
        <v>15600</v>
      </c>
      <c r="F31" s="38" t="n">
        <v>722</v>
      </c>
      <c r="G31" s="38" t="n">
        <v>459</v>
      </c>
      <c r="H31" s="38" t="n">
        <v>109</v>
      </c>
      <c r="I31" s="38" t="n">
        <v>45</v>
      </c>
      <c r="J31" s="50">
        <f>IF($A31&gt;TODAY(),"",SUMIFS('Daily Log'!$C$4:$C$369,'Daily Log'!$A$4:$A$369,"&gt;="&amp;$A31,'Daily Log'!$A$4:$A$369,"&lt;="&amp;$A31+6))</f>
        <v/>
      </c>
      <c r="K31" s="50">
        <f>IF($A31&gt;TODAY(),"",SUMIFS('Daily Log'!$D$4:$D$369,'Daily Log'!$A$4:$A$369,"&gt;="&amp;$A31,'Daily Log'!$A$4:$A$369,"&lt;="&amp;$A31+6))</f>
        <v/>
      </c>
      <c r="L31" s="79">
        <f>IFERROR(E31/J31,"")</f>
        <v/>
      </c>
      <c r="M31" s="79">
        <f>IFERROR(H31/E31*1000,"")</f>
        <v/>
      </c>
      <c r="N31" s="87" t="inlineStr">
        <is>
          <t>Back to 5 a day, reach recovering</t>
        </is>
      </c>
    </row>
    <row r="32">
      <c r="A32" s="85">
        <f>A31+7</f>
        <v/>
      </c>
      <c r="B32" s="38" t="n">
        <v>4313</v>
      </c>
      <c r="C32" s="86">
        <f>IF(OR(B32="",B31=""),"",B32-B31)</f>
        <v/>
      </c>
      <c r="D32" s="59">
        <f>IF(OR(B32="",B31=""),"",IFERROR((B32-B31)/B31,""))</f>
        <v/>
      </c>
      <c r="E32" s="38" t="n">
        <v>17400</v>
      </c>
      <c r="F32" s="38" t="n">
        <v>919</v>
      </c>
      <c r="G32" s="38" t="n">
        <v>562</v>
      </c>
      <c r="H32" s="38" t="n">
        <v>107</v>
      </c>
      <c r="I32" s="38" t="n">
        <v>48</v>
      </c>
      <c r="J32" s="50">
        <f>IF($A32&gt;TODAY(),"",SUMIFS('Daily Log'!$C$4:$C$369,'Daily Log'!$A$4:$A$369,"&gt;="&amp;$A32,'Daily Log'!$A$4:$A$369,"&lt;="&amp;$A32+6))</f>
        <v/>
      </c>
      <c r="K32" s="50">
        <f>IF($A32&gt;TODAY(),"",SUMIFS('Daily Log'!$D$4:$D$369,'Daily Log'!$A$4:$A$369,"&gt;="&amp;$A32,'Daily Log'!$A$4:$A$369,"&lt;="&amp;$A32+6))</f>
        <v/>
      </c>
      <c r="L32" s="79">
        <f>IFERROR(E32/J32,"")</f>
        <v/>
      </c>
      <c r="M32" s="79">
        <f>IFERROR(H32/E32*1000,"")</f>
        <v/>
      </c>
      <c r="N32" s="87" t="n"/>
    </row>
    <row r="33">
      <c r="A33" s="85">
        <f>A32+7</f>
        <v/>
      </c>
      <c r="B33" s="38" t="n">
        <v>4450</v>
      </c>
      <c r="C33" s="86">
        <f>IF(OR(B33="",B32=""),"",B33-B32)</f>
        <v/>
      </c>
      <c r="D33" s="59">
        <f>IF(OR(B33="",B32=""),"",IFERROR((B33-B32)/B32,""))</f>
        <v/>
      </c>
      <c r="E33" s="38" t="n">
        <v>19100</v>
      </c>
      <c r="F33" s="38" t="n">
        <v>954</v>
      </c>
      <c r="G33" s="38" t="n">
        <v>546</v>
      </c>
      <c r="H33" s="38" t="n">
        <v>137</v>
      </c>
      <c r="I33" s="38" t="n">
        <v>44</v>
      </c>
      <c r="J33" s="50">
        <f>IF($A33&gt;TODAY(),"",SUMIFS('Daily Log'!$C$4:$C$369,'Daily Log'!$A$4:$A$369,"&gt;="&amp;$A33,'Daily Log'!$A$4:$A$369,"&lt;="&amp;$A33+6))</f>
        <v/>
      </c>
      <c r="K33" s="50">
        <f>IF($A33&gt;TODAY(),"",SUMIFS('Daily Log'!$D$4:$D$369,'Daily Log'!$A$4:$A$369,"&gt;="&amp;$A33,'Daily Log'!$A$4:$A$369,"&lt;="&amp;$A33+6))</f>
        <v/>
      </c>
      <c r="L33" s="79">
        <f>IFERROR(E33/J33,"")</f>
        <v/>
      </c>
      <c r="M33" s="79">
        <f>IFERROR(H33/E33*1000,"")</f>
        <v/>
      </c>
      <c r="N33" s="87" t="n"/>
    </row>
    <row r="34">
      <c r="A34" s="85">
        <f>A33+7</f>
        <v/>
      </c>
      <c r="B34" s="38" t="n">
        <v>4632</v>
      </c>
      <c r="C34" s="86">
        <f>IF(OR(B34="",B33=""),"",B34-B33)</f>
        <v/>
      </c>
      <c r="D34" s="59">
        <f>IF(OR(B34="",B33=""),"",IFERROR((B34-B33)/B33,""))</f>
        <v/>
      </c>
      <c r="E34" s="38" t="n">
        <v>21000</v>
      </c>
      <c r="F34" s="38" t="n">
        <v>1136</v>
      </c>
      <c r="G34" s="38" t="n">
        <v>659</v>
      </c>
      <c r="H34" s="38" t="n">
        <v>182</v>
      </c>
      <c r="I34" s="38" t="n">
        <v>50</v>
      </c>
      <c r="J34" s="50">
        <f>IF($A34&gt;TODAY(),"",SUMIFS('Daily Log'!$C$4:$C$369,'Daily Log'!$A$4:$A$369,"&gt;="&amp;$A34,'Daily Log'!$A$4:$A$369,"&lt;="&amp;$A34+6))</f>
        <v/>
      </c>
      <c r="K34" s="50">
        <f>IF($A34&gt;TODAY(),"",SUMIFS('Daily Log'!$D$4:$D$369,'Daily Log'!$A$4:$A$369,"&gt;="&amp;$A34,'Daily Log'!$A$4:$A$369,"&lt;="&amp;$A34+6))</f>
        <v/>
      </c>
      <c r="L34" s="79">
        <f>IFERROR(E34/J34,"")</f>
        <v/>
      </c>
      <c r="M34" s="79">
        <f>IFERROR(H34/E34*1000,"")</f>
        <v/>
      </c>
      <c r="N34" s="87" t="n"/>
    </row>
    <row r="35">
      <c r="A35" s="85">
        <f>A34+7</f>
        <v/>
      </c>
      <c r="B35" s="38" t="n">
        <v>4792</v>
      </c>
      <c r="C35" s="86">
        <f>IF(OR(B35="",B34=""),"",B35-B34)</f>
        <v/>
      </c>
      <c r="D35" s="59">
        <f>IF(OR(B35="",B34=""),"",IFERROR((B35-B34)/B34,""))</f>
        <v/>
      </c>
      <c r="E35" s="38" t="n">
        <v>23500</v>
      </c>
      <c r="F35" s="38" t="n">
        <v>1266</v>
      </c>
      <c r="G35" s="38" t="n">
        <v>723</v>
      </c>
      <c r="H35" s="38" t="n">
        <v>160</v>
      </c>
      <c r="I35" s="38" t="n">
        <v>68</v>
      </c>
      <c r="J35" s="50">
        <f>IF($A35&gt;TODAY(),"",SUMIFS('Daily Log'!$C$4:$C$369,'Daily Log'!$A$4:$A$369,"&gt;="&amp;$A35,'Daily Log'!$A$4:$A$369,"&lt;="&amp;$A35+6))</f>
        <v/>
      </c>
      <c r="K35" s="50">
        <f>IF($A35&gt;TODAY(),"",SUMIFS('Daily Log'!$D$4:$D$369,'Daily Log'!$A$4:$A$369,"&gt;="&amp;$A35,'Daily Log'!$A$4:$A$369,"&lt;="&amp;$A35+6))</f>
        <v/>
      </c>
      <c r="L35" s="79">
        <f>IFERROR(E35/J35,"")</f>
        <v/>
      </c>
      <c r="M35" s="79">
        <f>IFERROR(H35/E35*1000,"")</f>
        <v/>
      </c>
      <c r="N35" s="87" t="n"/>
    </row>
    <row r="36">
      <c r="A36" s="85">
        <f>A35+7</f>
        <v/>
      </c>
      <c r="B36" s="38" t="n">
        <v>5008</v>
      </c>
      <c r="C36" s="86">
        <f>IF(OR(B36="",B35=""),"",B36-B35)</f>
        <v/>
      </c>
      <c r="D36" s="59">
        <f>IF(OR(B36="",B35=""),"",IFERROR((B36-B35)/B35,""))</f>
        <v/>
      </c>
      <c r="E36" s="38" t="n">
        <v>26800</v>
      </c>
      <c r="F36" s="38" t="n">
        <v>1427</v>
      </c>
      <c r="G36" s="38" t="n">
        <v>769</v>
      </c>
      <c r="H36" s="38" t="n">
        <v>216</v>
      </c>
      <c r="I36" s="38" t="n">
        <v>56</v>
      </c>
      <c r="J36" s="50">
        <f>IF($A36&gt;TODAY(),"",SUMIFS('Daily Log'!$C$4:$C$369,'Daily Log'!$A$4:$A$369,"&gt;="&amp;$A36,'Daily Log'!$A$4:$A$369,"&lt;="&amp;$A36+6))</f>
        <v/>
      </c>
      <c r="K36" s="50">
        <f>IF($A36&gt;TODAY(),"",SUMIFS('Daily Log'!$D$4:$D$369,'Daily Log'!$A$4:$A$369,"&gt;="&amp;$A36,'Daily Log'!$A$4:$A$369,"&lt;="&amp;$A36+6))</f>
        <v/>
      </c>
      <c r="L36" s="79">
        <f>IFERROR(E36/J36,"")</f>
        <v/>
      </c>
      <c r="M36" s="79">
        <f>IFERROR(H36/E36*1000,"")</f>
        <v/>
      </c>
      <c r="N36" s="87" t="n"/>
    </row>
    <row r="37">
      <c r="A37" s="85">
        <f>A36+7</f>
        <v/>
      </c>
      <c r="B37" s="38" t="n"/>
      <c r="C37" s="86">
        <f>IF(OR(B37="",B36=""),"",B37-B36)</f>
        <v/>
      </c>
      <c r="D37" s="59">
        <f>IF(OR(B37="",B36=""),"",IFERROR((B37-B36)/B36,""))</f>
        <v/>
      </c>
      <c r="E37" s="38" t="n"/>
      <c r="F37" s="38" t="n"/>
      <c r="G37" s="38" t="n"/>
      <c r="H37" s="38" t="n"/>
      <c r="I37" s="38" t="n"/>
      <c r="J37" s="50">
        <f>IF($A37&gt;TODAY(),"",SUMIFS('Daily Log'!$C$4:$C$369,'Daily Log'!$A$4:$A$369,"&gt;="&amp;$A37,'Daily Log'!$A$4:$A$369,"&lt;="&amp;$A37+6))</f>
        <v/>
      </c>
      <c r="K37" s="50">
        <f>IF($A37&gt;TODAY(),"",SUMIFS('Daily Log'!$D$4:$D$369,'Daily Log'!$A$4:$A$369,"&gt;="&amp;$A37,'Daily Log'!$A$4:$A$369,"&lt;="&amp;$A37+6))</f>
        <v/>
      </c>
      <c r="L37" s="79">
        <f>IFERROR(E37/J37,"")</f>
        <v/>
      </c>
      <c r="M37" s="79">
        <f>IFERROR(H37/E37*1000,"")</f>
        <v/>
      </c>
      <c r="N37" s="87" t="n"/>
    </row>
    <row r="38">
      <c r="A38" s="85">
        <f>A37+7</f>
        <v/>
      </c>
      <c r="B38" s="38" t="n"/>
      <c r="C38" s="86">
        <f>IF(OR(B38="",B37=""),"",B38-B37)</f>
        <v/>
      </c>
      <c r="D38" s="59">
        <f>IF(OR(B38="",B37=""),"",IFERROR((B38-B37)/B37,""))</f>
        <v/>
      </c>
      <c r="E38" s="38" t="n"/>
      <c r="F38" s="38" t="n"/>
      <c r="G38" s="38" t="n"/>
      <c r="H38" s="38" t="n"/>
      <c r="I38" s="38" t="n"/>
      <c r="J38" s="50">
        <f>IF($A38&gt;TODAY(),"",SUMIFS('Daily Log'!$C$4:$C$369,'Daily Log'!$A$4:$A$369,"&gt;="&amp;$A38,'Daily Log'!$A$4:$A$369,"&lt;="&amp;$A38+6))</f>
        <v/>
      </c>
      <c r="K38" s="50">
        <f>IF($A38&gt;TODAY(),"",SUMIFS('Daily Log'!$D$4:$D$369,'Daily Log'!$A$4:$A$369,"&gt;="&amp;$A38,'Daily Log'!$A$4:$A$369,"&lt;="&amp;$A38+6))</f>
        <v/>
      </c>
      <c r="L38" s="79">
        <f>IFERROR(E38/J38,"")</f>
        <v/>
      </c>
      <c r="M38" s="79">
        <f>IFERROR(H38/E38*1000,"")</f>
        <v/>
      </c>
      <c r="N38" s="87" t="n"/>
    </row>
    <row r="39">
      <c r="A39" s="85">
        <f>A38+7</f>
        <v/>
      </c>
      <c r="B39" s="38" t="n"/>
      <c r="C39" s="86">
        <f>IF(OR(B39="",B38=""),"",B39-B38)</f>
        <v/>
      </c>
      <c r="D39" s="59">
        <f>IF(OR(B39="",B38=""),"",IFERROR((B39-B38)/B38,""))</f>
        <v/>
      </c>
      <c r="E39" s="38" t="n"/>
      <c r="F39" s="38" t="n"/>
      <c r="G39" s="38" t="n"/>
      <c r="H39" s="38" t="n"/>
      <c r="I39" s="38" t="n"/>
      <c r="J39" s="50">
        <f>IF($A39&gt;TODAY(),"",SUMIFS('Daily Log'!$C$4:$C$369,'Daily Log'!$A$4:$A$369,"&gt;="&amp;$A39,'Daily Log'!$A$4:$A$369,"&lt;="&amp;$A39+6))</f>
        <v/>
      </c>
      <c r="K39" s="50">
        <f>IF($A39&gt;TODAY(),"",SUMIFS('Daily Log'!$D$4:$D$369,'Daily Log'!$A$4:$A$369,"&gt;="&amp;$A39,'Daily Log'!$A$4:$A$369,"&lt;="&amp;$A39+6))</f>
        <v/>
      </c>
      <c r="L39" s="79">
        <f>IFERROR(E39/J39,"")</f>
        <v/>
      </c>
      <c r="M39" s="79">
        <f>IFERROR(H39/E39*1000,"")</f>
        <v/>
      </c>
      <c r="N39" s="87" t="n"/>
    </row>
    <row r="40">
      <c r="A40" s="85">
        <f>A39+7</f>
        <v/>
      </c>
      <c r="B40" s="38" t="n"/>
      <c r="C40" s="86">
        <f>IF(OR(B40="",B39=""),"",B40-B39)</f>
        <v/>
      </c>
      <c r="D40" s="59">
        <f>IF(OR(B40="",B39=""),"",IFERROR((B40-B39)/B39,""))</f>
        <v/>
      </c>
      <c r="E40" s="38" t="n"/>
      <c r="F40" s="38" t="n"/>
      <c r="G40" s="38" t="n"/>
      <c r="H40" s="38" t="n"/>
      <c r="I40" s="38" t="n"/>
      <c r="J40" s="50">
        <f>IF($A40&gt;TODAY(),"",SUMIFS('Daily Log'!$C$4:$C$369,'Daily Log'!$A$4:$A$369,"&gt;="&amp;$A40,'Daily Log'!$A$4:$A$369,"&lt;="&amp;$A40+6))</f>
        <v/>
      </c>
      <c r="K40" s="50">
        <f>IF($A40&gt;TODAY(),"",SUMIFS('Daily Log'!$D$4:$D$369,'Daily Log'!$A$4:$A$369,"&gt;="&amp;$A40,'Daily Log'!$A$4:$A$369,"&lt;="&amp;$A40+6))</f>
        <v/>
      </c>
      <c r="L40" s="79">
        <f>IFERROR(E40/J40,"")</f>
        <v/>
      </c>
      <c r="M40" s="79">
        <f>IFERROR(H40/E40*1000,"")</f>
        <v/>
      </c>
      <c r="N40" s="87" t="n"/>
    </row>
    <row r="41">
      <c r="A41" s="85">
        <f>A40+7</f>
        <v/>
      </c>
      <c r="B41" s="38" t="n"/>
      <c r="C41" s="86">
        <f>IF(OR(B41="",B40=""),"",B41-B40)</f>
        <v/>
      </c>
      <c r="D41" s="59">
        <f>IF(OR(B41="",B40=""),"",IFERROR((B41-B40)/B40,""))</f>
        <v/>
      </c>
      <c r="E41" s="38" t="n"/>
      <c r="F41" s="38" t="n"/>
      <c r="G41" s="38" t="n"/>
      <c r="H41" s="38" t="n"/>
      <c r="I41" s="38" t="n"/>
      <c r="J41" s="50">
        <f>IF($A41&gt;TODAY(),"",SUMIFS('Daily Log'!$C$4:$C$369,'Daily Log'!$A$4:$A$369,"&gt;="&amp;$A41,'Daily Log'!$A$4:$A$369,"&lt;="&amp;$A41+6))</f>
        <v/>
      </c>
      <c r="K41" s="50">
        <f>IF($A41&gt;TODAY(),"",SUMIFS('Daily Log'!$D$4:$D$369,'Daily Log'!$A$4:$A$369,"&gt;="&amp;$A41,'Daily Log'!$A$4:$A$369,"&lt;="&amp;$A41+6))</f>
        <v/>
      </c>
      <c r="L41" s="79">
        <f>IFERROR(E41/J41,"")</f>
        <v/>
      </c>
      <c r="M41" s="79">
        <f>IFERROR(H41/E41*1000,"")</f>
        <v/>
      </c>
      <c r="N41" s="87" t="n"/>
    </row>
    <row r="42">
      <c r="A42" s="85">
        <f>A41+7</f>
        <v/>
      </c>
      <c r="B42" s="38" t="n"/>
      <c r="C42" s="86">
        <f>IF(OR(B42="",B41=""),"",B42-B41)</f>
        <v/>
      </c>
      <c r="D42" s="59">
        <f>IF(OR(B42="",B41=""),"",IFERROR((B42-B41)/B41,""))</f>
        <v/>
      </c>
      <c r="E42" s="38" t="n"/>
      <c r="F42" s="38" t="n"/>
      <c r="G42" s="38" t="n"/>
      <c r="H42" s="38" t="n"/>
      <c r="I42" s="38" t="n"/>
      <c r="J42" s="50">
        <f>IF($A42&gt;TODAY(),"",SUMIFS('Daily Log'!$C$4:$C$369,'Daily Log'!$A$4:$A$369,"&gt;="&amp;$A42,'Daily Log'!$A$4:$A$369,"&lt;="&amp;$A42+6))</f>
        <v/>
      </c>
      <c r="K42" s="50">
        <f>IF($A42&gt;TODAY(),"",SUMIFS('Daily Log'!$D$4:$D$369,'Daily Log'!$A$4:$A$369,"&gt;="&amp;$A42,'Daily Log'!$A$4:$A$369,"&lt;="&amp;$A42+6))</f>
        <v/>
      </c>
      <c r="L42" s="79">
        <f>IFERROR(E42/J42,"")</f>
        <v/>
      </c>
      <c r="M42" s="79">
        <f>IFERROR(H42/E42*1000,"")</f>
        <v/>
      </c>
      <c r="N42" s="87" t="n"/>
    </row>
    <row r="43">
      <c r="A43" s="85">
        <f>A42+7</f>
        <v/>
      </c>
      <c r="B43" s="38" t="n"/>
      <c r="C43" s="86">
        <f>IF(OR(B43="",B42=""),"",B43-B42)</f>
        <v/>
      </c>
      <c r="D43" s="59">
        <f>IF(OR(B43="",B42=""),"",IFERROR((B43-B42)/B42,""))</f>
        <v/>
      </c>
      <c r="E43" s="38" t="n"/>
      <c r="F43" s="38" t="n"/>
      <c r="G43" s="38" t="n"/>
      <c r="H43" s="38" t="n"/>
      <c r="I43" s="38" t="n"/>
      <c r="J43" s="50">
        <f>IF($A43&gt;TODAY(),"",SUMIFS('Daily Log'!$C$4:$C$369,'Daily Log'!$A$4:$A$369,"&gt;="&amp;$A43,'Daily Log'!$A$4:$A$369,"&lt;="&amp;$A43+6))</f>
        <v/>
      </c>
      <c r="K43" s="50">
        <f>IF($A43&gt;TODAY(),"",SUMIFS('Daily Log'!$D$4:$D$369,'Daily Log'!$A$4:$A$369,"&gt;="&amp;$A43,'Daily Log'!$A$4:$A$369,"&lt;="&amp;$A43+6))</f>
        <v/>
      </c>
      <c r="L43" s="79">
        <f>IFERROR(E43/J43,"")</f>
        <v/>
      </c>
      <c r="M43" s="79">
        <f>IFERROR(H43/E43*1000,"")</f>
        <v/>
      </c>
      <c r="N43" s="87" t="n"/>
    </row>
    <row r="44">
      <c r="A44" s="85">
        <f>A43+7</f>
        <v/>
      </c>
      <c r="B44" s="38" t="n"/>
      <c r="C44" s="86">
        <f>IF(OR(B44="",B43=""),"",B44-B43)</f>
        <v/>
      </c>
      <c r="D44" s="59">
        <f>IF(OR(B44="",B43=""),"",IFERROR((B44-B43)/B43,""))</f>
        <v/>
      </c>
      <c r="E44" s="38" t="n"/>
      <c r="F44" s="38" t="n"/>
      <c r="G44" s="38" t="n"/>
      <c r="H44" s="38" t="n"/>
      <c r="I44" s="38" t="n"/>
      <c r="J44" s="50">
        <f>IF($A44&gt;TODAY(),"",SUMIFS('Daily Log'!$C$4:$C$369,'Daily Log'!$A$4:$A$369,"&gt;="&amp;$A44,'Daily Log'!$A$4:$A$369,"&lt;="&amp;$A44+6))</f>
        <v/>
      </c>
      <c r="K44" s="50">
        <f>IF($A44&gt;TODAY(),"",SUMIFS('Daily Log'!$D$4:$D$369,'Daily Log'!$A$4:$A$369,"&gt;="&amp;$A44,'Daily Log'!$A$4:$A$369,"&lt;="&amp;$A44+6))</f>
        <v/>
      </c>
      <c r="L44" s="79">
        <f>IFERROR(E44/J44,"")</f>
        <v/>
      </c>
      <c r="M44" s="79">
        <f>IFERROR(H44/E44*1000,"")</f>
        <v/>
      </c>
      <c r="N44" s="87" t="n"/>
    </row>
    <row r="45">
      <c r="A45" s="85">
        <f>A44+7</f>
        <v/>
      </c>
      <c r="B45" s="38" t="n"/>
      <c r="C45" s="86">
        <f>IF(OR(B45="",B44=""),"",B45-B44)</f>
        <v/>
      </c>
      <c r="D45" s="59">
        <f>IF(OR(B45="",B44=""),"",IFERROR((B45-B44)/B44,""))</f>
        <v/>
      </c>
      <c r="E45" s="38" t="n"/>
      <c r="F45" s="38" t="n"/>
      <c r="G45" s="38" t="n"/>
      <c r="H45" s="38" t="n"/>
      <c r="I45" s="38" t="n"/>
      <c r="J45" s="50">
        <f>IF($A45&gt;TODAY(),"",SUMIFS('Daily Log'!$C$4:$C$369,'Daily Log'!$A$4:$A$369,"&gt;="&amp;$A45,'Daily Log'!$A$4:$A$369,"&lt;="&amp;$A45+6))</f>
        <v/>
      </c>
      <c r="K45" s="50">
        <f>IF($A45&gt;TODAY(),"",SUMIFS('Daily Log'!$D$4:$D$369,'Daily Log'!$A$4:$A$369,"&gt;="&amp;$A45,'Daily Log'!$A$4:$A$369,"&lt;="&amp;$A45+6))</f>
        <v/>
      </c>
      <c r="L45" s="79">
        <f>IFERROR(E45/J45,"")</f>
        <v/>
      </c>
      <c r="M45" s="79">
        <f>IFERROR(H45/E45*1000,"")</f>
        <v/>
      </c>
      <c r="N45" s="87" t="n"/>
    </row>
    <row r="46">
      <c r="A46" s="85">
        <f>A45+7</f>
        <v/>
      </c>
      <c r="B46" s="38" t="n"/>
      <c r="C46" s="86">
        <f>IF(OR(B46="",B45=""),"",B46-B45)</f>
        <v/>
      </c>
      <c r="D46" s="59">
        <f>IF(OR(B46="",B45=""),"",IFERROR((B46-B45)/B45,""))</f>
        <v/>
      </c>
      <c r="E46" s="38" t="n"/>
      <c r="F46" s="38" t="n"/>
      <c r="G46" s="38" t="n"/>
      <c r="H46" s="38" t="n"/>
      <c r="I46" s="38" t="n"/>
      <c r="J46" s="50">
        <f>IF($A46&gt;TODAY(),"",SUMIFS('Daily Log'!$C$4:$C$369,'Daily Log'!$A$4:$A$369,"&gt;="&amp;$A46,'Daily Log'!$A$4:$A$369,"&lt;="&amp;$A46+6))</f>
        <v/>
      </c>
      <c r="K46" s="50">
        <f>IF($A46&gt;TODAY(),"",SUMIFS('Daily Log'!$D$4:$D$369,'Daily Log'!$A$4:$A$369,"&gt;="&amp;$A46,'Daily Log'!$A$4:$A$369,"&lt;="&amp;$A46+6))</f>
        <v/>
      </c>
      <c r="L46" s="79">
        <f>IFERROR(E46/J46,"")</f>
        <v/>
      </c>
      <c r="M46" s="79">
        <f>IFERROR(H46/E46*1000,"")</f>
        <v/>
      </c>
      <c r="N46" s="87" t="n"/>
    </row>
    <row r="47">
      <c r="A47" s="85">
        <f>A46+7</f>
        <v/>
      </c>
      <c r="B47" s="38" t="n"/>
      <c r="C47" s="86">
        <f>IF(OR(B47="",B46=""),"",B47-B46)</f>
        <v/>
      </c>
      <c r="D47" s="59">
        <f>IF(OR(B47="",B46=""),"",IFERROR((B47-B46)/B46,""))</f>
        <v/>
      </c>
      <c r="E47" s="38" t="n"/>
      <c r="F47" s="38" t="n"/>
      <c r="G47" s="38" t="n"/>
      <c r="H47" s="38" t="n"/>
      <c r="I47" s="38" t="n"/>
      <c r="J47" s="50">
        <f>IF($A47&gt;TODAY(),"",SUMIFS('Daily Log'!$C$4:$C$369,'Daily Log'!$A$4:$A$369,"&gt;="&amp;$A47,'Daily Log'!$A$4:$A$369,"&lt;="&amp;$A47+6))</f>
        <v/>
      </c>
      <c r="K47" s="50">
        <f>IF($A47&gt;TODAY(),"",SUMIFS('Daily Log'!$D$4:$D$369,'Daily Log'!$A$4:$A$369,"&gt;="&amp;$A47,'Daily Log'!$A$4:$A$369,"&lt;="&amp;$A47+6))</f>
        <v/>
      </c>
      <c r="L47" s="79">
        <f>IFERROR(E47/J47,"")</f>
        <v/>
      </c>
      <c r="M47" s="79">
        <f>IFERROR(H47/E47*1000,"")</f>
        <v/>
      </c>
      <c r="N47" s="87" t="n"/>
    </row>
    <row r="48">
      <c r="A48" s="85">
        <f>A47+7</f>
        <v/>
      </c>
      <c r="B48" s="38" t="n"/>
      <c r="C48" s="86">
        <f>IF(OR(B48="",B47=""),"",B48-B47)</f>
        <v/>
      </c>
      <c r="D48" s="59">
        <f>IF(OR(B48="",B47=""),"",IFERROR((B48-B47)/B47,""))</f>
        <v/>
      </c>
      <c r="E48" s="38" t="n"/>
      <c r="F48" s="38" t="n"/>
      <c r="G48" s="38" t="n"/>
      <c r="H48" s="38" t="n"/>
      <c r="I48" s="38" t="n"/>
      <c r="J48" s="50">
        <f>IF($A48&gt;TODAY(),"",SUMIFS('Daily Log'!$C$4:$C$369,'Daily Log'!$A$4:$A$369,"&gt;="&amp;$A48,'Daily Log'!$A$4:$A$369,"&lt;="&amp;$A48+6))</f>
        <v/>
      </c>
      <c r="K48" s="50">
        <f>IF($A48&gt;TODAY(),"",SUMIFS('Daily Log'!$D$4:$D$369,'Daily Log'!$A$4:$A$369,"&gt;="&amp;$A48,'Daily Log'!$A$4:$A$369,"&lt;="&amp;$A48+6))</f>
        <v/>
      </c>
      <c r="L48" s="79">
        <f>IFERROR(E48/J48,"")</f>
        <v/>
      </c>
      <c r="M48" s="79">
        <f>IFERROR(H48/E48*1000,"")</f>
        <v/>
      </c>
      <c r="N48" s="87" t="n"/>
    </row>
    <row r="49">
      <c r="A49" s="85">
        <f>A48+7</f>
        <v/>
      </c>
      <c r="B49" s="38" t="n"/>
      <c r="C49" s="86">
        <f>IF(OR(B49="",B48=""),"",B49-B48)</f>
        <v/>
      </c>
      <c r="D49" s="59">
        <f>IF(OR(B49="",B48=""),"",IFERROR((B49-B48)/B48,""))</f>
        <v/>
      </c>
      <c r="E49" s="38" t="n"/>
      <c r="F49" s="38" t="n"/>
      <c r="G49" s="38" t="n"/>
      <c r="H49" s="38" t="n"/>
      <c r="I49" s="38" t="n"/>
      <c r="J49" s="50">
        <f>IF($A49&gt;TODAY(),"",SUMIFS('Daily Log'!$C$4:$C$369,'Daily Log'!$A$4:$A$369,"&gt;="&amp;$A49,'Daily Log'!$A$4:$A$369,"&lt;="&amp;$A49+6))</f>
        <v/>
      </c>
      <c r="K49" s="50">
        <f>IF($A49&gt;TODAY(),"",SUMIFS('Daily Log'!$D$4:$D$369,'Daily Log'!$A$4:$A$369,"&gt;="&amp;$A49,'Daily Log'!$A$4:$A$369,"&lt;="&amp;$A49+6))</f>
        <v/>
      </c>
      <c r="L49" s="79">
        <f>IFERROR(E49/J49,"")</f>
        <v/>
      </c>
      <c r="M49" s="79">
        <f>IFERROR(H49/E49*1000,"")</f>
        <v/>
      </c>
      <c r="N49" s="87" t="n"/>
    </row>
    <row r="50">
      <c r="A50" s="85">
        <f>A49+7</f>
        <v/>
      </c>
      <c r="B50" s="38" t="n"/>
      <c r="C50" s="86">
        <f>IF(OR(B50="",B49=""),"",B50-B49)</f>
        <v/>
      </c>
      <c r="D50" s="59">
        <f>IF(OR(B50="",B49=""),"",IFERROR((B50-B49)/B49,""))</f>
        <v/>
      </c>
      <c r="E50" s="38" t="n"/>
      <c r="F50" s="38" t="n"/>
      <c r="G50" s="38" t="n"/>
      <c r="H50" s="38" t="n"/>
      <c r="I50" s="38" t="n"/>
      <c r="J50" s="50">
        <f>IF($A50&gt;TODAY(),"",SUMIFS('Daily Log'!$C$4:$C$369,'Daily Log'!$A$4:$A$369,"&gt;="&amp;$A50,'Daily Log'!$A$4:$A$369,"&lt;="&amp;$A50+6))</f>
        <v/>
      </c>
      <c r="K50" s="50">
        <f>IF($A50&gt;TODAY(),"",SUMIFS('Daily Log'!$D$4:$D$369,'Daily Log'!$A$4:$A$369,"&gt;="&amp;$A50,'Daily Log'!$A$4:$A$369,"&lt;="&amp;$A50+6))</f>
        <v/>
      </c>
      <c r="L50" s="79">
        <f>IFERROR(E50/J50,"")</f>
        <v/>
      </c>
      <c r="M50" s="79">
        <f>IFERROR(H50/E50*1000,"")</f>
        <v/>
      </c>
      <c r="N50" s="87" t="n"/>
    </row>
    <row r="51">
      <c r="A51" s="85">
        <f>A50+7</f>
        <v/>
      </c>
      <c r="B51" s="38" t="n"/>
      <c r="C51" s="86">
        <f>IF(OR(B51="",B50=""),"",B51-B50)</f>
        <v/>
      </c>
      <c r="D51" s="59">
        <f>IF(OR(B51="",B50=""),"",IFERROR((B51-B50)/B50,""))</f>
        <v/>
      </c>
      <c r="E51" s="38" t="n"/>
      <c r="F51" s="38" t="n"/>
      <c r="G51" s="38" t="n"/>
      <c r="H51" s="38" t="n"/>
      <c r="I51" s="38" t="n"/>
      <c r="J51" s="50">
        <f>IF($A51&gt;TODAY(),"",SUMIFS('Daily Log'!$C$4:$C$369,'Daily Log'!$A$4:$A$369,"&gt;="&amp;$A51,'Daily Log'!$A$4:$A$369,"&lt;="&amp;$A51+6))</f>
        <v/>
      </c>
      <c r="K51" s="50">
        <f>IF($A51&gt;TODAY(),"",SUMIFS('Daily Log'!$D$4:$D$369,'Daily Log'!$A$4:$A$369,"&gt;="&amp;$A51,'Daily Log'!$A$4:$A$369,"&lt;="&amp;$A51+6))</f>
        <v/>
      </c>
      <c r="L51" s="79">
        <f>IFERROR(E51/J51,"")</f>
        <v/>
      </c>
      <c r="M51" s="79">
        <f>IFERROR(H51/E51*1000,"")</f>
        <v/>
      </c>
      <c r="N51" s="87" t="n"/>
    </row>
    <row r="52">
      <c r="A52" s="85">
        <f>A51+7</f>
        <v/>
      </c>
      <c r="B52" s="38" t="n"/>
      <c r="C52" s="86">
        <f>IF(OR(B52="",B51=""),"",B52-B51)</f>
        <v/>
      </c>
      <c r="D52" s="59">
        <f>IF(OR(B52="",B51=""),"",IFERROR((B52-B51)/B51,""))</f>
        <v/>
      </c>
      <c r="E52" s="38" t="n"/>
      <c r="F52" s="38" t="n"/>
      <c r="G52" s="38" t="n"/>
      <c r="H52" s="38" t="n"/>
      <c r="I52" s="38" t="n"/>
      <c r="J52" s="50">
        <f>IF($A52&gt;TODAY(),"",SUMIFS('Daily Log'!$C$4:$C$369,'Daily Log'!$A$4:$A$369,"&gt;="&amp;$A52,'Daily Log'!$A$4:$A$369,"&lt;="&amp;$A52+6))</f>
        <v/>
      </c>
      <c r="K52" s="50">
        <f>IF($A52&gt;TODAY(),"",SUMIFS('Daily Log'!$D$4:$D$369,'Daily Log'!$A$4:$A$369,"&gt;="&amp;$A52,'Daily Log'!$A$4:$A$369,"&lt;="&amp;$A52+6))</f>
        <v/>
      </c>
      <c r="L52" s="79">
        <f>IFERROR(E52/J52,"")</f>
        <v/>
      </c>
      <c r="M52" s="79">
        <f>IFERROR(H52/E52*1000,"")</f>
        <v/>
      </c>
      <c r="N52" s="87" t="n"/>
    </row>
    <row r="53">
      <c r="A53" s="85">
        <f>A52+7</f>
        <v/>
      </c>
      <c r="B53" s="38" t="n"/>
      <c r="C53" s="86">
        <f>IF(OR(B53="",B52=""),"",B53-B52)</f>
        <v/>
      </c>
      <c r="D53" s="59">
        <f>IF(OR(B53="",B52=""),"",IFERROR((B53-B52)/B52,""))</f>
        <v/>
      </c>
      <c r="E53" s="38" t="n"/>
      <c r="F53" s="38" t="n"/>
      <c r="G53" s="38" t="n"/>
      <c r="H53" s="38" t="n"/>
      <c r="I53" s="38" t="n"/>
      <c r="J53" s="50">
        <f>IF($A53&gt;TODAY(),"",SUMIFS('Daily Log'!$C$4:$C$369,'Daily Log'!$A$4:$A$369,"&gt;="&amp;$A53,'Daily Log'!$A$4:$A$369,"&lt;="&amp;$A53+6))</f>
        <v/>
      </c>
      <c r="K53" s="50">
        <f>IF($A53&gt;TODAY(),"",SUMIFS('Daily Log'!$D$4:$D$369,'Daily Log'!$A$4:$A$369,"&gt;="&amp;$A53,'Daily Log'!$A$4:$A$369,"&lt;="&amp;$A53+6))</f>
        <v/>
      </c>
      <c r="L53" s="79">
        <f>IFERROR(E53/J53,"")</f>
        <v/>
      </c>
      <c r="M53" s="79">
        <f>IFERROR(H53/E53*1000,"")</f>
        <v/>
      </c>
      <c r="N53" s="87" t="n"/>
    </row>
    <row r="54">
      <c r="A54" s="85">
        <f>A53+7</f>
        <v/>
      </c>
      <c r="B54" s="38" t="n"/>
      <c r="C54" s="86">
        <f>IF(OR(B54="",B53=""),"",B54-B53)</f>
        <v/>
      </c>
      <c r="D54" s="59">
        <f>IF(OR(B54="",B53=""),"",IFERROR((B54-B53)/B53,""))</f>
        <v/>
      </c>
      <c r="E54" s="38" t="n"/>
      <c r="F54" s="38" t="n"/>
      <c r="G54" s="38" t="n"/>
      <c r="H54" s="38" t="n"/>
      <c r="I54" s="38" t="n"/>
      <c r="J54" s="50">
        <f>IF($A54&gt;TODAY(),"",SUMIFS('Daily Log'!$C$4:$C$369,'Daily Log'!$A$4:$A$369,"&gt;="&amp;$A54,'Daily Log'!$A$4:$A$369,"&lt;="&amp;$A54+6))</f>
        <v/>
      </c>
      <c r="K54" s="50">
        <f>IF($A54&gt;TODAY(),"",SUMIFS('Daily Log'!$D$4:$D$369,'Daily Log'!$A$4:$A$369,"&gt;="&amp;$A54,'Daily Log'!$A$4:$A$369,"&lt;="&amp;$A54+6))</f>
        <v/>
      </c>
      <c r="L54" s="79">
        <f>IFERROR(E54/J54,"")</f>
        <v/>
      </c>
      <c r="M54" s="79">
        <f>IFERROR(H54/E54*1000,"")</f>
        <v/>
      </c>
      <c r="N54" s="87" t="n"/>
    </row>
    <row r="55">
      <c r="A55" s="85">
        <f>A54+7</f>
        <v/>
      </c>
      <c r="B55" s="38" t="n"/>
      <c r="C55" s="86">
        <f>IF(OR(B55="",B54=""),"",B55-B54)</f>
        <v/>
      </c>
      <c r="D55" s="59">
        <f>IF(OR(B55="",B54=""),"",IFERROR((B55-B54)/B54,""))</f>
        <v/>
      </c>
      <c r="E55" s="38" t="n"/>
      <c r="F55" s="38" t="n"/>
      <c r="G55" s="38" t="n"/>
      <c r="H55" s="38" t="n"/>
      <c r="I55" s="38" t="n"/>
      <c r="J55" s="50">
        <f>IF($A55&gt;TODAY(),"",SUMIFS('Daily Log'!$C$4:$C$369,'Daily Log'!$A$4:$A$369,"&gt;="&amp;$A55,'Daily Log'!$A$4:$A$369,"&lt;="&amp;$A55+6))</f>
        <v/>
      </c>
      <c r="K55" s="50">
        <f>IF($A55&gt;TODAY(),"",SUMIFS('Daily Log'!$D$4:$D$369,'Daily Log'!$A$4:$A$369,"&gt;="&amp;$A55,'Daily Log'!$A$4:$A$369,"&lt;="&amp;$A55+6))</f>
        <v/>
      </c>
      <c r="L55" s="79">
        <f>IFERROR(E55/J55,"")</f>
        <v/>
      </c>
      <c r="M55" s="79">
        <f>IFERROR(H55/E55*1000,"")</f>
        <v/>
      </c>
      <c r="N55" s="87" t="n"/>
    </row>
    <row r="56">
      <c r="A56" s="85">
        <f>A55+7</f>
        <v/>
      </c>
      <c r="B56" s="38" t="n"/>
      <c r="C56" s="86">
        <f>IF(OR(B56="",B55=""),"",B56-B55)</f>
        <v/>
      </c>
      <c r="D56" s="59">
        <f>IF(OR(B56="",B55=""),"",IFERROR((B56-B55)/B55,""))</f>
        <v/>
      </c>
      <c r="E56" s="38" t="n"/>
      <c r="F56" s="38" t="n"/>
      <c r="G56" s="38" t="n"/>
      <c r="H56" s="38" t="n"/>
      <c r="I56" s="38" t="n"/>
      <c r="J56" s="50">
        <f>IF($A56&gt;TODAY(),"",SUMIFS('Daily Log'!$C$4:$C$369,'Daily Log'!$A$4:$A$369,"&gt;="&amp;$A56,'Daily Log'!$A$4:$A$369,"&lt;="&amp;$A56+6))</f>
        <v/>
      </c>
      <c r="K56" s="50">
        <f>IF($A56&gt;TODAY(),"",SUMIFS('Daily Log'!$D$4:$D$369,'Daily Log'!$A$4:$A$369,"&gt;="&amp;$A56,'Daily Log'!$A$4:$A$369,"&lt;="&amp;$A56+6))</f>
        <v/>
      </c>
      <c r="L56" s="79">
        <f>IFERROR(E56/J56,"")</f>
        <v/>
      </c>
      <c r="M56" s="79">
        <f>IFERROR(H56/E56*1000,"")</f>
        <v/>
      </c>
      <c r="N56" s="87" t="n"/>
    </row>
    <row r="57">
      <c r="A57" s="85">
        <f>A56+7</f>
        <v/>
      </c>
      <c r="B57" s="38" t="n"/>
      <c r="C57" s="86">
        <f>IF(OR(B57="",B56=""),"",B57-B56)</f>
        <v/>
      </c>
      <c r="D57" s="59">
        <f>IF(OR(B57="",B56=""),"",IFERROR((B57-B56)/B56,""))</f>
        <v/>
      </c>
      <c r="E57" s="38" t="n"/>
      <c r="F57" s="38" t="n"/>
      <c r="G57" s="38" t="n"/>
      <c r="H57" s="38" t="n"/>
      <c r="I57" s="38" t="n"/>
      <c r="J57" s="50">
        <f>IF($A57&gt;TODAY(),"",SUMIFS('Daily Log'!$C$4:$C$369,'Daily Log'!$A$4:$A$369,"&gt;="&amp;$A57,'Daily Log'!$A$4:$A$369,"&lt;="&amp;$A57+6))</f>
        <v/>
      </c>
      <c r="K57" s="50">
        <f>IF($A57&gt;TODAY(),"",SUMIFS('Daily Log'!$D$4:$D$369,'Daily Log'!$A$4:$A$369,"&gt;="&amp;$A57,'Daily Log'!$A$4:$A$369,"&lt;="&amp;$A57+6))</f>
        <v/>
      </c>
      <c r="L57" s="79">
        <f>IFERROR(E57/J57,"")</f>
        <v/>
      </c>
      <c r="M57" s="79">
        <f>IFERROR(H57/E57*1000,"")</f>
        <v/>
      </c>
      <c r="N57" s="87" t="n"/>
    </row>
    <row r="58">
      <c r="A58" s="85">
        <f>A57+7</f>
        <v/>
      </c>
      <c r="B58" s="38" t="n"/>
      <c r="C58" s="86">
        <f>IF(OR(B58="",B57=""),"",B58-B57)</f>
        <v/>
      </c>
      <c r="D58" s="59">
        <f>IF(OR(B58="",B57=""),"",IFERROR((B58-B57)/B57,""))</f>
        <v/>
      </c>
      <c r="E58" s="38" t="n"/>
      <c r="F58" s="38" t="n"/>
      <c r="G58" s="38" t="n"/>
      <c r="H58" s="38" t="n"/>
      <c r="I58" s="38" t="n"/>
      <c r="J58" s="50">
        <f>IF($A58&gt;TODAY(),"",SUMIFS('Daily Log'!$C$4:$C$369,'Daily Log'!$A$4:$A$369,"&gt;="&amp;$A58,'Daily Log'!$A$4:$A$369,"&lt;="&amp;$A58+6))</f>
        <v/>
      </c>
      <c r="K58" s="50">
        <f>IF($A58&gt;TODAY(),"",SUMIFS('Daily Log'!$D$4:$D$369,'Daily Log'!$A$4:$A$369,"&gt;="&amp;$A58,'Daily Log'!$A$4:$A$369,"&lt;="&amp;$A58+6))</f>
        <v/>
      </c>
      <c r="L58" s="79">
        <f>IFERROR(E58/J58,"")</f>
        <v/>
      </c>
      <c r="M58" s="79">
        <f>IFERROR(H58/E58*1000,"")</f>
        <v/>
      </c>
      <c r="N58" s="87" t="n"/>
    </row>
    <row r="59">
      <c r="A59" s="85">
        <f>A58+7</f>
        <v/>
      </c>
      <c r="B59" s="38" t="n"/>
      <c r="C59" s="86">
        <f>IF(OR(B59="",B58=""),"",B59-B58)</f>
        <v/>
      </c>
      <c r="D59" s="59">
        <f>IF(OR(B59="",B58=""),"",IFERROR((B59-B58)/B58,""))</f>
        <v/>
      </c>
      <c r="E59" s="38" t="n"/>
      <c r="F59" s="38" t="n"/>
      <c r="G59" s="38" t="n"/>
      <c r="H59" s="38" t="n"/>
      <c r="I59" s="38" t="n"/>
      <c r="J59" s="50">
        <f>IF($A59&gt;TODAY(),"",SUMIFS('Daily Log'!$C$4:$C$369,'Daily Log'!$A$4:$A$369,"&gt;="&amp;$A59,'Daily Log'!$A$4:$A$369,"&lt;="&amp;$A59+6))</f>
        <v/>
      </c>
      <c r="K59" s="50">
        <f>IF($A59&gt;TODAY(),"",SUMIFS('Daily Log'!$D$4:$D$369,'Daily Log'!$A$4:$A$369,"&gt;="&amp;$A59,'Daily Log'!$A$4:$A$369,"&lt;="&amp;$A59+6))</f>
        <v/>
      </c>
      <c r="L59" s="79">
        <f>IFERROR(E59/J59,"")</f>
        <v/>
      </c>
      <c r="M59" s="79">
        <f>IFERROR(H59/E59*1000,"")</f>
        <v/>
      </c>
      <c r="N59" s="87" t="n"/>
    </row>
    <row r="60">
      <c r="A60" s="85">
        <f>A59+7</f>
        <v/>
      </c>
      <c r="B60" s="38" t="n"/>
      <c r="C60" s="86">
        <f>IF(OR(B60="",B59=""),"",B60-B59)</f>
        <v/>
      </c>
      <c r="D60" s="59">
        <f>IF(OR(B60="",B59=""),"",IFERROR((B60-B59)/B59,""))</f>
        <v/>
      </c>
      <c r="E60" s="38" t="n"/>
      <c r="F60" s="38" t="n"/>
      <c r="G60" s="38" t="n"/>
      <c r="H60" s="38" t="n"/>
      <c r="I60" s="38" t="n"/>
      <c r="J60" s="50">
        <f>IF($A60&gt;TODAY(),"",SUMIFS('Daily Log'!$C$4:$C$369,'Daily Log'!$A$4:$A$369,"&gt;="&amp;$A60,'Daily Log'!$A$4:$A$369,"&lt;="&amp;$A60+6))</f>
        <v/>
      </c>
      <c r="K60" s="50">
        <f>IF($A60&gt;TODAY(),"",SUMIFS('Daily Log'!$D$4:$D$369,'Daily Log'!$A$4:$A$369,"&gt;="&amp;$A60,'Daily Log'!$A$4:$A$369,"&lt;="&amp;$A60+6))</f>
        <v/>
      </c>
      <c r="L60" s="79">
        <f>IFERROR(E60/J60,"")</f>
        <v/>
      </c>
      <c r="M60" s="79">
        <f>IFERROR(H60/E60*1000,"")</f>
        <v/>
      </c>
      <c r="N60" s="87" t="n"/>
    </row>
    <row r="61">
      <c r="A61" s="85">
        <f>A60+7</f>
        <v/>
      </c>
      <c r="B61" s="38" t="n"/>
      <c r="C61" s="86">
        <f>IF(OR(B61="",B60=""),"",B61-B60)</f>
        <v/>
      </c>
      <c r="D61" s="59">
        <f>IF(OR(B61="",B60=""),"",IFERROR((B61-B60)/B60,""))</f>
        <v/>
      </c>
      <c r="E61" s="38" t="n"/>
      <c r="F61" s="38" t="n"/>
      <c r="G61" s="38" t="n"/>
      <c r="H61" s="38" t="n"/>
      <c r="I61" s="38" t="n"/>
      <c r="J61" s="50">
        <f>IF($A61&gt;TODAY(),"",SUMIFS('Daily Log'!$C$4:$C$369,'Daily Log'!$A$4:$A$369,"&gt;="&amp;$A61,'Daily Log'!$A$4:$A$369,"&lt;="&amp;$A61+6))</f>
        <v/>
      </c>
      <c r="K61" s="50">
        <f>IF($A61&gt;TODAY(),"",SUMIFS('Daily Log'!$D$4:$D$369,'Daily Log'!$A$4:$A$369,"&gt;="&amp;$A61,'Daily Log'!$A$4:$A$369,"&lt;="&amp;$A61+6))</f>
        <v/>
      </c>
      <c r="L61" s="79">
        <f>IFERROR(E61/J61,"")</f>
        <v/>
      </c>
      <c r="M61" s="79">
        <f>IFERROR(H61/E61*1000,"")</f>
        <v/>
      </c>
      <c r="N61" s="87" t="n"/>
    </row>
    <row r="62">
      <c r="A62" s="85">
        <f>A61+7</f>
        <v/>
      </c>
      <c r="B62" s="38" t="n"/>
      <c r="C62" s="86">
        <f>IF(OR(B62="",B61=""),"",B62-B61)</f>
        <v/>
      </c>
      <c r="D62" s="59">
        <f>IF(OR(B62="",B61=""),"",IFERROR((B62-B61)/B61,""))</f>
        <v/>
      </c>
      <c r="E62" s="38" t="n"/>
      <c r="F62" s="38" t="n"/>
      <c r="G62" s="38" t="n"/>
      <c r="H62" s="38" t="n"/>
      <c r="I62" s="38" t="n"/>
      <c r="J62" s="50">
        <f>IF($A62&gt;TODAY(),"",SUMIFS('Daily Log'!$C$4:$C$369,'Daily Log'!$A$4:$A$369,"&gt;="&amp;$A62,'Daily Log'!$A$4:$A$369,"&lt;="&amp;$A62+6))</f>
        <v/>
      </c>
      <c r="K62" s="50">
        <f>IF($A62&gt;TODAY(),"",SUMIFS('Daily Log'!$D$4:$D$369,'Daily Log'!$A$4:$A$369,"&gt;="&amp;$A62,'Daily Log'!$A$4:$A$369,"&lt;="&amp;$A62+6))</f>
        <v/>
      </c>
      <c r="L62" s="79">
        <f>IFERROR(E62/J62,"")</f>
        <v/>
      </c>
      <c r="M62" s="79">
        <f>IFERROR(H62/E62*1000,"")</f>
        <v/>
      </c>
      <c r="N62" s="87" t="n"/>
    </row>
    <row r="63">
      <c r="A63" s="85">
        <f>A62+7</f>
        <v/>
      </c>
      <c r="B63" s="38" t="n"/>
      <c r="C63" s="86">
        <f>IF(OR(B63="",B62=""),"",B63-B62)</f>
        <v/>
      </c>
      <c r="D63" s="59">
        <f>IF(OR(B63="",B62=""),"",IFERROR((B63-B62)/B62,""))</f>
        <v/>
      </c>
      <c r="E63" s="38" t="n"/>
      <c r="F63" s="38" t="n"/>
      <c r="G63" s="38" t="n"/>
      <c r="H63" s="38" t="n"/>
      <c r="I63" s="38" t="n"/>
      <c r="J63" s="50">
        <f>IF($A63&gt;TODAY(),"",SUMIFS('Daily Log'!$C$4:$C$369,'Daily Log'!$A$4:$A$369,"&gt;="&amp;$A63,'Daily Log'!$A$4:$A$369,"&lt;="&amp;$A63+6))</f>
        <v/>
      </c>
      <c r="K63" s="50">
        <f>IF($A63&gt;TODAY(),"",SUMIFS('Daily Log'!$D$4:$D$369,'Daily Log'!$A$4:$A$369,"&gt;="&amp;$A63,'Daily Log'!$A$4:$A$369,"&lt;="&amp;$A63+6))</f>
        <v/>
      </c>
      <c r="L63" s="79">
        <f>IFERROR(E63/J63,"")</f>
        <v/>
      </c>
      <c r="M63" s="79">
        <f>IFERROR(H63/E63*1000,"")</f>
        <v/>
      </c>
      <c r="N63" s="87" t="n"/>
    </row>
    <row r="64">
      <c r="A64" s="85">
        <f>A63+7</f>
        <v/>
      </c>
      <c r="B64" s="38" t="n"/>
      <c r="C64" s="86">
        <f>IF(OR(B64="",B63=""),"",B64-B63)</f>
        <v/>
      </c>
      <c r="D64" s="59">
        <f>IF(OR(B64="",B63=""),"",IFERROR((B64-B63)/B63,""))</f>
        <v/>
      </c>
      <c r="E64" s="38" t="n"/>
      <c r="F64" s="38" t="n"/>
      <c r="G64" s="38" t="n"/>
      <c r="H64" s="38" t="n"/>
      <c r="I64" s="38" t="n"/>
      <c r="J64" s="50">
        <f>IF($A64&gt;TODAY(),"",SUMIFS('Daily Log'!$C$4:$C$369,'Daily Log'!$A$4:$A$369,"&gt;="&amp;$A64,'Daily Log'!$A$4:$A$369,"&lt;="&amp;$A64+6))</f>
        <v/>
      </c>
      <c r="K64" s="50">
        <f>IF($A64&gt;TODAY(),"",SUMIFS('Daily Log'!$D$4:$D$369,'Daily Log'!$A$4:$A$369,"&gt;="&amp;$A64,'Daily Log'!$A$4:$A$369,"&lt;="&amp;$A64+6))</f>
        <v/>
      </c>
      <c r="L64" s="79">
        <f>IFERROR(E64/J64,"")</f>
        <v/>
      </c>
      <c r="M64" s="79">
        <f>IFERROR(H64/E64*1000,"")</f>
        <v/>
      </c>
      <c r="N64" s="87" t="n"/>
    </row>
    <row r="65">
      <c r="A65" s="85">
        <f>A64+7</f>
        <v/>
      </c>
      <c r="B65" s="38" t="n"/>
      <c r="C65" s="86">
        <f>IF(OR(B65="",B64=""),"",B65-B64)</f>
        <v/>
      </c>
      <c r="D65" s="59">
        <f>IF(OR(B65="",B64=""),"",IFERROR((B65-B64)/B64,""))</f>
        <v/>
      </c>
      <c r="E65" s="38" t="n"/>
      <c r="F65" s="38" t="n"/>
      <c r="G65" s="38" t="n"/>
      <c r="H65" s="38" t="n"/>
      <c r="I65" s="38" t="n"/>
      <c r="J65" s="50">
        <f>IF($A65&gt;TODAY(),"",SUMIFS('Daily Log'!$C$4:$C$369,'Daily Log'!$A$4:$A$369,"&gt;="&amp;$A65,'Daily Log'!$A$4:$A$369,"&lt;="&amp;$A65+6))</f>
        <v/>
      </c>
      <c r="K65" s="50">
        <f>IF($A65&gt;TODAY(),"",SUMIFS('Daily Log'!$D$4:$D$369,'Daily Log'!$A$4:$A$369,"&gt;="&amp;$A65,'Daily Log'!$A$4:$A$369,"&lt;="&amp;$A65+6))</f>
        <v/>
      </c>
      <c r="L65" s="79">
        <f>IFERROR(E65/J65,"")</f>
        <v/>
      </c>
      <c r="M65" s="79">
        <f>IFERROR(H65/E65*1000,"")</f>
        <v/>
      </c>
      <c r="N65" s="87" t="n"/>
    </row>
    <row r="66">
      <c r="A66" s="85">
        <f>A65+7</f>
        <v/>
      </c>
      <c r="B66" s="38" t="n"/>
      <c r="C66" s="86">
        <f>IF(OR(B66="",B65=""),"",B66-B65)</f>
        <v/>
      </c>
      <c r="D66" s="59">
        <f>IF(OR(B66="",B65=""),"",IFERROR((B66-B65)/B65,""))</f>
        <v/>
      </c>
      <c r="E66" s="38" t="n"/>
      <c r="F66" s="38" t="n"/>
      <c r="G66" s="38" t="n"/>
      <c r="H66" s="38" t="n"/>
      <c r="I66" s="38" t="n"/>
      <c r="J66" s="50">
        <f>IF($A66&gt;TODAY(),"",SUMIFS('Daily Log'!$C$4:$C$369,'Daily Log'!$A$4:$A$369,"&gt;="&amp;$A66,'Daily Log'!$A$4:$A$369,"&lt;="&amp;$A66+6))</f>
        <v/>
      </c>
      <c r="K66" s="50">
        <f>IF($A66&gt;TODAY(),"",SUMIFS('Daily Log'!$D$4:$D$369,'Daily Log'!$A$4:$A$369,"&gt;="&amp;$A66,'Daily Log'!$A$4:$A$369,"&lt;="&amp;$A66+6))</f>
        <v/>
      </c>
      <c r="L66" s="79">
        <f>IFERROR(E66/J66,"")</f>
        <v/>
      </c>
      <c r="M66" s="79">
        <f>IFERROR(H66/E66*1000,"")</f>
        <v/>
      </c>
      <c r="N66" s="87" t="n"/>
    </row>
    <row r="67">
      <c r="A67" s="85">
        <f>A66+7</f>
        <v/>
      </c>
      <c r="B67" s="38" t="n"/>
      <c r="C67" s="86">
        <f>IF(OR(B67="",B66=""),"",B67-B66)</f>
        <v/>
      </c>
      <c r="D67" s="59">
        <f>IF(OR(B67="",B66=""),"",IFERROR((B67-B66)/B66,""))</f>
        <v/>
      </c>
      <c r="E67" s="38" t="n"/>
      <c r="F67" s="38" t="n"/>
      <c r="G67" s="38" t="n"/>
      <c r="H67" s="38" t="n"/>
      <c r="I67" s="38" t="n"/>
      <c r="J67" s="50">
        <f>IF($A67&gt;TODAY(),"",SUMIFS('Daily Log'!$C$4:$C$369,'Daily Log'!$A$4:$A$369,"&gt;="&amp;$A67,'Daily Log'!$A$4:$A$369,"&lt;="&amp;$A67+6))</f>
        <v/>
      </c>
      <c r="K67" s="50">
        <f>IF($A67&gt;TODAY(),"",SUMIFS('Daily Log'!$D$4:$D$369,'Daily Log'!$A$4:$A$369,"&gt;="&amp;$A67,'Daily Log'!$A$4:$A$369,"&lt;="&amp;$A67+6))</f>
        <v/>
      </c>
      <c r="L67" s="79">
        <f>IFERROR(E67/J67,"")</f>
        <v/>
      </c>
      <c r="M67" s="79">
        <f>IFERROR(H67/E67*1000,"")</f>
        <v/>
      </c>
      <c r="N67" s="87" t="n"/>
    </row>
    <row r="68">
      <c r="A68" s="85">
        <f>A67+7</f>
        <v/>
      </c>
      <c r="B68" s="38" t="n"/>
      <c r="C68" s="86">
        <f>IF(OR(B68="",B67=""),"",B68-B67)</f>
        <v/>
      </c>
      <c r="D68" s="59">
        <f>IF(OR(B68="",B67=""),"",IFERROR((B68-B67)/B67,""))</f>
        <v/>
      </c>
      <c r="E68" s="38" t="n"/>
      <c r="F68" s="38" t="n"/>
      <c r="G68" s="38" t="n"/>
      <c r="H68" s="38" t="n"/>
      <c r="I68" s="38" t="n"/>
      <c r="J68" s="50">
        <f>IF($A68&gt;TODAY(),"",SUMIFS('Daily Log'!$C$4:$C$369,'Daily Log'!$A$4:$A$369,"&gt;="&amp;$A68,'Daily Log'!$A$4:$A$369,"&lt;="&amp;$A68+6))</f>
        <v/>
      </c>
      <c r="K68" s="50">
        <f>IF($A68&gt;TODAY(),"",SUMIFS('Daily Log'!$D$4:$D$369,'Daily Log'!$A$4:$A$369,"&gt;="&amp;$A68,'Daily Log'!$A$4:$A$369,"&lt;="&amp;$A68+6))</f>
        <v/>
      </c>
      <c r="L68" s="79">
        <f>IFERROR(E68/J68,"")</f>
        <v/>
      </c>
      <c r="M68" s="79">
        <f>IFERROR(H68/E68*1000,"")</f>
        <v/>
      </c>
      <c r="N68" s="87" t="n"/>
    </row>
    <row r="69">
      <c r="A69" s="85">
        <f>A68+7</f>
        <v/>
      </c>
      <c r="B69" s="38" t="n"/>
      <c r="C69" s="86">
        <f>IF(OR(B69="",B68=""),"",B69-B68)</f>
        <v/>
      </c>
      <c r="D69" s="59">
        <f>IF(OR(B69="",B68=""),"",IFERROR((B69-B68)/B68,""))</f>
        <v/>
      </c>
      <c r="E69" s="38" t="n"/>
      <c r="F69" s="38" t="n"/>
      <c r="G69" s="38" t="n"/>
      <c r="H69" s="38" t="n"/>
      <c r="I69" s="38" t="n"/>
      <c r="J69" s="50">
        <f>IF($A69&gt;TODAY(),"",SUMIFS('Daily Log'!$C$4:$C$369,'Daily Log'!$A$4:$A$369,"&gt;="&amp;$A69,'Daily Log'!$A$4:$A$369,"&lt;="&amp;$A69+6))</f>
        <v/>
      </c>
      <c r="K69" s="50">
        <f>IF($A69&gt;TODAY(),"",SUMIFS('Daily Log'!$D$4:$D$369,'Daily Log'!$A$4:$A$369,"&gt;="&amp;$A69,'Daily Log'!$A$4:$A$369,"&lt;="&amp;$A69+6))</f>
        <v/>
      </c>
      <c r="L69" s="79">
        <f>IFERROR(E69/J69,"")</f>
        <v/>
      </c>
      <c r="M69" s="79">
        <f>IFERROR(H69/E69*1000,"")</f>
        <v/>
      </c>
      <c r="N69" s="87" t="n"/>
    </row>
    <row r="70">
      <c r="A70" s="85">
        <f>A69+7</f>
        <v/>
      </c>
      <c r="B70" s="38" t="n"/>
      <c r="C70" s="86">
        <f>IF(OR(B70="",B69=""),"",B70-B69)</f>
        <v/>
      </c>
      <c r="D70" s="59">
        <f>IF(OR(B70="",B69=""),"",IFERROR((B70-B69)/B69,""))</f>
        <v/>
      </c>
      <c r="E70" s="38" t="n"/>
      <c r="F70" s="38" t="n"/>
      <c r="G70" s="38" t="n"/>
      <c r="H70" s="38" t="n"/>
      <c r="I70" s="38" t="n"/>
      <c r="J70" s="50">
        <f>IF($A70&gt;TODAY(),"",SUMIFS('Daily Log'!$C$4:$C$369,'Daily Log'!$A$4:$A$369,"&gt;="&amp;$A70,'Daily Log'!$A$4:$A$369,"&lt;="&amp;$A70+6))</f>
        <v/>
      </c>
      <c r="K70" s="50">
        <f>IF($A70&gt;TODAY(),"",SUMIFS('Daily Log'!$D$4:$D$369,'Daily Log'!$A$4:$A$369,"&gt;="&amp;$A70,'Daily Log'!$A$4:$A$369,"&lt;="&amp;$A70+6))</f>
        <v/>
      </c>
      <c r="L70" s="79">
        <f>IFERROR(E70/J70,"")</f>
        <v/>
      </c>
      <c r="M70" s="79">
        <f>IFERROR(H70/E70*1000,"")</f>
        <v/>
      </c>
      <c r="N70" s="87" t="n"/>
    </row>
    <row r="71">
      <c r="A71" s="85">
        <f>A70+7</f>
        <v/>
      </c>
      <c r="B71" s="38" t="n"/>
      <c r="C71" s="86">
        <f>IF(OR(B71="",B70=""),"",B71-B70)</f>
        <v/>
      </c>
      <c r="D71" s="59">
        <f>IF(OR(B71="",B70=""),"",IFERROR((B71-B70)/B70,""))</f>
        <v/>
      </c>
      <c r="E71" s="38" t="n"/>
      <c r="F71" s="38" t="n"/>
      <c r="G71" s="38" t="n"/>
      <c r="H71" s="38" t="n"/>
      <c r="I71" s="38" t="n"/>
      <c r="J71" s="50">
        <f>IF($A71&gt;TODAY(),"",SUMIFS('Daily Log'!$C$4:$C$369,'Daily Log'!$A$4:$A$369,"&gt;="&amp;$A71,'Daily Log'!$A$4:$A$369,"&lt;="&amp;$A71+6))</f>
        <v/>
      </c>
      <c r="K71" s="50">
        <f>IF($A71&gt;TODAY(),"",SUMIFS('Daily Log'!$D$4:$D$369,'Daily Log'!$A$4:$A$369,"&gt;="&amp;$A71,'Daily Log'!$A$4:$A$369,"&lt;="&amp;$A71+6))</f>
        <v/>
      </c>
      <c r="L71" s="79">
        <f>IFERROR(E71/J71,"")</f>
        <v/>
      </c>
      <c r="M71" s="79">
        <f>IFERROR(H71/E71*1000,"")</f>
        <v/>
      </c>
      <c r="N71" s="87" t="n"/>
    </row>
    <row r="72">
      <c r="A72" s="85">
        <f>A71+7</f>
        <v/>
      </c>
      <c r="B72" s="38" t="n"/>
      <c r="C72" s="86">
        <f>IF(OR(B72="",B71=""),"",B72-B71)</f>
        <v/>
      </c>
      <c r="D72" s="59">
        <f>IF(OR(B72="",B71=""),"",IFERROR((B72-B71)/B71,""))</f>
        <v/>
      </c>
      <c r="E72" s="38" t="n"/>
      <c r="F72" s="38" t="n"/>
      <c r="G72" s="38" t="n"/>
      <c r="H72" s="38" t="n"/>
      <c r="I72" s="38" t="n"/>
      <c r="J72" s="50">
        <f>IF($A72&gt;TODAY(),"",SUMIFS('Daily Log'!$C$4:$C$369,'Daily Log'!$A$4:$A$369,"&gt;="&amp;$A72,'Daily Log'!$A$4:$A$369,"&lt;="&amp;$A72+6))</f>
        <v/>
      </c>
      <c r="K72" s="50">
        <f>IF($A72&gt;TODAY(),"",SUMIFS('Daily Log'!$D$4:$D$369,'Daily Log'!$A$4:$A$369,"&gt;="&amp;$A72,'Daily Log'!$A$4:$A$369,"&lt;="&amp;$A72+6))</f>
        <v/>
      </c>
      <c r="L72" s="79">
        <f>IFERROR(E72/J72,"")</f>
        <v/>
      </c>
      <c r="M72" s="79">
        <f>IFERROR(H72/E72*1000,"")</f>
        <v/>
      </c>
      <c r="N72" s="87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A3833"/>
    <outlinePr summaryBelow="1" summaryRight="1"/>
    <pageSetUpPr/>
  </sheetPr>
  <dimension ref="A1:D10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4" customWidth="1" min="2" max="2"/>
    <col width="14" customWidth="1" min="3" max="3"/>
    <col width="16" customWidth="1" min="4" max="4"/>
  </cols>
  <sheetData>
    <row r="1" ht="46" customHeight="1">
      <c r="A1" s="1" t="inlineStr">
        <is>
          <t>CHEAT SHEET — what your numbers are telling you</t>
        </is>
      </c>
    </row>
    <row r="2" ht="18" customHeight="1">
      <c r="A2" s="2" t="inlineStr">
        <is>
          <t>Every number in this sheet has one job: to tell you which single thing to fix next.</t>
        </is>
      </c>
    </row>
    <row r="4" ht="21" customHeight="1">
      <c r="A4" s="5" t="inlineStr">
        <is>
          <t>HOW TO READ YOUR NUMBERS</t>
        </is>
      </c>
    </row>
    <row r="5" ht="28" customHeight="1">
      <c r="B5" s="4" t="inlineStr">
        <is>
          <t>Your business is a chain. Content gets you seen. Stories build trust. Opener DMs start conversations. Follow-ups rescue the ones that stalled. Replies become pitches, pitches become booked calls, booked calls become clients.</t>
        </is>
      </c>
    </row>
    <row r="6" ht="28" customHeight="1">
      <c r="B6" s="4" t="inlineStr">
        <is>
          <t>Every link has a rate. When the money is down, one link broke — and the rates tell you exactly which one. That is the entire point of this sheet: stop guessing, fix one thing.</t>
        </is>
      </c>
    </row>
    <row r="7" ht="28" customHeight="1">
      <c r="B7" s="4" t="inlineStr">
        <is>
          <t>Rule of thumb: fix the earliest broken link first. Working on your close rate while your reply rate is broken just means closing a smaller number of people.</t>
        </is>
      </c>
    </row>
    <row r="9" ht="21" customHeight="1">
      <c r="A9" s="5" t="inlineStr">
        <is>
          <t>HEALTHY RANGES — edit these as you learn what's true for your clients</t>
        </is>
      </c>
    </row>
    <row r="10" ht="32" customHeight="1">
      <c r="A10" s="6" t="inlineStr">
        <is>
          <t>Rate</t>
        </is>
      </c>
      <c r="B10" s="6" t="inlineStr">
        <is>
          <t>What it's measuring</t>
        </is>
      </c>
      <c r="C10" s="6" t="inlineStr">
        <is>
          <t>Healthy
floor</t>
        </is>
      </c>
      <c r="D10" s="6" t="inlineStr">
        <is>
          <t>Healthy
ceiling</t>
        </is>
      </c>
    </row>
    <row r="11" ht="20" customHeight="1">
      <c r="A11" s="48" t="inlineStr">
        <is>
          <t>Reply rate</t>
        </is>
      </c>
      <c r="B11" s="88" t="inlineStr">
        <is>
          <t>Replies ÷ DMs sent — whether your opener is worth answering.</t>
        </is>
      </c>
      <c r="C11" s="89" t="n">
        <v>0.1</v>
      </c>
      <c r="D11" s="89" t="n">
        <v>0.25</v>
      </c>
    </row>
    <row r="12" ht="20" customHeight="1">
      <c r="A12" s="48" t="inlineStr">
        <is>
          <t>Pitch rate</t>
        </is>
      </c>
      <c r="B12" s="88" t="inlineStr">
        <is>
          <t>Calls pitched ÷ replies — whether you actually make the ask.</t>
        </is>
      </c>
      <c r="C12" s="89" t="n">
        <v>0.3</v>
      </c>
      <c r="D12" s="89" t="n">
        <v>0.6</v>
      </c>
    </row>
    <row r="13" ht="20" customHeight="1">
      <c r="A13" s="48" t="inlineStr">
        <is>
          <t>Book rate</t>
        </is>
      </c>
      <c r="B13" s="88" t="inlineStr">
        <is>
          <t>Calls booked ÷ pitched — whether the ask lands.</t>
        </is>
      </c>
      <c r="C13" s="89" t="n">
        <v>0.2</v>
      </c>
      <c r="D13" s="89" t="n">
        <v>0.4</v>
      </c>
    </row>
    <row r="14" ht="20" customHeight="1">
      <c r="A14" s="48" t="inlineStr">
        <is>
          <t>Show rate</t>
        </is>
      </c>
      <c r="B14" s="88" t="inlineStr">
        <is>
          <t>Calls showed ÷ booked — whether the booking was real.</t>
        </is>
      </c>
      <c r="C14" s="89" t="n">
        <v>0.6</v>
      </c>
      <c r="D14" s="89" t="n">
        <v>0.85</v>
      </c>
    </row>
    <row r="15" ht="20" customHeight="1">
      <c r="A15" s="48" t="inlineStr">
        <is>
          <t>Close rate</t>
        </is>
      </c>
      <c r="B15" s="88" t="inlineStr">
        <is>
          <t>Closes ÷ showed — whether the offer and the call work.</t>
        </is>
      </c>
      <c r="C15" s="89" t="n">
        <v>0.2</v>
      </c>
      <c r="D15" s="89" t="n">
        <v>0.4</v>
      </c>
    </row>
    <row r="16" ht="32" customHeight="1">
      <c r="B16" s="90" t="inlineStr">
        <is>
          <t>These are The Called's working numbers, not gospel — they are cream cells because they are yours to change. The KPI Dashboard colours your rates against the FLOOR column: edit a floor here and the dashboard re-grades itself. Once you have enough client history, replace these with what you actually see.</t>
        </is>
      </c>
    </row>
    <row r="18" ht="21" customHeight="1">
      <c r="A18" s="5" t="inlineStr">
        <is>
          <t>THE FIVE RATES — where the money actually leaks</t>
        </is>
      </c>
    </row>
    <row r="19" ht="20" customHeight="1">
      <c r="A19" s="91" t="inlineStr">
        <is>
          <t>REPLY RATE — replies ÷ DMs sent</t>
        </is>
      </c>
    </row>
    <row r="20" ht="17" customHeight="1">
      <c r="A20" s="92" t="inlineStr">
        <is>
          <t>Measures</t>
        </is>
      </c>
      <c r="B20" s="4" t="inlineStr">
        <is>
          <t>Whether your opener is worth answering. Nothing downstream can beat this number.</t>
        </is>
      </c>
    </row>
    <row r="21" ht="30" customHeight="1">
      <c r="A21" s="93" t="inlineStr">
        <is>
          <t>If it's low</t>
        </is>
      </c>
      <c r="B21" s="4" t="inlineStr">
        <is>
          <t>Your opener reads like a pitch, or you're messaging people who have never seen you. Cold list, or a first line about you instead of them.</t>
        </is>
      </c>
    </row>
    <row r="22" ht="43" customHeight="1">
      <c r="A22" s="92" t="inlineStr">
        <is>
          <t>Do this</t>
        </is>
      </c>
      <c r="B22" s="4" t="inlineStr">
        <is>
          <t>Rewrite the first line so it's about them — something specific from their profile or content. Warm the list first: watch stories, reply to posts for 2–3 days before the DM. Change ONE thing and give it 50 DMs before you judge it.</t>
        </is>
      </c>
    </row>
    <row r="23" ht="30" customHeight="1">
      <c r="A23" s="94" t="inlineStr">
        <is>
          <t>If it's high</t>
        </is>
      </c>
      <c r="B23" s="4" t="inlineStr">
        <is>
          <t>Good — but check your pitch rate. A high reply rate with a low pitch rate means you're being liked, not hired. Pleasant conversations are not pipeline.</t>
        </is>
      </c>
    </row>
    <row r="25" ht="20" customHeight="1">
      <c r="A25" s="91" t="inlineStr">
        <is>
          <t>PITCH RATE — calls pitched ÷ replies</t>
        </is>
      </c>
    </row>
    <row r="26" ht="17" customHeight="1">
      <c r="A26" s="92" t="inlineStr">
        <is>
          <t>Measures</t>
        </is>
      </c>
      <c r="B26" s="4" t="inlineStr">
        <is>
          <t>Whether you actually ask. This is the most common place the whole thing quietly dies.</t>
        </is>
      </c>
    </row>
    <row r="27" ht="30" customHeight="1">
      <c r="A27" s="93" t="inlineStr">
        <is>
          <t>If it's low</t>
        </is>
      </c>
      <c r="B27" s="4" t="inlineStr">
        <is>
          <t>You're chatting. Either you're scared of the ask, or you don't have a clean line to get from conversation to call.</t>
        </is>
      </c>
    </row>
    <row r="28" ht="30" customHeight="1">
      <c r="A28" s="92" t="inlineStr">
        <is>
          <t>Do this</t>
        </is>
      </c>
      <c r="B28" s="4" t="inlineStr">
        <is>
          <t>Decide the ask before you open the conversation. Two exchanges, then transition. Write one transition line, save it, use it every time until it feels boring.</t>
        </is>
      </c>
    </row>
    <row r="29" ht="30" customHeight="1">
      <c r="A29" s="94" t="inlineStr">
        <is>
          <t>If it's high</t>
        </is>
      </c>
      <c r="B29" s="4" t="inlineStr">
        <is>
          <t>Check your book rate. If you're pitching almost everyone and few are booking, you're asking before you've earned it.</t>
        </is>
      </c>
    </row>
    <row r="31" ht="20" customHeight="1">
      <c r="A31" s="91" t="inlineStr">
        <is>
          <t>BOOK RATE — calls booked ÷ pitched</t>
        </is>
      </c>
    </row>
    <row r="32" ht="17" customHeight="1">
      <c r="A32" s="92" t="inlineStr">
        <is>
          <t>Measures</t>
        </is>
      </c>
      <c r="B32" s="4" t="inlineStr">
        <is>
          <t>Whether the ask lands when you make it.</t>
        </is>
      </c>
    </row>
    <row r="33" ht="30" customHeight="1">
      <c r="A33" s="93" t="inlineStr">
        <is>
          <t>If it's low</t>
        </is>
      </c>
      <c r="B33" s="4" t="inlineStr">
        <is>
          <t>Three usual causes: asking too early, an unclear offer, or pitching people who were never going to buy.</t>
        </is>
      </c>
    </row>
    <row r="34" ht="30" customHeight="1">
      <c r="A34" s="92" t="inlineStr">
        <is>
          <t>Do this</t>
        </is>
      </c>
      <c r="B34" s="4" t="inlineStr">
        <is>
          <t>Qualify before you ask — do they actually have the problem you solve, and can they pay? Make the call sound like a specific outcome, not "a quick chat". Offer two times, not an open calendar.</t>
        </is>
      </c>
    </row>
    <row r="35" ht="17" customHeight="1">
      <c r="A35" s="94" t="inlineStr">
        <is>
          <t>If it's high</t>
        </is>
      </c>
      <c r="B35" s="4" t="inlineStr">
        <is>
          <t>Your ask works. The bottleneck is upstream — send more DMs.</t>
        </is>
      </c>
    </row>
    <row r="37" ht="20" customHeight="1">
      <c r="A37" s="91" t="inlineStr">
        <is>
          <t>SHOW RATE — calls showed ÷ booked</t>
        </is>
      </c>
    </row>
    <row r="38" ht="17" customHeight="1">
      <c r="A38" s="92" t="inlineStr">
        <is>
          <t>Measures</t>
        </is>
      </c>
      <c r="B38" s="4" t="inlineStr">
        <is>
          <t>Whether the booking was real. This is a confirmation problem, almost never a booking problem.</t>
        </is>
      </c>
    </row>
    <row r="39" ht="30" customHeight="1">
      <c r="A39" s="93" t="inlineStr">
        <is>
          <t>If it's low</t>
        </is>
      </c>
      <c r="B39" s="4" t="inlineStr">
        <is>
          <t>Most no-shows booked in a moment of interest and then forgot. The gap between booking and call is where it died.</t>
        </is>
      </c>
    </row>
    <row r="40" ht="43" customHeight="1">
      <c r="A40" s="92" t="inlineStr">
        <is>
          <t>Do this</t>
        </is>
      </c>
      <c r="B40" s="4" t="inlineStr">
        <is>
          <t>Book inside 48 hours — the further out, the colder. Confirm within an hour of booking and ask them to reply. Remind 24 hours before and the morning of. A confirmation they don't reply to isn't a confirmation.</t>
        </is>
      </c>
    </row>
    <row r="41" ht="17" customHeight="1">
      <c r="A41" s="94" t="inlineStr">
        <is>
          <t>If it's high</t>
        </is>
      </c>
      <c r="B41" s="4" t="inlineStr">
        <is>
          <t>Your bookings are real. Push volume upstream.</t>
        </is>
      </c>
    </row>
    <row r="43" ht="20" customHeight="1">
      <c r="A43" s="91" t="inlineStr">
        <is>
          <t>CLOSE RATE — closes ÷ showed</t>
        </is>
      </c>
    </row>
    <row r="44" ht="17" customHeight="1">
      <c r="A44" s="92" t="inlineStr">
        <is>
          <t>Measures</t>
        </is>
      </c>
      <c r="B44" s="4" t="inlineStr">
        <is>
          <t>The offer and the call itself — but only for the people who actually turned up.</t>
        </is>
      </c>
    </row>
    <row r="45" ht="43" customHeight="1">
      <c r="A45" s="93" t="inlineStr">
        <is>
          <t>If it's low</t>
        </is>
      </c>
      <c r="B45" s="4" t="inlineStr">
        <is>
          <t>Check book rate first. High book rate plus low close rate is a qualification problem, not a closing problem — you're booking the wrong people, and no call script fixes that. If qualification is fine, it's the call structure or the price framing.</t>
        </is>
      </c>
    </row>
    <row r="46" ht="30" customHeight="1">
      <c r="A46" s="92" t="inlineStr">
        <is>
          <t>Do this</t>
        </is>
      </c>
      <c r="B46" s="4" t="inlineStr">
        <is>
          <t>Fix who's showing up before you fix the call. Then: diagnose longer before you present, and get the money objection on the table early rather than at the end.</t>
        </is>
      </c>
    </row>
    <row r="47" ht="30" customHeight="1">
      <c r="A47" s="94" t="inlineStr">
        <is>
          <t>If it's high</t>
        </is>
      </c>
      <c r="B47" s="4" t="inlineStr">
        <is>
          <t>Your offer works and the right people are showing. Every extra DM is now worth real money — look at Cash per 100 DMs and act on it.</t>
        </is>
      </c>
    </row>
    <row r="49" ht="21" customHeight="1">
      <c r="A49" s="5" t="inlineStr">
        <is>
          <t>THE VOLUME NUMBERS — the inputs you control</t>
        </is>
      </c>
    </row>
    <row r="50" ht="20" customHeight="1">
      <c r="A50" s="91" t="inlineStr">
        <is>
          <t>REELS / POSTS</t>
        </is>
      </c>
    </row>
    <row r="51" ht="17" customHeight="1">
      <c r="A51" s="92" t="inlineStr">
        <is>
          <t>What it does</t>
        </is>
      </c>
      <c r="B51" s="4" t="inlineStr">
        <is>
          <t>Gets you in front of people who've never heard of you, and gives your DMs a reason to be answered.</t>
        </is>
      </c>
    </row>
    <row r="52" ht="17" customHeight="1">
      <c r="A52" s="93" t="inlineStr">
        <is>
          <t>If it's low</t>
        </is>
      </c>
      <c r="B52" s="4" t="inlineStr">
        <is>
          <t>Your DM volume has to do all the work, and your reply rate usually drops a week or two later.</t>
        </is>
      </c>
    </row>
    <row r="53" ht="17" customHeight="1">
      <c r="A53" s="92" t="inlineStr">
        <is>
          <t>Do this</t>
        </is>
      </c>
      <c r="B53" s="4" t="inlineStr">
        <is>
          <t>Batch film. Content volume is a scheduling problem, not a creativity problem.</t>
        </is>
      </c>
    </row>
    <row r="55" ht="20" customHeight="1">
      <c r="A55" s="91" t="inlineStr">
        <is>
          <t>STORIES</t>
        </is>
      </c>
    </row>
    <row r="56" ht="17" customHeight="1">
      <c r="A56" s="92" t="inlineStr">
        <is>
          <t>What it does</t>
        </is>
      </c>
      <c r="B56" s="4" t="inlineStr">
        <is>
          <t>The trust layer. Stories are why someone recognises your name when your DM lands.</t>
        </is>
      </c>
    </row>
    <row r="57" ht="17" customHeight="1">
      <c r="A57" s="93" t="inlineStr">
        <is>
          <t>If it's low</t>
        </is>
      </c>
      <c r="B57" s="4" t="inlineStr">
        <is>
          <t>Watch your reply rate about a week later — this is usually where a reply-rate drop starts.</t>
        </is>
      </c>
    </row>
    <row r="58" ht="30" customHeight="1">
      <c r="A58" s="92" t="inlineStr">
        <is>
          <t>Do this</t>
        </is>
      </c>
      <c r="B58" s="4" t="inlineStr">
        <is>
          <t>Post through the day, not in one block. Behind the scenes, client wins, opinions. Low effort, high frequency.</t>
        </is>
      </c>
    </row>
    <row r="60" ht="20" customHeight="1">
      <c r="A60" s="91" t="inlineStr">
        <is>
          <t>OPENER DMS</t>
        </is>
      </c>
    </row>
    <row r="61" ht="30" customHeight="1">
      <c r="A61" s="92" t="inlineStr">
        <is>
          <t>What it does</t>
        </is>
      </c>
      <c r="B61" s="4" t="inlineStr">
        <is>
          <t>The single biggest lever on how many calls you book. Everything downstream is a percentage of this number.</t>
        </is>
      </c>
    </row>
    <row r="62" ht="17" customHeight="1">
      <c r="A62" s="93" t="inlineStr">
        <is>
          <t>If it's low</t>
        </is>
      </c>
      <c r="B62" s="4" t="inlineStr">
        <is>
          <t>Nothing else matters much. A great reply rate on 5 DMs a day is still no pipeline.</t>
        </is>
      </c>
    </row>
    <row r="63" ht="17" customHeight="1">
      <c r="A63" s="92" t="inlineStr">
        <is>
          <t>Do this</t>
        </is>
      </c>
      <c r="B63" s="4" t="inlineStr">
        <is>
          <t>Same time, every day, before anything else. Volume first, then optimise the opener.</t>
        </is>
      </c>
    </row>
    <row r="65" ht="20" customHeight="1">
      <c r="A65" s="91" t="inlineStr">
        <is>
          <t>FOLLOW-UP DMS</t>
        </is>
      </c>
    </row>
    <row r="66" ht="17" customHeight="1">
      <c r="A66" s="92" t="inlineStr">
        <is>
          <t>What it does</t>
        </is>
      </c>
      <c r="B66" s="4" t="inlineStr">
        <is>
          <t>Where most of the money is. Most replies come on the second or third touch, not the first.</t>
        </is>
      </c>
    </row>
    <row r="67" ht="30" customHeight="1">
      <c r="A67" s="93" t="inlineStr">
        <is>
          <t>If it's low</t>
        </is>
      </c>
      <c r="B67" s="4" t="inlineStr">
        <is>
          <t>You're paying full price for leads and abandoning them. This is the cheapest fix in the whole sheet.</t>
        </is>
      </c>
    </row>
    <row r="68" ht="30" customHeight="1">
      <c r="A68" s="92" t="inlineStr">
        <is>
          <t>Do this</t>
        </is>
      </c>
      <c r="B68" s="4" t="inlineStr">
        <is>
          <t>Every unanswered opener gets a follow-up 48 hours later, and another 4 days after that. Add value, don't just bump.</t>
        </is>
      </c>
    </row>
    <row r="70" ht="20" customHeight="1">
      <c r="A70" s="91" t="inlineStr">
        <is>
          <t>REPLIES</t>
        </is>
      </c>
    </row>
    <row r="71" ht="30" customHeight="1">
      <c r="A71" s="92" t="inlineStr">
        <is>
          <t>What it is</t>
        </is>
      </c>
      <c r="B71" s="4" t="inlineStr">
        <is>
          <t>An outcome, not an input. You don't control replies — you control DMs sent and how good the opener is.</t>
        </is>
      </c>
    </row>
    <row r="72" ht="17" customHeight="1">
      <c r="A72" s="93" t="inlineStr">
        <is>
          <t>If it's low</t>
        </is>
      </c>
      <c r="B72" s="4" t="inlineStr">
        <is>
          <t>Don't try to fix replies. Fix the opener (reply rate) or the volume (opener DMs).</t>
        </is>
      </c>
    </row>
    <row r="74" ht="21" customHeight="1">
      <c r="A74" s="5" t="inlineStr">
        <is>
          <t>THE MONEY NUMBERS</t>
        </is>
      </c>
    </row>
    <row r="75" ht="20" customHeight="1">
      <c r="A75" s="91" t="inlineStr">
        <is>
          <t>CASH PER CALL BOOKED</t>
        </is>
      </c>
    </row>
    <row r="76" ht="17" customHeight="1">
      <c r="A76" s="92" t="inlineStr">
        <is>
          <t>What it is</t>
        </is>
      </c>
      <c r="B76" s="4" t="inlineStr">
        <is>
          <t>What one booked call is worth to you on average, including the ones that don't close.</t>
        </is>
      </c>
    </row>
    <row r="77" ht="30" customHeight="1">
      <c r="A77" s="92" t="inlineStr">
        <is>
          <t>Use it</t>
        </is>
      </c>
      <c r="B77" s="4" t="inlineStr">
        <is>
          <t>Multiply it by the calls you didn't book this week. That's what the missed follow-ups cost you — in dollars, not vibes.</t>
        </is>
      </c>
    </row>
    <row r="79" ht="20" customHeight="1">
      <c r="A79" s="91" t="inlineStr">
        <is>
          <t>CASH PER 100 DMS SENT</t>
        </is>
      </c>
    </row>
    <row r="80" ht="17" customHeight="1">
      <c r="A80" s="92" t="inlineStr">
        <is>
          <t>What it is</t>
        </is>
      </c>
      <c r="B80" s="4" t="inlineStr">
        <is>
          <t>The number that turns your daily standard into a decision instead of a chore.</t>
        </is>
      </c>
    </row>
    <row r="81" ht="30" customHeight="1">
      <c r="A81" s="92" t="inlineStr">
        <is>
          <t>Use it</t>
        </is>
      </c>
      <c r="B81" s="4" t="inlineStr">
        <is>
          <t>If 100 DMs is worth $1,200 to you, then 20 more DMs today is worth $240. That's the whole argument for hitting the standard.</t>
        </is>
      </c>
    </row>
    <row r="83" ht="20" customHeight="1">
      <c r="A83" s="91" t="inlineStr">
        <is>
          <t>CASH COLLECTED vs REVENUE GENERATED</t>
        </is>
      </c>
    </row>
    <row r="84" ht="17" customHeight="1">
      <c r="A84" s="92" t="inlineStr">
        <is>
          <t>What it is</t>
        </is>
      </c>
      <c r="B84" s="4" t="inlineStr">
        <is>
          <t>Revenue is what they agreed to pay. Cash is what actually landed in your account.</t>
        </is>
      </c>
    </row>
    <row r="85" ht="30" customHeight="1">
      <c r="A85" s="92" t="inlineStr">
        <is>
          <t>If there's a gap</t>
        </is>
      </c>
      <c r="B85" s="4" t="inlineStr">
        <is>
          <t>You're running payment plans, or you have unpaid invoices. Neither is wrong — but manage cash off the cash number, never the revenue number.</t>
        </is>
      </c>
    </row>
    <row r="87" ht="21" customHeight="1">
      <c r="A87" s="5" t="inlineStr">
        <is>
          <t>THE INSTAGRAM NUMBERS</t>
        </is>
      </c>
    </row>
    <row r="88" ht="20" customHeight="1">
      <c r="A88" s="91" t="inlineStr">
        <is>
          <t>FOLLOWERS</t>
        </is>
      </c>
    </row>
    <row r="89" ht="17" customHeight="1">
      <c r="A89" s="92" t="inlineStr">
        <is>
          <t>What it is</t>
        </is>
      </c>
      <c r="B89" s="4" t="inlineStr">
        <is>
          <t>The least useful number on the page. Followers only matter if reach and DMs move with them.</t>
        </is>
      </c>
    </row>
    <row r="90" ht="17" customHeight="1">
      <c r="A90" s="92" t="inlineStr">
        <is>
          <t>Watch instead</t>
        </is>
      </c>
      <c r="B90" s="4" t="inlineStr">
        <is>
          <t>Accounts reached, and new followers per 1,000 reached.</t>
        </is>
      </c>
    </row>
    <row r="92" ht="20" customHeight="1">
      <c r="A92" s="91" t="inlineStr">
        <is>
          <t>ACCOUNTS REACHED</t>
        </is>
      </c>
    </row>
    <row r="93" ht="17" customHeight="1">
      <c r="A93" s="92" t="inlineStr">
        <is>
          <t>What it is</t>
        </is>
      </c>
      <c r="B93" s="4" t="inlineStr">
        <is>
          <t>How many people actually saw you this week. This is the real top of your funnel.</t>
        </is>
      </c>
    </row>
    <row r="94" ht="30" customHeight="1">
      <c r="A94" s="92" t="inlineStr">
        <is>
          <t>If it's falling</t>
        </is>
      </c>
      <c r="B94" s="4" t="inlineStr">
        <is>
          <t>Post more, or post differently — reach follows volume and hooks far more than it follows follower count.</t>
        </is>
      </c>
    </row>
    <row r="96" ht="20" customHeight="1">
      <c r="A96" s="91" t="inlineStr">
        <is>
          <t>NEW FOLLOWERS PER 1,000 REACHED</t>
        </is>
      </c>
    </row>
    <row r="97" ht="17" customHeight="1">
      <c r="A97" s="92" t="inlineStr">
        <is>
          <t>What it is</t>
        </is>
      </c>
      <c r="B97" s="4" t="inlineStr">
        <is>
          <t>The quality number. How many people who saw you thought you were worth following.</t>
        </is>
      </c>
    </row>
    <row r="98" ht="30" customHeight="1">
      <c r="A98" s="92" t="inlineStr">
        <is>
          <t>If it's falling while reach rises</t>
        </is>
      </c>
      <c r="B98" s="4" t="inlineStr">
        <is>
          <t>You're being shown to the wrong people. That's a hook and positioning problem — a viral reel that brings the wrong audience makes your DMs worse, not better.</t>
        </is>
      </c>
    </row>
    <row r="100" ht="21" customHeight="1">
      <c r="A100" s="5" t="inlineStr">
        <is>
          <t>FIVE TRAPS</t>
        </is>
      </c>
    </row>
    <row r="101" ht="18" customHeight="1">
      <c r="A101" s="95" t="inlineStr">
        <is>
          <t>1.</t>
        </is>
      </c>
      <c r="B101" s="4" t="inlineStr">
        <is>
          <t>One week is not a trend. Three weeks minimum before you change strategy off a number.</t>
        </is>
      </c>
    </row>
    <row r="102" ht="18" customHeight="1">
      <c r="A102" s="95" t="inlineStr">
        <is>
          <t>2.</t>
        </is>
      </c>
      <c r="B102" s="4" t="inlineStr">
        <is>
          <t>A low close rate with a high book rate is a qualification problem, not a closing problem.</t>
        </is>
      </c>
    </row>
    <row r="103" ht="31" customHeight="1">
      <c r="A103" s="95" t="inlineStr">
        <is>
          <t>3.</t>
        </is>
      </c>
      <c r="B103" s="4" t="inlineStr">
        <is>
          <t>Cash lags the work by two to four weeks. Don't panic in the middle of the lag — look at the activity numbers instead, they move first.</t>
        </is>
      </c>
    </row>
    <row r="104" ht="31" customHeight="1">
      <c r="A104" s="95" t="inlineStr">
        <is>
          <t>4.</t>
        </is>
      </c>
      <c r="B104" s="4" t="inlineStr">
        <is>
          <t>Blank is not zero. A blank day tells the sheet you didn't track; a zero tells it you didn't work. Only one of those is honest.</t>
        </is>
      </c>
    </row>
    <row r="105" ht="31" customHeight="1">
      <c r="A105" s="95" t="inlineStr">
        <is>
          <t>5.</t>
        </is>
      </c>
      <c r="B105" s="4" t="inlineStr">
        <is>
          <t>Don't fix two things at once. You'll never know which one worked, and you'll keep doing both forever.</t>
        </is>
      </c>
    </row>
  </sheetData>
  <mergeCells count="25">
    <mergeCell ref="A92:B92"/>
    <mergeCell ref="A60:B60"/>
    <mergeCell ref="A4:D4"/>
    <mergeCell ref="A100:D100"/>
    <mergeCell ref="A88:B88"/>
    <mergeCell ref="A70:B70"/>
    <mergeCell ref="A79:B79"/>
    <mergeCell ref="A9:D9"/>
    <mergeCell ref="A25:B25"/>
    <mergeCell ref="A65:B65"/>
    <mergeCell ref="A37:B37"/>
    <mergeCell ref="A75:B75"/>
    <mergeCell ref="A49:D49"/>
    <mergeCell ref="A55:B55"/>
    <mergeCell ref="A50:B50"/>
    <mergeCell ref="A1:D1"/>
    <mergeCell ref="A87:D87"/>
    <mergeCell ref="A18:D18"/>
    <mergeCell ref="A96:B96"/>
    <mergeCell ref="A74:D74"/>
    <mergeCell ref="A43:B43"/>
    <mergeCell ref="A19:B19"/>
    <mergeCell ref="A2:D2"/>
    <mergeCell ref="A31:B31"/>
    <mergeCell ref="A83:B8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96">
        <f>TODAY()-WEEKDAY(TODAY(),2)+1-84</f>
        <v/>
      </c>
      <c r="B4" s="97">
        <f>IF(A4="","",TEXT(A4,"d mmm"))</f>
        <v/>
      </c>
      <c r="C4" s="50">
        <f>IF($A4&lt;Setup!$C$9,"",SUMIFS('Daily Log'!$Q$4:$Q$369,'Daily Log'!$A$4:$A$369,"&gt;="&amp;$A4,'Daily Log'!$A$4:$A$369,"&lt;="&amp;$A4+6))</f>
        <v/>
      </c>
      <c r="D4" s="50">
        <f>IF($A4&lt;Setup!$C$9,"",SUMIFS('Daily Log'!$C$4:$C$369,'Daily Log'!$A$4:$A$369,"&gt;="&amp;$A4,'Daily Log'!$A$4:$A$369,"&lt;="&amp;$A4+6))</f>
        <v/>
      </c>
      <c r="E4" s="50">
        <f>IF($A4&lt;Setup!$C$9,"",SUMIFS('Daily Log'!$D$4:$D$369,'Daily Log'!$A$4:$A$369,"&gt;="&amp;$A4,'Daily Log'!$A$4:$A$369,"&lt;="&amp;$A4+6))</f>
        <v/>
      </c>
      <c r="F4" s="50">
        <f>IF($A4&lt;Setup!$C$9,"",SUMIFS('Daily Log'!$E$4:$E$369,'Daily Log'!$A$4:$A$369,"&gt;="&amp;$A4,'Daily Log'!$A$4:$A$369,"&lt;="&amp;$A4+6))</f>
        <v/>
      </c>
      <c r="G4" s="50">
        <f>IF($A4&lt;Setup!$C$9,"",SUMIFS('Daily Log'!$F$4:$F$369,'Daily Log'!$A$4:$A$369,"&gt;="&amp;$A4,'Daily Log'!$A$4:$A$369,"&lt;="&amp;$A4+6))</f>
        <v/>
      </c>
      <c r="H4" s="50">
        <f>IF($A4&lt;Setup!$C$9,"",IFERROR(F4+G4,""))</f>
        <v/>
      </c>
      <c r="I4" s="50">
        <f>IF($A4&lt;Setup!$C$9,"",SUMIFS('Daily Log'!$G$4:$G$369,'Daily Log'!$A$4:$A$369,"&gt;="&amp;$A4,'Daily Log'!$A$4:$A$369,"&lt;="&amp;$A4+6))</f>
        <v/>
      </c>
      <c r="J4" s="50">
        <f>IF($A4&lt;Setup!$C$9,"",SUMIFS('Daily Log'!$H$4:$H$369,'Daily Log'!$A$4:$A$369,"&gt;="&amp;$A4,'Daily Log'!$A$4:$A$369,"&lt;="&amp;$A4+6))</f>
        <v/>
      </c>
      <c r="K4" s="50">
        <f>IF($A4&lt;Setup!$C$9,"",SUMIFS('Daily Log'!$I$4:$I$369,'Daily Log'!$A$4:$A$369,"&gt;="&amp;$A4,'Daily Log'!$A$4:$A$369,"&lt;="&amp;$A4+6))</f>
        <v/>
      </c>
      <c r="L4" s="50">
        <f>IF($A4&lt;Setup!$C$9,"",SUMIFS('Daily Log'!$J$4:$J$369,'Daily Log'!$A$4:$A$369,"&gt;="&amp;$A4,'Daily Log'!$A$4:$A$369,"&lt;="&amp;$A4+6))</f>
        <v/>
      </c>
      <c r="M4" s="50">
        <f>IF($A4&lt;Setup!$C$9,"",SUMIFS('Daily Log'!$K$4:$K$369,'Daily Log'!$A$4:$A$369,"&gt;="&amp;$A4,'Daily Log'!$A$4:$A$369,"&lt;="&amp;$A4+6))</f>
        <v/>
      </c>
      <c r="N4" s="56">
        <f>IF($A4&lt;Setup!$C$9,"",SUMIFS('Daily Log'!$L$4:$L$369,'Daily Log'!$A$4:$A$369,"&gt;="&amp;$A4,'Daily Log'!$A$4:$A$369,"&lt;="&amp;$A4+6))</f>
        <v/>
      </c>
      <c r="O4" s="56">
        <f>IF($A4&lt;Setup!$C$9,"",SUMIFS('Daily Log'!$M$4:$M$369,'Daily Log'!$A$4:$A$369,"&gt;="&amp;$A4,'Daily Log'!$A$4:$A$369,"&lt;="&amp;$A4+6))</f>
        <v/>
      </c>
      <c r="P4" s="59">
        <f>IFERROR(I4/H4,"")</f>
        <v/>
      </c>
      <c r="Q4" s="59">
        <f>IFERROR(J4/I4,"")</f>
        <v/>
      </c>
      <c r="R4" s="59">
        <f>IFERROR(K4/J4,"")</f>
        <v/>
      </c>
      <c r="S4" s="59">
        <f>IFERROR(L4/K4,"")</f>
        <v/>
      </c>
      <c r="T4" s="59">
        <f>IFERROR(M4/L4,"")</f>
        <v/>
      </c>
    </row>
    <row r="5">
      <c r="A5" s="96">
        <f>A4+7</f>
        <v/>
      </c>
      <c r="B5" s="97">
        <f>IF(A5="","",TEXT(A5,"d mmm"))</f>
        <v/>
      </c>
      <c r="C5" s="50">
        <f>IF($A5&lt;Setup!$C$9,"",SUMIFS('Daily Log'!$Q$4:$Q$369,'Daily Log'!$A$4:$A$369,"&gt;="&amp;$A5,'Daily Log'!$A$4:$A$369,"&lt;="&amp;$A5+6))</f>
        <v/>
      </c>
      <c r="D5" s="50">
        <f>IF($A5&lt;Setup!$C$9,"",SUMIFS('Daily Log'!$C$4:$C$369,'Daily Log'!$A$4:$A$369,"&gt;="&amp;$A5,'Daily Log'!$A$4:$A$369,"&lt;="&amp;$A5+6))</f>
        <v/>
      </c>
      <c r="E5" s="50">
        <f>IF($A5&lt;Setup!$C$9,"",SUMIFS('Daily Log'!$D$4:$D$369,'Daily Log'!$A$4:$A$369,"&gt;="&amp;$A5,'Daily Log'!$A$4:$A$369,"&lt;="&amp;$A5+6))</f>
        <v/>
      </c>
      <c r="F5" s="50">
        <f>IF($A5&lt;Setup!$C$9,"",SUMIFS('Daily Log'!$E$4:$E$369,'Daily Log'!$A$4:$A$369,"&gt;="&amp;$A5,'Daily Log'!$A$4:$A$369,"&lt;="&amp;$A5+6))</f>
        <v/>
      </c>
      <c r="G5" s="50">
        <f>IF($A5&lt;Setup!$C$9,"",SUMIFS('Daily Log'!$F$4:$F$369,'Daily Log'!$A$4:$A$369,"&gt;="&amp;$A5,'Daily Log'!$A$4:$A$369,"&lt;="&amp;$A5+6))</f>
        <v/>
      </c>
      <c r="H5" s="50">
        <f>IF($A5&lt;Setup!$C$9,"",IFERROR(F5+G5,""))</f>
        <v/>
      </c>
      <c r="I5" s="50">
        <f>IF($A5&lt;Setup!$C$9,"",SUMIFS('Daily Log'!$G$4:$G$369,'Daily Log'!$A$4:$A$369,"&gt;="&amp;$A5,'Daily Log'!$A$4:$A$369,"&lt;="&amp;$A5+6))</f>
        <v/>
      </c>
      <c r="J5" s="50">
        <f>IF($A5&lt;Setup!$C$9,"",SUMIFS('Daily Log'!$H$4:$H$369,'Daily Log'!$A$4:$A$369,"&gt;="&amp;$A5,'Daily Log'!$A$4:$A$369,"&lt;="&amp;$A5+6))</f>
        <v/>
      </c>
      <c r="K5" s="50">
        <f>IF($A5&lt;Setup!$C$9,"",SUMIFS('Daily Log'!$I$4:$I$369,'Daily Log'!$A$4:$A$369,"&gt;="&amp;$A5,'Daily Log'!$A$4:$A$369,"&lt;="&amp;$A5+6))</f>
        <v/>
      </c>
      <c r="L5" s="50">
        <f>IF($A5&lt;Setup!$C$9,"",SUMIFS('Daily Log'!$J$4:$J$369,'Daily Log'!$A$4:$A$369,"&gt;="&amp;$A5,'Daily Log'!$A$4:$A$369,"&lt;="&amp;$A5+6))</f>
        <v/>
      </c>
      <c r="M5" s="50">
        <f>IF($A5&lt;Setup!$C$9,"",SUMIFS('Daily Log'!$K$4:$K$369,'Daily Log'!$A$4:$A$369,"&gt;="&amp;$A5,'Daily Log'!$A$4:$A$369,"&lt;="&amp;$A5+6))</f>
        <v/>
      </c>
      <c r="N5" s="56">
        <f>IF($A5&lt;Setup!$C$9,"",SUMIFS('Daily Log'!$L$4:$L$369,'Daily Log'!$A$4:$A$369,"&gt;="&amp;$A5,'Daily Log'!$A$4:$A$369,"&lt;="&amp;$A5+6))</f>
        <v/>
      </c>
      <c r="O5" s="56">
        <f>IF($A5&lt;Setup!$C$9,"",SUMIFS('Daily Log'!$M$4:$M$369,'Daily Log'!$A$4:$A$369,"&gt;="&amp;$A5,'Daily Log'!$A$4:$A$369,"&lt;="&amp;$A5+6))</f>
        <v/>
      </c>
      <c r="P5" s="59">
        <f>IFERROR(I5/H5,"")</f>
        <v/>
      </c>
      <c r="Q5" s="59">
        <f>IFERROR(J5/I5,"")</f>
        <v/>
      </c>
      <c r="R5" s="59">
        <f>IFERROR(K5/J5,"")</f>
        <v/>
      </c>
      <c r="S5" s="59">
        <f>IFERROR(L5/K5,"")</f>
        <v/>
      </c>
      <c r="T5" s="59">
        <f>IFERROR(M5/L5,"")</f>
        <v/>
      </c>
    </row>
    <row r="6">
      <c r="A6" s="96">
        <f>A5+7</f>
        <v/>
      </c>
      <c r="B6" s="97">
        <f>IF(A6="","",TEXT(A6,"d mmm"))</f>
        <v/>
      </c>
      <c r="C6" s="50">
        <f>IF($A6&lt;Setup!$C$9,"",SUMIFS('Daily Log'!$Q$4:$Q$369,'Daily Log'!$A$4:$A$369,"&gt;="&amp;$A6,'Daily Log'!$A$4:$A$369,"&lt;="&amp;$A6+6))</f>
        <v/>
      </c>
      <c r="D6" s="50">
        <f>IF($A6&lt;Setup!$C$9,"",SUMIFS('Daily Log'!$C$4:$C$369,'Daily Log'!$A$4:$A$369,"&gt;="&amp;$A6,'Daily Log'!$A$4:$A$369,"&lt;="&amp;$A6+6))</f>
        <v/>
      </c>
      <c r="E6" s="50">
        <f>IF($A6&lt;Setup!$C$9,"",SUMIFS('Daily Log'!$D$4:$D$369,'Daily Log'!$A$4:$A$369,"&gt;="&amp;$A6,'Daily Log'!$A$4:$A$369,"&lt;="&amp;$A6+6))</f>
        <v/>
      </c>
      <c r="F6" s="50">
        <f>IF($A6&lt;Setup!$C$9,"",SUMIFS('Daily Log'!$E$4:$E$369,'Daily Log'!$A$4:$A$369,"&gt;="&amp;$A6,'Daily Log'!$A$4:$A$369,"&lt;="&amp;$A6+6))</f>
        <v/>
      </c>
      <c r="G6" s="50">
        <f>IF($A6&lt;Setup!$C$9,"",SUMIFS('Daily Log'!$F$4:$F$369,'Daily Log'!$A$4:$A$369,"&gt;="&amp;$A6,'Daily Log'!$A$4:$A$369,"&lt;="&amp;$A6+6))</f>
        <v/>
      </c>
      <c r="H6" s="50">
        <f>IF($A6&lt;Setup!$C$9,"",IFERROR(F6+G6,""))</f>
        <v/>
      </c>
      <c r="I6" s="50">
        <f>IF($A6&lt;Setup!$C$9,"",SUMIFS('Daily Log'!$G$4:$G$369,'Daily Log'!$A$4:$A$369,"&gt;="&amp;$A6,'Daily Log'!$A$4:$A$369,"&lt;="&amp;$A6+6))</f>
        <v/>
      </c>
      <c r="J6" s="50">
        <f>IF($A6&lt;Setup!$C$9,"",SUMIFS('Daily Log'!$H$4:$H$369,'Daily Log'!$A$4:$A$369,"&gt;="&amp;$A6,'Daily Log'!$A$4:$A$369,"&lt;="&amp;$A6+6))</f>
        <v/>
      </c>
      <c r="K6" s="50">
        <f>IF($A6&lt;Setup!$C$9,"",SUMIFS('Daily Log'!$I$4:$I$369,'Daily Log'!$A$4:$A$369,"&gt;="&amp;$A6,'Daily Log'!$A$4:$A$369,"&lt;="&amp;$A6+6))</f>
        <v/>
      </c>
      <c r="L6" s="50">
        <f>IF($A6&lt;Setup!$C$9,"",SUMIFS('Daily Log'!$J$4:$J$369,'Daily Log'!$A$4:$A$369,"&gt;="&amp;$A6,'Daily Log'!$A$4:$A$369,"&lt;="&amp;$A6+6))</f>
        <v/>
      </c>
      <c r="M6" s="50">
        <f>IF($A6&lt;Setup!$C$9,"",SUMIFS('Daily Log'!$K$4:$K$369,'Daily Log'!$A$4:$A$369,"&gt;="&amp;$A6,'Daily Log'!$A$4:$A$369,"&lt;="&amp;$A6+6))</f>
        <v/>
      </c>
      <c r="N6" s="56">
        <f>IF($A6&lt;Setup!$C$9,"",SUMIFS('Daily Log'!$L$4:$L$369,'Daily Log'!$A$4:$A$369,"&gt;="&amp;$A6,'Daily Log'!$A$4:$A$369,"&lt;="&amp;$A6+6))</f>
        <v/>
      </c>
      <c r="O6" s="56">
        <f>IF($A6&lt;Setup!$C$9,"",SUMIFS('Daily Log'!$M$4:$M$369,'Daily Log'!$A$4:$A$369,"&gt;="&amp;$A6,'Daily Log'!$A$4:$A$369,"&lt;="&amp;$A6+6))</f>
        <v/>
      </c>
      <c r="P6" s="59">
        <f>IFERROR(I6/H6,"")</f>
        <v/>
      </c>
      <c r="Q6" s="59">
        <f>IFERROR(J6/I6,"")</f>
        <v/>
      </c>
      <c r="R6" s="59">
        <f>IFERROR(K6/J6,"")</f>
        <v/>
      </c>
      <c r="S6" s="59">
        <f>IFERROR(L6/K6,"")</f>
        <v/>
      </c>
      <c r="T6" s="59">
        <f>IFERROR(M6/L6,"")</f>
        <v/>
      </c>
    </row>
    <row r="7">
      <c r="A7" s="96">
        <f>A6+7</f>
        <v/>
      </c>
      <c r="B7" s="97">
        <f>IF(A7="","",TEXT(A7,"d mmm"))</f>
        <v/>
      </c>
      <c r="C7" s="50">
        <f>IF($A7&lt;Setup!$C$9,"",SUMIFS('Daily Log'!$Q$4:$Q$369,'Daily Log'!$A$4:$A$369,"&gt;="&amp;$A7,'Daily Log'!$A$4:$A$369,"&lt;="&amp;$A7+6))</f>
        <v/>
      </c>
      <c r="D7" s="50">
        <f>IF($A7&lt;Setup!$C$9,"",SUMIFS('Daily Log'!$C$4:$C$369,'Daily Log'!$A$4:$A$369,"&gt;="&amp;$A7,'Daily Log'!$A$4:$A$369,"&lt;="&amp;$A7+6))</f>
        <v/>
      </c>
      <c r="E7" s="50">
        <f>IF($A7&lt;Setup!$C$9,"",SUMIFS('Daily Log'!$D$4:$D$369,'Daily Log'!$A$4:$A$369,"&gt;="&amp;$A7,'Daily Log'!$A$4:$A$369,"&lt;="&amp;$A7+6))</f>
        <v/>
      </c>
      <c r="F7" s="50">
        <f>IF($A7&lt;Setup!$C$9,"",SUMIFS('Daily Log'!$E$4:$E$369,'Daily Log'!$A$4:$A$369,"&gt;="&amp;$A7,'Daily Log'!$A$4:$A$369,"&lt;="&amp;$A7+6))</f>
        <v/>
      </c>
      <c r="G7" s="50">
        <f>IF($A7&lt;Setup!$C$9,"",SUMIFS('Daily Log'!$F$4:$F$369,'Daily Log'!$A$4:$A$369,"&gt;="&amp;$A7,'Daily Log'!$A$4:$A$369,"&lt;="&amp;$A7+6))</f>
        <v/>
      </c>
      <c r="H7" s="50">
        <f>IF($A7&lt;Setup!$C$9,"",IFERROR(F7+G7,""))</f>
        <v/>
      </c>
      <c r="I7" s="50">
        <f>IF($A7&lt;Setup!$C$9,"",SUMIFS('Daily Log'!$G$4:$G$369,'Daily Log'!$A$4:$A$369,"&gt;="&amp;$A7,'Daily Log'!$A$4:$A$369,"&lt;="&amp;$A7+6))</f>
        <v/>
      </c>
      <c r="J7" s="50">
        <f>IF($A7&lt;Setup!$C$9,"",SUMIFS('Daily Log'!$H$4:$H$369,'Daily Log'!$A$4:$A$369,"&gt;="&amp;$A7,'Daily Log'!$A$4:$A$369,"&lt;="&amp;$A7+6))</f>
        <v/>
      </c>
      <c r="K7" s="50">
        <f>IF($A7&lt;Setup!$C$9,"",SUMIFS('Daily Log'!$I$4:$I$369,'Daily Log'!$A$4:$A$369,"&gt;="&amp;$A7,'Daily Log'!$A$4:$A$369,"&lt;="&amp;$A7+6))</f>
        <v/>
      </c>
      <c r="L7" s="50">
        <f>IF($A7&lt;Setup!$C$9,"",SUMIFS('Daily Log'!$J$4:$J$369,'Daily Log'!$A$4:$A$369,"&gt;="&amp;$A7,'Daily Log'!$A$4:$A$369,"&lt;="&amp;$A7+6))</f>
        <v/>
      </c>
      <c r="M7" s="50">
        <f>IF($A7&lt;Setup!$C$9,"",SUMIFS('Daily Log'!$K$4:$K$369,'Daily Log'!$A$4:$A$369,"&gt;="&amp;$A7,'Daily Log'!$A$4:$A$369,"&lt;="&amp;$A7+6))</f>
        <v/>
      </c>
      <c r="N7" s="56">
        <f>IF($A7&lt;Setup!$C$9,"",SUMIFS('Daily Log'!$L$4:$L$369,'Daily Log'!$A$4:$A$369,"&gt;="&amp;$A7,'Daily Log'!$A$4:$A$369,"&lt;="&amp;$A7+6))</f>
        <v/>
      </c>
      <c r="O7" s="56">
        <f>IF($A7&lt;Setup!$C$9,"",SUMIFS('Daily Log'!$M$4:$M$369,'Daily Log'!$A$4:$A$369,"&gt;="&amp;$A7,'Daily Log'!$A$4:$A$369,"&lt;="&amp;$A7+6))</f>
        <v/>
      </c>
      <c r="P7" s="59">
        <f>IFERROR(I7/H7,"")</f>
        <v/>
      </c>
      <c r="Q7" s="59">
        <f>IFERROR(J7/I7,"")</f>
        <v/>
      </c>
      <c r="R7" s="59">
        <f>IFERROR(K7/J7,"")</f>
        <v/>
      </c>
      <c r="S7" s="59">
        <f>IFERROR(L7/K7,"")</f>
        <v/>
      </c>
      <c r="T7" s="59">
        <f>IFERROR(M7/L7,"")</f>
        <v/>
      </c>
    </row>
    <row r="8">
      <c r="A8" s="96">
        <f>A7+7</f>
        <v/>
      </c>
      <c r="B8" s="97">
        <f>IF(A8="","",TEXT(A8,"d mmm"))</f>
        <v/>
      </c>
      <c r="C8" s="50">
        <f>IF($A8&lt;Setup!$C$9,"",SUMIFS('Daily Log'!$Q$4:$Q$369,'Daily Log'!$A$4:$A$369,"&gt;="&amp;$A8,'Daily Log'!$A$4:$A$369,"&lt;="&amp;$A8+6))</f>
        <v/>
      </c>
      <c r="D8" s="50">
        <f>IF($A8&lt;Setup!$C$9,"",SUMIFS('Daily Log'!$C$4:$C$369,'Daily Log'!$A$4:$A$369,"&gt;="&amp;$A8,'Daily Log'!$A$4:$A$369,"&lt;="&amp;$A8+6))</f>
        <v/>
      </c>
      <c r="E8" s="50">
        <f>IF($A8&lt;Setup!$C$9,"",SUMIFS('Daily Log'!$D$4:$D$369,'Daily Log'!$A$4:$A$369,"&gt;="&amp;$A8,'Daily Log'!$A$4:$A$369,"&lt;="&amp;$A8+6))</f>
        <v/>
      </c>
      <c r="F8" s="50">
        <f>IF($A8&lt;Setup!$C$9,"",SUMIFS('Daily Log'!$E$4:$E$369,'Daily Log'!$A$4:$A$369,"&gt;="&amp;$A8,'Daily Log'!$A$4:$A$369,"&lt;="&amp;$A8+6))</f>
        <v/>
      </c>
      <c r="G8" s="50">
        <f>IF($A8&lt;Setup!$C$9,"",SUMIFS('Daily Log'!$F$4:$F$369,'Daily Log'!$A$4:$A$369,"&gt;="&amp;$A8,'Daily Log'!$A$4:$A$369,"&lt;="&amp;$A8+6))</f>
        <v/>
      </c>
      <c r="H8" s="50">
        <f>IF($A8&lt;Setup!$C$9,"",IFERROR(F8+G8,""))</f>
        <v/>
      </c>
      <c r="I8" s="50">
        <f>IF($A8&lt;Setup!$C$9,"",SUMIFS('Daily Log'!$G$4:$G$369,'Daily Log'!$A$4:$A$369,"&gt;="&amp;$A8,'Daily Log'!$A$4:$A$369,"&lt;="&amp;$A8+6))</f>
        <v/>
      </c>
      <c r="J8" s="50">
        <f>IF($A8&lt;Setup!$C$9,"",SUMIFS('Daily Log'!$H$4:$H$369,'Daily Log'!$A$4:$A$369,"&gt;="&amp;$A8,'Daily Log'!$A$4:$A$369,"&lt;="&amp;$A8+6))</f>
        <v/>
      </c>
      <c r="K8" s="50">
        <f>IF($A8&lt;Setup!$C$9,"",SUMIFS('Daily Log'!$I$4:$I$369,'Daily Log'!$A$4:$A$369,"&gt;="&amp;$A8,'Daily Log'!$A$4:$A$369,"&lt;="&amp;$A8+6))</f>
        <v/>
      </c>
      <c r="L8" s="50">
        <f>IF($A8&lt;Setup!$C$9,"",SUMIFS('Daily Log'!$J$4:$J$369,'Daily Log'!$A$4:$A$369,"&gt;="&amp;$A8,'Daily Log'!$A$4:$A$369,"&lt;="&amp;$A8+6))</f>
        <v/>
      </c>
      <c r="M8" s="50">
        <f>IF($A8&lt;Setup!$C$9,"",SUMIFS('Daily Log'!$K$4:$K$369,'Daily Log'!$A$4:$A$369,"&gt;="&amp;$A8,'Daily Log'!$A$4:$A$369,"&lt;="&amp;$A8+6))</f>
        <v/>
      </c>
      <c r="N8" s="56">
        <f>IF($A8&lt;Setup!$C$9,"",SUMIFS('Daily Log'!$L$4:$L$369,'Daily Log'!$A$4:$A$369,"&gt;="&amp;$A8,'Daily Log'!$A$4:$A$369,"&lt;="&amp;$A8+6))</f>
        <v/>
      </c>
      <c r="O8" s="56">
        <f>IF($A8&lt;Setup!$C$9,"",SUMIFS('Daily Log'!$M$4:$M$369,'Daily Log'!$A$4:$A$369,"&gt;="&amp;$A8,'Daily Log'!$A$4:$A$369,"&lt;="&amp;$A8+6))</f>
        <v/>
      </c>
      <c r="P8" s="59">
        <f>IFERROR(I8/H8,"")</f>
        <v/>
      </c>
      <c r="Q8" s="59">
        <f>IFERROR(J8/I8,"")</f>
        <v/>
      </c>
      <c r="R8" s="59">
        <f>IFERROR(K8/J8,"")</f>
        <v/>
      </c>
      <c r="S8" s="59">
        <f>IFERROR(L8/K8,"")</f>
        <v/>
      </c>
      <c r="T8" s="59">
        <f>IFERROR(M8/L8,"")</f>
        <v/>
      </c>
    </row>
    <row r="9">
      <c r="A9" s="96">
        <f>A8+7</f>
        <v/>
      </c>
      <c r="B9" s="97">
        <f>IF(A9="","",TEXT(A9,"d mmm"))</f>
        <v/>
      </c>
      <c r="C9" s="50">
        <f>IF($A9&lt;Setup!$C$9,"",SUMIFS('Daily Log'!$Q$4:$Q$369,'Daily Log'!$A$4:$A$369,"&gt;="&amp;$A9,'Daily Log'!$A$4:$A$369,"&lt;="&amp;$A9+6))</f>
        <v/>
      </c>
      <c r="D9" s="50">
        <f>IF($A9&lt;Setup!$C$9,"",SUMIFS('Daily Log'!$C$4:$C$369,'Daily Log'!$A$4:$A$369,"&gt;="&amp;$A9,'Daily Log'!$A$4:$A$369,"&lt;="&amp;$A9+6))</f>
        <v/>
      </c>
      <c r="E9" s="50">
        <f>IF($A9&lt;Setup!$C$9,"",SUMIFS('Daily Log'!$D$4:$D$369,'Daily Log'!$A$4:$A$369,"&gt;="&amp;$A9,'Daily Log'!$A$4:$A$369,"&lt;="&amp;$A9+6))</f>
        <v/>
      </c>
      <c r="F9" s="50">
        <f>IF($A9&lt;Setup!$C$9,"",SUMIFS('Daily Log'!$E$4:$E$369,'Daily Log'!$A$4:$A$369,"&gt;="&amp;$A9,'Daily Log'!$A$4:$A$369,"&lt;="&amp;$A9+6))</f>
        <v/>
      </c>
      <c r="G9" s="50">
        <f>IF($A9&lt;Setup!$C$9,"",SUMIFS('Daily Log'!$F$4:$F$369,'Daily Log'!$A$4:$A$369,"&gt;="&amp;$A9,'Daily Log'!$A$4:$A$369,"&lt;="&amp;$A9+6))</f>
        <v/>
      </c>
      <c r="H9" s="50">
        <f>IF($A9&lt;Setup!$C$9,"",IFERROR(F9+G9,""))</f>
        <v/>
      </c>
      <c r="I9" s="50">
        <f>IF($A9&lt;Setup!$C$9,"",SUMIFS('Daily Log'!$G$4:$G$369,'Daily Log'!$A$4:$A$369,"&gt;="&amp;$A9,'Daily Log'!$A$4:$A$369,"&lt;="&amp;$A9+6))</f>
        <v/>
      </c>
      <c r="J9" s="50">
        <f>IF($A9&lt;Setup!$C$9,"",SUMIFS('Daily Log'!$H$4:$H$369,'Daily Log'!$A$4:$A$369,"&gt;="&amp;$A9,'Daily Log'!$A$4:$A$369,"&lt;="&amp;$A9+6))</f>
        <v/>
      </c>
      <c r="K9" s="50">
        <f>IF($A9&lt;Setup!$C$9,"",SUMIFS('Daily Log'!$I$4:$I$369,'Daily Log'!$A$4:$A$369,"&gt;="&amp;$A9,'Daily Log'!$A$4:$A$369,"&lt;="&amp;$A9+6))</f>
        <v/>
      </c>
      <c r="L9" s="50">
        <f>IF($A9&lt;Setup!$C$9,"",SUMIFS('Daily Log'!$J$4:$J$369,'Daily Log'!$A$4:$A$369,"&gt;="&amp;$A9,'Daily Log'!$A$4:$A$369,"&lt;="&amp;$A9+6))</f>
        <v/>
      </c>
      <c r="M9" s="50">
        <f>IF($A9&lt;Setup!$C$9,"",SUMIFS('Daily Log'!$K$4:$K$369,'Daily Log'!$A$4:$A$369,"&gt;="&amp;$A9,'Daily Log'!$A$4:$A$369,"&lt;="&amp;$A9+6))</f>
        <v/>
      </c>
      <c r="N9" s="56">
        <f>IF($A9&lt;Setup!$C$9,"",SUMIFS('Daily Log'!$L$4:$L$369,'Daily Log'!$A$4:$A$369,"&gt;="&amp;$A9,'Daily Log'!$A$4:$A$369,"&lt;="&amp;$A9+6))</f>
        <v/>
      </c>
      <c r="O9" s="56">
        <f>IF($A9&lt;Setup!$C$9,"",SUMIFS('Daily Log'!$M$4:$M$369,'Daily Log'!$A$4:$A$369,"&gt;="&amp;$A9,'Daily Log'!$A$4:$A$369,"&lt;="&amp;$A9+6))</f>
        <v/>
      </c>
      <c r="P9" s="59">
        <f>IFERROR(I9/H9,"")</f>
        <v/>
      </c>
      <c r="Q9" s="59">
        <f>IFERROR(J9/I9,"")</f>
        <v/>
      </c>
      <c r="R9" s="59">
        <f>IFERROR(K9/J9,"")</f>
        <v/>
      </c>
      <c r="S9" s="59">
        <f>IFERROR(L9/K9,"")</f>
        <v/>
      </c>
      <c r="T9" s="59">
        <f>IFERROR(M9/L9,"")</f>
        <v/>
      </c>
    </row>
    <row r="10">
      <c r="A10" s="96">
        <f>A9+7</f>
        <v/>
      </c>
      <c r="B10" s="97">
        <f>IF(A10="","",TEXT(A10,"d mmm"))</f>
        <v/>
      </c>
      <c r="C10" s="50">
        <f>IF($A10&lt;Setup!$C$9,"",SUMIFS('Daily Log'!$Q$4:$Q$369,'Daily Log'!$A$4:$A$369,"&gt;="&amp;$A10,'Daily Log'!$A$4:$A$369,"&lt;="&amp;$A10+6))</f>
        <v/>
      </c>
      <c r="D10" s="50">
        <f>IF($A10&lt;Setup!$C$9,"",SUMIFS('Daily Log'!$C$4:$C$369,'Daily Log'!$A$4:$A$369,"&gt;="&amp;$A10,'Daily Log'!$A$4:$A$369,"&lt;="&amp;$A10+6))</f>
        <v/>
      </c>
      <c r="E10" s="50">
        <f>IF($A10&lt;Setup!$C$9,"",SUMIFS('Daily Log'!$D$4:$D$369,'Daily Log'!$A$4:$A$369,"&gt;="&amp;$A10,'Daily Log'!$A$4:$A$369,"&lt;="&amp;$A10+6))</f>
        <v/>
      </c>
      <c r="F10" s="50">
        <f>IF($A10&lt;Setup!$C$9,"",SUMIFS('Daily Log'!$E$4:$E$369,'Daily Log'!$A$4:$A$369,"&gt;="&amp;$A10,'Daily Log'!$A$4:$A$369,"&lt;="&amp;$A10+6))</f>
        <v/>
      </c>
      <c r="G10" s="50">
        <f>IF($A10&lt;Setup!$C$9,"",SUMIFS('Daily Log'!$F$4:$F$369,'Daily Log'!$A$4:$A$369,"&gt;="&amp;$A10,'Daily Log'!$A$4:$A$369,"&lt;="&amp;$A10+6))</f>
        <v/>
      </c>
      <c r="H10" s="50">
        <f>IF($A10&lt;Setup!$C$9,"",IFERROR(F10+G10,""))</f>
        <v/>
      </c>
      <c r="I10" s="50">
        <f>IF($A10&lt;Setup!$C$9,"",SUMIFS('Daily Log'!$G$4:$G$369,'Daily Log'!$A$4:$A$369,"&gt;="&amp;$A10,'Daily Log'!$A$4:$A$369,"&lt;="&amp;$A10+6))</f>
        <v/>
      </c>
      <c r="J10" s="50">
        <f>IF($A10&lt;Setup!$C$9,"",SUMIFS('Daily Log'!$H$4:$H$369,'Daily Log'!$A$4:$A$369,"&gt;="&amp;$A10,'Daily Log'!$A$4:$A$369,"&lt;="&amp;$A10+6))</f>
        <v/>
      </c>
      <c r="K10" s="50">
        <f>IF($A10&lt;Setup!$C$9,"",SUMIFS('Daily Log'!$I$4:$I$369,'Daily Log'!$A$4:$A$369,"&gt;="&amp;$A10,'Daily Log'!$A$4:$A$369,"&lt;="&amp;$A10+6))</f>
        <v/>
      </c>
      <c r="L10" s="50">
        <f>IF($A10&lt;Setup!$C$9,"",SUMIFS('Daily Log'!$J$4:$J$369,'Daily Log'!$A$4:$A$369,"&gt;="&amp;$A10,'Daily Log'!$A$4:$A$369,"&lt;="&amp;$A10+6))</f>
        <v/>
      </c>
      <c r="M10" s="50">
        <f>IF($A10&lt;Setup!$C$9,"",SUMIFS('Daily Log'!$K$4:$K$369,'Daily Log'!$A$4:$A$369,"&gt;="&amp;$A10,'Daily Log'!$A$4:$A$369,"&lt;="&amp;$A10+6))</f>
        <v/>
      </c>
      <c r="N10" s="56">
        <f>IF($A10&lt;Setup!$C$9,"",SUMIFS('Daily Log'!$L$4:$L$369,'Daily Log'!$A$4:$A$369,"&gt;="&amp;$A10,'Daily Log'!$A$4:$A$369,"&lt;="&amp;$A10+6))</f>
        <v/>
      </c>
      <c r="O10" s="56">
        <f>IF($A10&lt;Setup!$C$9,"",SUMIFS('Daily Log'!$M$4:$M$369,'Daily Log'!$A$4:$A$369,"&gt;="&amp;$A10,'Daily Log'!$A$4:$A$369,"&lt;="&amp;$A10+6))</f>
        <v/>
      </c>
      <c r="P10" s="59">
        <f>IFERROR(I10/H10,"")</f>
        <v/>
      </c>
      <c r="Q10" s="59">
        <f>IFERROR(J10/I10,"")</f>
        <v/>
      </c>
      <c r="R10" s="59">
        <f>IFERROR(K10/J10,"")</f>
        <v/>
      </c>
      <c r="S10" s="59">
        <f>IFERROR(L10/K10,"")</f>
        <v/>
      </c>
      <c r="T10" s="59">
        <f>IFERROR(M10/L10,"")</f>
        <v/>
      </c>
    </row>
    <row r="11">
      <c r="A11" s="96">
        <f>A10+7</f>
        <v/>
      </c>
      <c r="B11" s="97">
        <f>IF(A11="","",TEXT(A11,"d mmm"))</f>
        <v/>
      </c>
      <c r="C11" s="50">
        <f>IF($A11&lt;Setup!$C$9,"",SUMIFS('Daily Log'!$Q$4:$Q$369,'Daily Log'!$A$4:$A$369,"&gt;="&amp;$A11,'Daily Log'!$A$4:$A$369,"&lt;="&amp;$A11+6))</f>
        <v/>
      </c>
      <c r="D11" s="50">
        <f>IF($A11&lt;Setup!$C$9,"",SUMIFS('Daily Log'!$C$4:$C$369,'Daily Log'!$A$4:$A$369,"&gt;="&amp;$A11,'Daily Log'!$A$4:$A$369,"&lt;="&amp;$A11+6))</f>
        <v/>
      </c>
      <c r="E11" s="50">
        <f>IF($A11&lt;Setup!$C$9,"",SUMIFS('Daily Log'!$D$4:$D$369,'Daily Log'!$A$4:$A$369,"&gt;="&amp;$A11,'Daily Log'!$A$4:$A$369,"&lt;="&amp;$A11+6))</f>
        <v/>
      </c>
      <c r="F11" s="50">
        <f>IF($A11&lt;Setup!$C$9,"",SUMIFS('Daily Log'!$E$4:$E$369,'Daily Log'!$A$4:$A$369,"&gt;="&amp;$A11,'Daily Log'!$A$4:$A$369,"&lt;="&amp;$A11+6))</f>
        <v/>
      </c>
      <c r="G11" s="50">
        <f>IF($A11&lt;Setup!$C$9,"",SUMIFS('Daily Log'!$F$4:$F$369,'Daily Log'!$A$4:$A$369,"&gt;="&amp;$A11,'Daily Log'!$A$4:$A$369,"&lt;="&amp;$A11+6))</f>
        <v/>
      </c>
      <c r="H11" s="50">
        <f>IF($A11&lt;Setup!$C$9,"",IFERROR(F11+G11,""))</f>
        <v/>
      </c>
      <c r="I11" s="50">
        <f>IF($A11&lt;Setup!$C$9,"",SUMIFS('Daily Log'!$G$4:$G$369,'Daily Log'!$A$4:$A$369,"&gt;="&amp;$A11,'Daily Log'!$A$4:$A$369,"&lt;="&amp;$A11+6))</f>
        <v/>
      </c>
      <c r="J11" s="50">
        <f>IF($A11&lt;Setup!$C$9,"",SUMIFS('Daily Log'!$H$4:$H$369,'Daily Log'!$A$4:$A$369,"&gt;="&amp;$A11,'Daily Log'!$A$4:$A$369,"&lt;="&amp;$A11+6))</f>
        <v/>
      </c>
      <c r="K11" s="50">
        <f>IF($A11&lt;Setup!$C$9,"",SUMIFS('Daily Log'!$I$4:$I$369,'Daily Log'!$A$4:$A$369,"&gt;="&amp;$A11,'Daily Log'!$A$4:$A$369,"&lt;="&amp;$A11+6))</f>
        <v/>
      </c>
      <c r="L11" s="50">
        <f>IF($A11&lt;Setup!$C$9,"",SUMIFS('Daily Log'!$J$4:$J$369,'Daily Log'!$A$4:$A$369,"&gt;="&amp;$A11,'Daily Log'!$A$4:$A$369,"&lt;="&amp;$A11+6))</f>
        <v/>
      </c>
      <c r="M11" s="50">
        <f>IF($A11&lt;Setup!$C$9,"",SUMIFS('Daily Log'!$K$4:$K$369,'Daily Log'!$A$4:$A$369,"&gt;="&amp;$A11,'Daily Log'!$A$4:$A$369,"&lt;="&amp;$A11+6))</f>
        <v/>
      </c>
      <c r="N11" s="56">
        <f>IF($A11&lt;Setup!$C$9,"",SUMIFS('Daily Log'!$L$4:$L$369,'Daily Log'!$A$4:$A$369,"&gt;="&amp;$A11,'Daily Log'!$A$4:$A$369,"&lt;="&amp;$A11+6))</f>
        <v/>
      </c>
      <c r="O11" s="56">
        <f>IF($A11&lt;Setup!$C$9,"",SUMIFS('Daily Log'!$M$4:$M$369,'Daily Log'!$A$4:$A$369,"&gt;="&amp;$A11,'Daily Log'!$A$4:$A$369,"&lt;="&amp;$A11+6))</f>
        <v/>
      </c>
      <c r="P11" s="59">
        <f>IFERROR(I11/H11,"")</f>
        <v/>
      </c>
      <c r="Q11" s="59">
        <f>IFERROR(J11/I11,"")</f>
        <v/>
      </c>
      <c r="R11" s="59">
        <f>IFERROR(K11/J11,"")</f>
        <v/>
      </c>
      <c r="S11" s="59">
        <f>IFERROR(L11/K11,"")</f>
        <v/>
      </c>
      <c r="T11" s="59">
        <f>IFERROR(M11/L11,"")</f>
        <v/>
      </c>
    </row>
    <row r="12">
      <c r="A12" s="96">
        <f>A11+7</f>
        <v/>
      </c>
      <c r="B12" s="97">
        <f>IF(A12="","",TEXT(A12,"d mmm"))</f>
        <v/>
      </c>
      <c r="C12" s="50">
        <f>IF($A12&lt;Setup!$C$9,"",SUMIFS('Daily Log'!$Q$4:$Q$369,'Daily Log'!$A$4:$A$369,"&gt;="&amp;$A12,'Daily Log'!$A$4:$A$369,"&lt;="&amp;$A12+6))</f>
        <v/>
      </c>
      <c r="D12" s="50">
        <f>IF($A12&lt;Setup!$C$9,"",SUMIFS('Daily Log'!$C$4:$C$369,'Daily Log'!$A$4:$A$369,"&gt;="&amp;$A12,'Daily Log'!$A$4:$A$369,"&lt;="&amp;$A12+6))</f>
        <v/>
      </c>
      <c r="E12" s="50">
        <f>IF($A12&lt;Setup!$C$9,"",SUMIFS('Daily Log'!$D$4:$D$369,'Daily Log'!$A$4:$A$369,"&gt;="&amp;$A12,'Daily Log'!$A$4:$A$369,"&lt;="&amp;$A12+6))</f>
        <v/>
      </c>
      <c r="F12" s="50">
        <f>IF($A12&lt;Setup!$C$9,"",SUMIFS('Daily Log'!$E$4:$E$369,'Daily Log'!$A$4:$A$369,"&gt;="&amp;$A12,'Daily Log'!$A$4:$A$369,"&lt;="&amp;$A12+6))</f>
        <v/>
      </c>
      <c r="G12" s="50">
        <f>IF($A12&lt;Setup!$C$9,"",SUMIFS('Daily Log'!$F$4:$F$369,'Daily Log'!$A$4:$A$369,"&gt;="&amp;$A12,'Daily Log'!$A$4:$A$369,"&lt;="&amp;$A12+6))</f>
        <v/>
      </c>
      <c r="H12" s="50">
        <f>IF($A12&lt;Setup!$C$9,"",IFERROR(F12+G12,""))</f>
        <v/>
      </c>
      <c r="I12" s="50">
        <f>IF($A12&lt;Setup!$C$9,"",SUMIFS('Daily Log'!$G$4:$G$369,'Daily Log'!$A$4:$A$369,"&gt;="&amp;$A12,'Daily Log'!$A$4:$A$369,"&lt;="&amp;$A12+6))</f>
        <v/>
      </c>
      <c r="J12" s="50">
        <f>IF($A12&lt;Setup!$C$9,"",SUMIFS('Daily Log'!$H$4:$H$369,'Daily Log'!$A$4:$A$369,"&gt;="&amp;$A12,'Daily Log'!$A$4:$A$369,"&lt;="&amp;$A12+6))</f>
        <v/>
      </c>
      <c r="K12" s="50">
        <f>IF($A12&lt;Setup!$C$9,"",SUMIFS('Daily Log'!$I$4:$I$369,'Daily Log'!$A$4:$A$369,"&gt;="&amp;$A12,'Daily Log'!$A$4:$A$369,"&lt;="&amp;$A12+6))</f>
        <v/>
      </c>
      <c r="L12" s="50">
        <f>IF($A12&lt;Setup!$C$9,"",SUMIFS('Daily Log'!$J$4:$J$369,'Daily Log'!$A$4:$A$369,"&gt;="&amp;$A12,'Daily Log'!$A$4:$A$369,"&lt;="&amp;$A12+6))</f>
        <v/>
      </c>
      <c r="M12" s="50">
        <f>IF($A12&lt;Setup!$C$9,"",SUMIFS('Daily Log'!$K$4:$K$369,'Daily Log'!$A$4:$A$369,"&gt;="&amp;$A12,'Daily Log'!$A$4:$A$369,"&lt;="&amp;$A12+6))</f>
        <v/>
      </c>
      <c r="N12" s="56">
        <f>IF($A12&lt;Setup!$C$9,"",SUMIFS('Daily Log'!$L$4:$L$369,'Daily Log'!$A$4:$A$369,"&gt;="&amp;$A12,'Daily Log'!$A$4:$A$369,"&lt;="&amp;$A12+6))</f>
        <v/>
      </c>
      <c r="O12" s="56">
        <f>IF($A12&lt;Setup!$C$9,"",SUMIFS('Daily Log'!$M$4:$M$369,'Daily Log'!$A$4:$A$369,"&gt;="&amp;$A12,'Daily Log'!$A$4:$A$369,"&lt;="&amp;$A12+6))</f>
        <v/>
      </c>
      <c r="P12" s="59">
        <f>IFERROR(I12/H12,"")</f>
        <v/>
      </c>
      <c r="Q12" s="59">
        <f>IFERROR(J12/I12,"")</f>
        <v/>
      </c>
      <c r="R12" s="59">
        <f>IFERROR(K12/J12,"")</f>
        <v/>
      </c>
      <c r="S12" s="59">
        <f>IFERROR(L12/K12,"")</f>
        <v/>
      </c>
      <c r="T12" s="59">
        <f>IFERROR(M12/L12,"")</f>
        <v/>
      </c>
    </row>
    <row r="13">
      <c r="A13" s="96">
        <f>A12+7</f>
        <v/>
      </c>
      <c r="B13" s="97">
        <f>IF(A13="","",TEXT(A13,"d mmm"))</f>
        <v/>
      </c>
      <c r="C13" s="50">
        <f>IF($A13&lt;Setup!$C$9,"",SUMIFS('Daily Log'!$Q$4:$Q$369,'Daily Log'!$A$4:$A$369,"&gt;="&amp;$A13,'Daily Log'!$A$4:$A$369,"&lt;="&amp;$A13+6))</f>
        <v/>
      </c>
      <c r="D13" s="50">
        <f>IF($A13&lt;Setup!$C$9,"",SUMIFS('Daily Log'!$C$4:$C$369,'Daily Log'!$A$4:$A$369,"&gt;="&amp;$A13,'Daily Log'!$A$4:$A$369,"&lt;="&amp;$A13+6))</f>
        <v/>
      </c>
      <c r="E13" s="50">
        <f>IF($A13&lt;Setup!$C$9,"",SUMIFS('Daily Log'!$D$4:$D$369,'Daily Log'!$A$4:$A$369,"&gt;="&amp;$A13,'Daily Log'!$A$4:$A$369,"&lt;="&amp;$A13+6))</f>
        <v/>
      </c>
      <c r="F13" s="50">
        <f>IF($A13&lt;Setup!$C$9,"",SUMIFS('Daily Log'!$E$4:$E$369,'Daily Log'!$A$4:$A$369,"&gt;="&amp;$A13,'Daily Log'!$A$4:$A$369,"&lt;="&amp;$A13+6))</f>
        <v/>
      </c>
      <c r="G13" s="50">
        <f>IF($A13&lt;Setup!$C$9,"",SUMIFS('Daily Log'!$F$4:$F$369,'Daily Log'!$A$4:$A$369,"&gt;="&amp;$A13,'Daily Log'!$A$4:$A$369,"&lt;="&amp;$A13+6))</f>
        <v/>
      </c>
      <c r="H13" s="50">
        <f>IF($A13&lt;Setup!$C$9,"",IFERROR(F13+G13,""))</f>
        <v/>
      </c>
      <c r="I13" s="50">
        <f>IF($A13&lt;Setup!$C$9,"",SUMIFS('Daily Log'!$G$4:$G$369,'Daily Log'!$A$4:$A$369,"&gt;="&amp;$A13,'Daily Log'!$A$4:$A$369,"&lt;="&amp;$A13+6))</f>
        <v/>
      </c>
      <c r="J13" s="50">
        <f>IF($A13&lt;Setup!$C$9,"",SUMIFS('Daily Log'!$H$4:$H$369,'Daily Log'!$A$4:$A$369,"&gt;="&amp;$A13,'Daily Log'!$A$4:$A$369,"&lt;="&amp;$A13+6))</f>
        <v/>
      </c>
      <c r="K13" s="50">
        <f>IF($A13&lt;Setup!$C$9,"",SUMIFS('Daily Log'!$I$4:$I$369,'Daily Log'!$A$4:$A$369,"&gt;="&amp;$A13,'Daily Log'!$A$4:$A$369,"&lt;="&amp;$A13+6))</f>
        <v/>
      </c>
      <c r="L13" s="50">
        <f>IF($A13&lt;Setup!$C$9,"",SUMIFS('Daily Log'!$J$4:$J$369,'Daily Log'!$A$4:$A$369,"&gt;="&amp;$A13,'Daily Log'!$A$4:$A$369,"&lt;="&amp;$A13+6))</f>
        <v/>
      </c>
      <c r="M13" s="50">
        <f>IF($A13&lt;Setup!$C$9,"",SUMIFS('Daily Log'!$K$4:$K$369,'Daily Log'!$A$4:$A$369,"&gt;="&amp;$A13,'Daily Log'!$A$4:$A$369,"&lt;="&amp;$A13+6))</f>
        <v/>
      </c>
      <c r="N13" s="56">
        <f>IF($A13&lt;Setup!$C$9,"",SUMIFS('Daily Log'!$L$4:$L$369,'Daily Log'!$A$4:$A$369,"&gt;="&amp;$A13,'Daily Log'!$A$4:$A$369,"&lt;="&amp;$A13+6))</f>
        <v/>
      </c>
      <c r="O13" s="56">
        <f>IF($A13&lt;Setup!$C$9,"",SUMIFS('Daily Log'!$M$4:$M$369,'Daily Log'!$A$4:$A$369,"&gt;="&amp;$A13,'Daily Log'!$A$4:$A$369,"&lt;="&amp;$A13+6))</f>
        <v/>
      </c>
      <c r="P13" s="59">
        <f>IFERROR(I13/H13,"")</f>
        <v/>
      </c>
      <c r="Q13" s="59">
        <f>IFERROR(J13/I13,"")</f>
        <v/>
      </c>
      <c r="R13" s="59">
        <f>IFERROR(K13/J13,"")</f>
        <v/>
      </c>
      <c r="S13" s="59">
        <f>IFERROR(L13/K13,"")</f>
        <v/>
      </c>
      <c r="T13" s="59">
        <f>IFERROR(M13/L13,"")</f>
        <v/>
      </c>
    </row>
    <row r="14">
      <c r="A14" s="96">
        <f>A13+7</f>
        <v/>
      </c>
      <c r="B14" s="97">
        <f>IF(A14="","",TEXT(A14,"d mmm"))</f>
        <v/>
      </c>
      <c r="C14" s="50">
        <f>IF($A14&lt;Setup!$C$9,"",SUMIFS('Daily Log'!$Q$4:$Q$369,'Daily Log'!$A$4:$A$369,"&gt;="&amp;$A14,'Daily Log'!$A$4:$A$369,"&lt;="&amp;$A14+6))</f>
        <v/>
      </c>
      <c r="D14" s="50">
        <f>IF($A14&lt;Setup!$C$9,"",SUMIFS('Daily Log'!$C$4:$C$369,'Daily Log'!$A$4:$A$369,"&gt;="&amp;$A14,'Daily Log'!$A$4:$A$369,"&lt;="&amp;$A14+6))</f>
        <v/>
      </c>
      <c r="E14" s="50">
        <f>IF($A14&lt;Setup!$C$9,"",SUMIFS('Daily Log'!$D$4:$D$369,'Daily Log'!$A$4:$A$369,"&gt;="&amp;$A14,'Daily Log'!$A$4:$A$369,"&lt;="&amp;$A14+6))</f>
        <v/>
      </c>
      <c r="F14" s="50">
        <f>IF($A14&lt;Setup!$C$9,"",SUMIFS('Daily Log'!$E$4:$E$369,'Daily Log'!$A$4:$A$369,"&gt;="&amp;$A14,'Daily Log'!$A$4:$A$369,"&lt;="&amp;$A14+6))</f>
        <v/>
      </c>
      <c r="G14" s="50">
        <f>IF($A14&lt;Setup!$C$9,"",SUMIFS('Daily Log'!$F$4:$F$369,'Daily Log'!$A$4:$A$369,"&gt;="&amp;$A14,'Daily Log'!$A$4:$A$369,"&lt;="&amp;$A14+6))</f>
        <v/>
      </c>
      <c r="H14" s="50">
        <f>IF($A14&lt;Setup!$C$9,"",IFERROR(F14+G14,""))</f>
        <v/>
      </c>
      <c r="I14" s="50">
        <f>IF($A14&lt;Setup!$C$9,"",SUMIFS('Daily Log'!$G$4:$G$369,'Daily Log'!$A$4:$A$369,"&gt;="&amp;$A14,'Daily Log'!$A$4:$A$369,"&lt;="&amp;$A14+6))</f>
        <v/>
      </c>
      <c r="J14" s="50">
        <f>IF($A14&lt;Setup!$C$9,"",SUMIFS('Daily Log'!$H$4:$H$369,'Daily Log'!$A$4:$A$369,"&gt;="&amp;$A14,'Daily Log'!$A$4:$A$369,"&lt;="&amp;$A14+6))</f>
        <v/>
      </c>
      <c r="K14" s="50">
        <f>IF($A14&lt;Setup!$C$9,"",SUMIFS('Daily Log'!$I$4:$I$369,'Daily Log'!$A$4:$A$369,"&gt;="&amp;$A14,'Daily Log'!$A$4:$A$369,"&lt;="&amp;$A14+6))</f>
        <v/>
      </c>
      <c r="L14" s="50">
        <f>IF($A14&lt;Setup!$C$9,"",SUMIFS('Daily Log'!$J$4:$J$369,'Daily Log'!$A$4:$A$369,"&gt;="&amp;$A14,'Daily Log'!$A$4:$A$369,"&lt;="&amp;$A14+6))</f>
        <v/>
      </c>
      <c r="M14" s="50">
        <f>IF($A14&lt;Setup!$C$9,"",SUMIFS('Daily Log'!$K$4:$K$369,'Daily Log'!$A$4:$A$369,"&gt;="&amp;$A14,'Daily Log'!$A$4:$A$369,"&lt;="&amp;$A14+6))</f>
        <v/>
      </c>
      <c r="N14" s="56">
        <f>IF($A14&lt;Setup!$C$9,"",SUMIFS('Daily Log'!$L$4:$L$369,'Daily Log'!$A$4:$A$369,"&gt;="&amp;$A14,'Daily Log'!$A$4:$A$369,"&lt;="&amp;$A14+6))</f>
        <v/>
      </c>
      <c r="O14" s="56">
        <f>IF($A14&lt;Setup!$C$9,"",SUMIFS('Daily Log'!$M$4:$M$369,'Daily Log'!$A$4:$A$369,"&gt;="&amp;$A14,'Daily Log'!$A$4:$A$369,"&lt;="&amp;$A14+6))</f>
        <v/>
      </c>
      <c r="P14" s="59">
        <f>IFERROR(I14/H14,"")</f>
        <v/>
      </c>
      <c r="Q14" s="59">
        <f>IFERROR(J14/I14,"")</f>
        <v/>
      </c>
      <c r="R14" s="59">
        <f>IFERROR(K14/J14,"")</f>
        <v/>
      </c>
      <c r="S14" s="59">
        <f>IFERROR(L14/K14,"")</f>
        <v/>
      </c>
      <c r="T14" s="59">
        <f>IFERROR(M14/L14,"")</f>
        <v/>
      </c>
    </row>
    <row r="15">
      <c r="A15" s="96">
        <f>A14+7</f>
        <v/>
      </c>
      <c r="B15" s="97">
        <f>IF(A15="","",TEXT(A15,"d mmm"))</f>
        <v/>
      </c>
      <c r="C15" s="50">
        <f>IF($A15&lt;Setup!$C$9,"",SUMIFS('Daily Log'!$Q$4:$Q$369,'Daily Log'!$A$4:$A$369,"&gt;="&amp;$A15,'Daily Log'!$A$4:$A$369,"&lt;="&amp;$A15+6))</f>
        <v/>
      </c>
      <c r="D15" s="50">
        <f>IF($A15&lt;Setup!$C$9,"",SUMIFS('Daily Log'!$C$4:$C$369,'Daily Log'!$A$4:$A$369,"&gt;="&amp;$A15,'Daily Log'!$A$4:$A$369,"&lt;="&amp;$A15+6))</f>
        <v/>
      </c>
      <c r="E15" s="50">
        <f>IF($A15&lt;Setup!$C$9,"",SUMIFS('Daily Log'!$D$4:$D$369,'Daily Log'!$A$4:$A$369,"&gt;="&amp;$A15,'Daily Log'!$A$4:$A$369,"&lt;="&amp;$A15+6))</f>
        <v/>
      </c>
      <c r="F15" s="50">
        <f>IF($A15&lt;Setup!$C$9,"",SUMIFS('Daily Log'!$E$4:$E$369,'Daily Log'!$A$4:$A$369,"&gt;="&amp;$A15,'Daily Log'!$A$4:$A$369,"&lt;="&amp;$A15+6))</f>
        <v/>
      </c>
      <c r="G15" s="50">
        <f>IF($A15&lt;Setup!$C$9,"",SUMIFS('Daily Log'!$F$4:$F$369,'Daily Log'!$A$4:$A$369,"&gt;="&amp;$A15,'Daily Log'!$A$4:$A$369,"&lt;="&amp;$A15+6))</f>
        <v/>
      </c>
      <c r="H15" s="50">
        <f>IF($A15&lt;Setup!$C$9,"",IFERROR(F15+G15,""))</f>
        <v/>
      </c>
      <c r="I15" s="50">
        <f>IF($A15&lt;Setup!$C$9,"",SUMIFS('Daily Log'!$G$4:$G$369,'Daily Log'!$A$4:$A$369,"&gt;="&amp;$A15,'Daily Log'!$A$4:$A$369,"&lt;="&amp;$A15+6))</f>
        <v/>
      </c>
      <c r="J15" s="50">
        <f>IF($A15&lt;Setup!$C$9,"",SUMIFS('Daily Log'!$H$4:$H$369,'Daily Log'!$A$4:$A$369,"&gt;="&amp;$A15,'Daily Log'!$A$4:$A$369,"&lt;="&amp;$A15+6))</f>
        <v/>
      </c>
      <c r="K15" s="50">
        <f>IF($A15&lt;Setup!$C$9,"",SUMIFS('Daily Log'!$I$4:$I$369,'Daily Log'!$A$4:$A$369,"&gt;="&amp;$A15,'Daily Log'!$A$4:$A$369,"&lt;="&amp;$A15+6))</f>
        <v/>
      </c>
      <c r="L15" s="50">
        <f>IF($A15&lt;Setup!$C$9,"",SUMIFS('Daily Log'!$J$4:$J$369,'Daily Log'!$A$4:$A$369,"&gt;="&amp;$A15,'Daily Log'!$A$4:$A$369,"&lt;="&amp;$A15+6))</f>
        <v/>
      </c>
      <c r="M15" s="50">
        <f>IF($A15&lt;Setup!$C$9,"",SUMIFS('Daily Log'!$K$4:$K$369,'Daily Log'!$A$4:$A$369,"&gt;="&amp;$A15,'Daily Log'!$A$4:$A$369,"&lt;="&amp;$A15+6))</f>
        <v/>
      </c>
      <c r="N15" s="56">
        <f>IF($A15&lt;Setup!$C$9,"",SUMIFS('Daily Log'!$L$4:$L$369,'Daily Log'!$A$4:$A$369,"&gt;="&amp;$A15,'Daily Log'!$A$4:$A$369,"&lt;="&amp;$A15+6))</f>
        <v/>
      </c>
      <c r="O15" s="56">
        <f>IF($A15&lt;Setup!$C$9,"",SUMIFS('Daily Log'!$M$4:$M$369,'Daily Log'!$A$4:$A$369,"&gt;="&amp;$A15,'Daily Log'!$A$4:$A$369,"&lt;="&amp;$A15+6))</f>
        <v/>
      </c>
      <c r="P15" s="59">
        <f>IFERROR(I15/H15,"")</f>
        <v/>
      </c>
      <c r="Q15" s="59">
        <f>IFERROR(J15/I15,"")</f>
        <v/>
      </c>
      <c r="R15" s="59">
        <f>IFERROR(K15/J15,"")</f>
        <v/>
      </c>
      <c r="S15" s="59">
        <f>IFERROR(L15/K15,"")</f>
        <v/>
      </c>
      <c r="T15" s="59">
        <f>IFERROR(M15/L15,"")</f>
        <v/>
      </c>
    </row>
    <row r="16">
      <c r="A16" s="96">
        <f>A15+7</f>
        <v/>
      </c>
      <c r="B16" s="97">
        <f>IF(A16="","",TEXT(A16,"d mmm"))</f>
        <v/>
      </c>
      <c r="C16" s="50">
        <f>IF($A16&lt;Setup!$C$9,"",SUMIFS('Daily Log'!$Q$4:$Q$369,'Daily Log'!$A$4:$A$369,"&gt;="&amp;$A16,'Daily Log'!$A$4:$A$369,"&lt;="&amp;$A16+6))</f>
        <v/>
      </c>
      <c r="D16" s="50">
        <f>IF($A16&lt;Setup!$C$9,"",SUMIFS('Daily Log'!$C$4:$C$369,'Daily Log'!$A$4:$A$369,"&gt;="&amp;$A16,'Daily Log'!$A$4:$A$369,"&lt;="&amp;$A16+6))</f>
        <v/>
      </c>
      <c r="E16" s="50">
        <f>IF($A16&lt;Setup!$C$9,"",SUMIFS('Daily Log'!$D$4:$D$369,'Daily Log'!$A$4:$A$369,"&gt;="&amp;$A16,'Daily Log'!$A$4:$A$369,"&lt;="&amp;$A16+6))</f>
        <v/>
      </c>
      <c r="F16" s="50">
        <f>IF($A16&lt;Setup!$C$9,"",SUMIFS('Daily Log'!$E$4:$E$369,'Daily Log'!$A$4:$A$369,"&gt;="&amp;$A16,'Daily Log'!$A$4:$A$369,"&lt;="&amp;$A16+6))</f>
        <v/>
      </c>
      <c r="G16" s="50">
        <f>IF($A16&lt;Setup!$C$9,"",SUMIFS('Daily Log'!$F$4:$F$369,'Daily Log'!$A$4:$A$369,"&gt;="&amp;$A16,'Daily Log'!$A$4:$A$369,"&lt;="&amp;$A16+6))</f>
        <v/>
      </c>
      <c r="H16" s="50">
        <f>IF($A16&lt;Setup!$C$9,"",IFERROR(F16+G16,""))</f>
        <v/>
      </c>
      <c r="I16" s="50">
        <f>IF($A16&lt;Setup!$C$9,"",SUMIFS('Daily Log'!$G$4:$G$369,'Daily Log'!$A$4:$A$369,"&gt;="&amp;$A16,'Daily Log'!$A$4:$A$369,"&lt;="&amp;$A16+6))</f>
        <v/>
      </c>
      <c r="J16" s="50">
        <f>IF($A16&lt;Setup!$C$9,"",SUMIFS('Daily Log'!$H$4:$H$369,'Daily Log'!$A$4:$A$369,"&gt;="&amp;$A16,'Daily Log'!$A$4:$A$369,"&lt;="&amp;$A16+6))</f>
        <v/>
      </c>
      <c r="K16" s="50">
        <f>IF($A16&lt;Setup!$C$9,"",SUMIFS('Daily Log'!$I$4:$I$369,'Daily Log'!$A$4:$A$369,"&gt;="&amp;$A16,'Daily Log'!$A$4:$A$369,"&lt;="&amp;$A16+6))</f>
        <v/>
      </c>
      <c r="L16" s="50">
        <f>IF($A16&lt;Setup!$C$9,"",SUMIFS('Daily Log'!$J$4:$J$369,'Daily Log'!$A$4:$A$369,"&gt;="&amp;$A16,'Daily Log'!$A$4:$A$369,"&lt;="&amp;$A16+6))</f>
        <v/>
      </c>
      <c r="M16" s="50">
        <f>IF($A16&lt;Setup!$C$9,"",SUMIFS('Daily Log'!$K$4:$K$369,'Daily Log'!$A$4:$A$369,"&gt;="&amp;$A16,'Daily Log'!$A$4:$A$369,"&lt;="&amp;$A16+6))</f>
        <v/>
      </c>
      <c r="N16" s="56">
        <f>IF($A16&lt;Setup!$C$9,"",SUMIFS('Daily Log'!$L$4:$L$369,'Daily Log'!$A$4:$A$369,"&gt;="&amp;$A16,'Daily Log'!$A$4:$A$369,"&lt;="&amp;$A16+6))</f>
        <v/>
      </c>
      <c r="O16" s="56">
        <f>IF($A16&lt;Setup!$C$9,"",SUMIFS('Daily Log'!$M$4:$M$369,'Daily Log'!$A$4:$A$369,"&gt;="&amp;$A16,'Daily Log'!$A$4:$A$369,"&lt;="&amp;$A16+6))</f>
        <v/>
      </c>
      <c r="P16" s="59">
        <f>IFERROR(I16/H16,"")</f>
        <v/>
      </c>
      <c r="Q16" s="59">
        <f>IFERROR(J16/I16,"")</f>
        <v/>
      </c>
      <c r="R16" s="59">
        <f>IFERROR(K16/J16,"")</f>
        <v/>
      </c>
      <c r="S16" s="59">
        <f>IFERROR(L16/K16,"")</f>
        <v/>
      </c>
      <c r="T16" s="59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2026-09-16T21:11:09Z</dcterms:created>
  <dcterms:modified xsi:type="dcterms:W3CDTF">2026-09-16T21:11:10Z</dcterms:modified>
</cp:coreProperties>
</file>