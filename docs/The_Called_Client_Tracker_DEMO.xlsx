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Daily Log" sheetId="3" state="visible" r:id="rId3"/>
    <sheet name="KPI Dashboard" sheetId="4" state="visible" r:id="rId4"/>
    <sheet name="Instagram Tracker" sheetId="5" state="visible" r:id="rId5"/>
    <sheet name="Weekly Roll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d d mmm yyyy"/>
    <numFmt numFmtId="165" formatCode="&quot;$&quot;#,##0"/>
    <numFmt numFmtId="166" formatCode="ddd d mmm"/>
    <numFmt numFmtId="167" formatCode="0.0%"/>
    <numFmt numFmtId="168" formatCode="d mmm yyyy"/>
    <numFmt numFmtId="169" formatCode="0.0"/>
    <numFmt numFmtId="170" formatCode="+#,##0;-#,##0;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E6A62"/>
      <sz val="10"/>
    </font>
    <font>
      <name val="Arial"/>
      <b val="1"/>
      <sz val="12"/>
    </font>
    <font>
      <name val="Arial"/>
      <sz val="10"/>
    </font>
    <font>
      <name val="Arial"/>
      <b val="1"/>
      <color rgb="003A3833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color rgb="006E6A62"/>
      <sz val="10"/>
    </font>
    <font>
      <name val="Arial"/>
      <i val="1"/>
      <color rgb="006E6A62"/>
      <sz val="9"/>
    </font>
    <font>
      <name val="Arial"/>
      <color rgb="003A3833"/>
      <sz val="10"/>
    </font>
    <font>
      <name val="Arial"/>
      <b val="1"/>
      <color rgb="003A3833"/>
      <sz val="9"/>
    </font>
    <font>
      <name val="Arial"/>
      <color rgb="006E6A62"/>
      <sz val="9"/>
    </font>
    <font>
      <name val="Arial"/>
      <sz val="9"/>
    </font>
    <font>
      <name val="Arial"/>
      <color rgb="006E6A62"/>
      <sz val="8"/>
    </font>
    <font>
      <name val="Arial"/>
      <b val="1"/>
      <color rgb="00FFFFFF"/>
      <sz val="10"/>
    </font>
    <font>
      <name val="Arial"/>
      <i val="1"/>
      <color rgb="006E6A62"/>
      <sz val="8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B1916"/>
      </patternFill>
    </fill>
    <fill>
      <patternFill patternType="solid">
        <fgColor rgb="00E1DFDB"/>
      </patternFill>
    </fill>
    <fill>
      <patternFill patternType="solid">
        <fgColor rgb="00E7F0E5"/>
      </patternFill>
    </fill>
    <fill>
      <patternFill patternType="solid">
        <fgColor rgb="00FCF3E3"/>
      </patternFill>
    </fill>
    <fill>
      <patternFill patternType="solid">
        <fgColor rgb="00F2F1EF"/>
      </patternFill>
    </fill>
    <fill>
      <patternFill patternType="solid">
        <fgColor rgb="003A3833"/>
      </patternFill>
    </fill>
  </fills>
  <borders count="3">
    <border>
      <left/>
      <right/>
      <top/>
      <bottom/>
      <diagonal/>
    </border>
    <border>
      <left style="thin">
        <color rgb="00D6D3CC"/>
      </left>
      <right style="thin">
        <color rgb="00D6D3CC"/>
      </right>
      <top style="thin">
        <color rgb="00D6D3CC"/>
      </top>
      <bottom style="thin">
        <color rgb="00D6D3CC"/>
      </bottom>
    </border>
    <border>
      <left style="medium">
        <color rgb="003A3833"/>
      </left>
      <right style="medium">
        <color rgb="003A3833"/>
      </right>
      <top style="medium">
        <color rgb="003A3833"/>
      </top>
      <bottom style="medium">
        <color rgb="003A3833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indent="1"/>
    </xf>
    <xf numFmtId="0" fontId="4" fillId="0" borderId="0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0" borderId="1" applyAlignment="1" pivotButton="0" quotePrefix="0" xfId="0">
      <alignment vertical="center" wrapText="1"/>
    </xf>
    <xf numFmtId="0" fontId="5" fillId="0" borderId="1" pivotButton="0" quotePrefix="0" xfId="0"/>
    <xf numFmtId="0" fontId="8" fillId="0" borderId="1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9" fillId="0" borderId="0" pivotButton="0" quotePrefix="0" xfId="0"/>
    <xf numFmtId="0" fontId="10" fillId="5" borderId="1" pivotButton="0" quotePrefix="0" xfId="0"/>
    <xf numFmtId="0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0" fontId="11" fillId="0" borderId="0" applyAlignment="1" pivotButton="0" quotePrefix="0" xfId="0">
      <alignment horizontal="right"/>
    </xf>
    <xf numFmtId="0" fontId="11" fillId="3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 indent="1"/>
    </xf>
    <xf numFmtId="166" fontId="4" fillId="6" borderId="0" pivotButton="0" quotePrefix="0" xfId="0"/>
    <xf numFmtId="0" fontId="12" fillId="6" borderId="0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3" fillId="5" borderId="1" pivotButton="0" quotePrefix="0" xfId="0"/>
    <xf numFmtId="0" fontId="14" fillId="6" borderId="0" applyAlignment="1" pivotButton="0" quotePrefix="0" xfId="0">
      <alignment horizontal="center"/>
    </xf>
    <xf numFmtId="0" fontId="15" fillId="7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left" indent="1"/>
    </xf>
    <xf numFmtId="165" fontId="17" fillId="6" borderId="1" applyAlignment="1" pivotButton="0" quotePrefix="0" xfId="0">
      <alignment horizontal="center"/>
    </xf>
    <xf numFmtId="0" fontId="16" fillId="0" borderId="0" applyAlignment="1" pivotButton="0" quotePrefix="0" xfId="0">
      <alignment horizontal="left" indent="1"/>
    </xf>
    <xf numFmtId="168" fontId="14" fillId="0" borderId="0" applyAlignment="1" pivotButton="0" quotePrefix="0" xfId="0">
      <alignment horizontal="center"/>
    </xf>
    <xf numFmtId="9" fontId="17" fillId="6" borderId="1" applyAlignment="1" pivotButton="0" quotePrefix="0" xfId="0">
      <alignment horizontal="center"/>
    </xf>
    <xf numFmtId="3" fontId="17" fillId="6" borderId="1" applyAlignment="1" pivotButton="0" quotePrefix="0" xfId="0">
      <alignment horizontal="center"/>
    </xf>
    <xf numFmtId="0" fontId="4" fillId="0" borderId="0" applyAlignment="1" pivotButton="0" quotePrefix="0" xfId="0">
      <alignment horizontal="left" indent="2"/>
    </xf>
    <xf numFmtId="3" fontId="4" fillId="6" borderId="1" applyAlignment="1" pivotButton="0" quotePrefix="0" xfId="0">
      <alignment horizontal="center"/>
    </xf>
    <xf numFmtId="0" fontId="6" fillId="0" borderId="0" applyAlignment="1" pivotButton="0" quotePrefix="0" xfId="0">
      <alignment horizontal="left" indent="2"/>
    </xf>
    <xf numFmtId="3" fontId="6" fillId="6" borderId="1" applyAlignment="1" pivotButton="0" quotePrefix="0" xfId="0">
      <alignment horizontal="center"/>
    </xf>
    <xf numFmtId="165" fontId="6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167" fontId="4" fillId="6" borderId="1" applyAlignment="1" pivotButton="0" quotePrefix="0" xfId="0">
      <alignment horizontal="center"/>
    </xf>
    <xf numFmtId="169" fontId="4" fillId="6" borderId="1" applyAlignment="1" pivotButton="0" quotePrefix="0" xfId="0">
      <alignment horizontal="center"/>
    </xf>
    <xf numFmtId="169" fontId="5" fillId="3" borderId="1" applyAlignment="1" pivotButton="0" quotePrefix="0" xfId="0">
      <alignment horizontal="center"/>
    </xf>
    <xf numFmtId="167" fontId="6" fillId="6" borderId="1" applyAlignment="1" pivotButton="0" quotePrefix="0" xfId="0">
      <alignment horizontal="center"/>
    </xf>
    <xf numFmtId="0" fontId="4" fillId="0" borderId="0" applyAlignment="1" pivotButton="0" quotePrefix="0" xfId="0">
      <alignment horizontal="left" indent="1"/>
    </xf>
    <xf numFmtId="0" fontId="11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0" fillId="0" borderId="2" pivotButton="0" quotePrefix="0" xfId="0"/>
    <xf numFmtId="166" fontId="4" fillId="6" borderId="1" pivotButton="0" quotePrefix="0" xfId="0"/>
    <xf numFmtId="170" fontId="4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166" fontId="4" fillId="0" borderId="0" pivotButton="0" quotePrefix="0" xfId="0"/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ill>
        <patternFill patternType="solid">
          <bgColor rgb="00E7F0E5"/>
        </patternFill>
      </fill>
    </dxf>
    <dxf>
      <fill>
        <patternFill patternType="solid">
          <bgColor rgb="00F7E4E0"/>
        </patternFill>
      </fill>
    </dxf>
    <dxf>
      <font>
        <name val="Arial"/>
        <b val="1"/>
        <color rgb="002F6B3A"/>
      </font>
      <fill>
        <patternFill patternType="solid">
          <bgColor rgb="00E7F0E5"/>
        </patternFill>
      </fill>
    </dxf>
    <dxf>
      <font>
        <name val="Arial"/>
        <b val="1"/>
        <color rgb="00A83A2C"/>
      </font>
      <fill>
        <patternFill patternType="solid">
          <bgColor rgb="00F7E4E0"/>
        </patternFill>
      </fill>
    </dxf>
    <dxf>
      <font>
        <name val="Arial"/>
        <color rgb="00A83A2C"/>
      </font>
      <fill>
        <patternFill patternType="solid">
          <bgColor rgb="00F7E4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DMs sent vs replies</a:t>
            </a:r>
          </a:p>
        </rich>
      </tx>
    </title>
    <plotArea>
      <lineChart>
        <grouping val="standard"/>
        <ser>
          <idx val="0"/>
          <order val="0"/>
          <tx>
            <strRef>
              <f>'Weekly Rollup'!H3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Rollup'!$B$4:$B$16</f>
            </numRef>
          </cat>
          <val>
            <numRef>
              <f>'Weekly Rollup'!$H$4:$H$16</f>
            </numRef>
          </val>
        </ser>
        <ser>
          <idx val="1"/>
          <order val="1"/>
          <tx>
            <strRef>
              <f>'Weekly Rollup'!I3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Rollup'!$B$4:$B$16</f>
            </numRef>
          </cat>
          <val>
            <numRef>
              <f>'Weekly Rollup'!$I$4:$I$16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Calls booked vs closes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Rollup'!K3</f>
            </strRef>
          </tx>
          <spPr>
            <a:ln>
              <a:prstDash val="solid"/>
            </a:ln>
          </spPr>
          <cat>
            <numRef>
              <f>'Weekly Rollup'!$B$4:$B$16</f>
            </numRef>
          </cat>
          <val>
            <numRef>
              <f>'Weekly Rollup'!$K$4:$K$16</f>
            </numRef>
          </val>
        </ser>
        <ser>
          <idx val="1"/>
          <order val="1"/>
          <tx>
            <strRef>
              <f>'Weekly Rollup'!M3</f>
            </strRef>
          </tx>
          <spPr>
            <a:ln>
              <a:prstDash val="solid"/>
            </a:ln>
          </spPr>
          <cat>
            <numRef>
              <f>'Weekly Rollup'!$B$4:$B$16</f>
            </numRef>
          </cat>
          <val>
            <numRef>
              <f>'Weekly Rollup'!$M$4:$M$16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Cash collected per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Rollup'!N3</f>
            </strRef>
          </tx>
          <spPr>
            <a:ln>
              <a:prstDash val="solid"/>
            </a:ln>
          </spPr>
          <cat>
            <numRef>
              <f>'Weekly Rollup'!$B$4:$B$16</f>
            </numRef>
          </cat>
          <val>
            <numRef>
              <f>'Weekly Rollup'!$N$4:$N$16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Reply rate vs book rate</a:t>
            </a:r>
          </a:p>
        </rich>
      </tx>
    </title>
    <plotArea>
      <lineChart>
        <grouping val="standard"/>
        <ser>
          <idx val="0"/>
          <order val="0"/>
          <tx>
            <strRef>
              <f>'Weekly Rollup'!P3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Rollup'!$B$4:$B$16</f>
            </numRef>
          </cat>
          <val>
            <numRef>
              <f>'Weekly Rollup'!$P$4:$P$16</f>
            </numRef>
          </val>
        </ser>
        <ser>
          <idx val="1"/>
          <order val="1"/>
          <tx>
            <strRef>
              <f>'Weekly Rollup'!Q3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Rollup'!$B$4:$B$16</f>
            </numRef>
          </cat>
          <val>
            <numRef>
              <f>'Weekly Rollup'!$Q$4:$Q$16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Follower growth</a:t>
            </a:r>
          </a:p>
        </rich>
      </tx>
    </title>
    <plotArea>
      <lineChart>
        <grouping val="standard"/>
        <ser>
          <idx val="0"/>
          <order val="0"/>
          <tx>
            <strRef>
              <f>'Instagram Tracker'!B19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'Instagram Tracker'!$A$20:$A$72</f>
            </numRef>
          </cat>
          <val>
            <numRef>
              <f>'Instagram Tracker'!$B$20:$B$72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Accounts reached per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'Instagram Tracker'!E19</f>
            </strRef>
          </tx>
          <spPr>
            <a:ln>
              <a:prstDash val="solid"/>
            </a:ln>
          </spPr>
          <cat>
            <numRef>
              <f>'Instagram Tracker'!$A$20:$A$72</f>
            </numRef>
          </cat>
          <val>
            <numRef>
              <f>'Instagram Tracker'!$E$20:$E$72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The Called</author>
  </authors>
  <commentList>
    <comment ref="D12" authorId="0" shapeId="0">
      <text>
        <t>Defaults are The Called's standard: 4 posts, 30 stories, 10 opener DMs, 10 follow-up DMs. Change them per client if their programme says something different.</t>
      </text>
    </comment>
  </commentList>
</comments>
</file>

<file path=xl/comments/comment2.xml><?xml version="1.0" encoding="utf-8"?>
<comments xmlns="http://schemas.openxmlformats.org/spreadsheetml/2006/main">
  <authors>
    <author>The Called</author>
  </authors>
  <commentList>
    <comment ref="Q3" authorId="0" shapeId="0">
      <text>
        <t>Auto column. 1 = you logged something that day, 0 = you didn't. The dashboard uses it to work out your averages — don't type in it or delete it.</t>
      </text>
    </comment>
  </commentList>
</comments>
</file>

<file path=xl/comments/comment3.xml><?xml version="1.0" encoding="utf-8"?>
<comments xmlns="http://schemas.openxmlformats.org/spreadsheetml/2006/main">
  <authors>
    <author>The Called</author>
  </authors>
  <commentList>
    <comment ref="A34" authorId="0" shapeId="0">
      <text>
        <t>The number that makes the daily standards feel worth it: what one hundred DMs is actually worth to you in cash.</t>
      </text>
    </comment>
  </commentList>
</comments>
</file>

<file path=xl/comments/comment4.xml><?xml version="1.0" encoding="utf-8"?>
<comments xmlns="http://schemas.openxmlformats.org/spreadsheetml/2006/main">
  <authors>
    <author>The Called</author>
  </authors>
  <commentList>
    <comment ref="J19" authorId="0" shapeId="0">
      <text>
        <t>Posts and Stories fill in automatically from your Daily Log — don't type here.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44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61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61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1B1916"/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8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THE CALLED — CLIENT TRACKER</t>
        </is>
      </c>
    </row>
    <row r="2" ht="18" customHeight="1">
      <c r="A2" s="2" t="inlineStr">
        <is>
          <t>One sheet. Fill it in daily, and your numbers tell you exactly what to fix.</t>
        </is>
      </c>
    </row>
    <row r="4">
      <c r="B4" s="3" t="inlineStr">
        <is>
          <t>What this is</t>
        </is>
      </c>
    </row>
    <row r="5">
      <c r="B5" s="4" t="inlineStr">
        <is>
          <t>Your whole game in one place: the work you put in (posts, stories, DMs) and what it turns into (replies, calls, closes, cash). Everything on the KPI Dashboard is calculated for you — you never type a number twice.</t>
        </is>
      </c>
    </row>
    <row r="6"/>
    <row r="7"/>
    <row r="9">
      <c r="A9" s="5" t="inlineStr">
        <is>
          <t>YOUR THREE JOBS</t>
        </is>
      </c>
    </row>
    <row r="10" ht="28" customHeight="1">
      <c r="A10" s="6" t="inlineStr">
        <is>
          <t>Every day (60 seconds)</t>
        </is>
      </c>
      <c r="C10" s="7" t="inlineStr">
        <is>
          <t>Open Daily Log, find today's row, fill in what you did.</t>
        </is>
      </c>
    </row>
    <row r="11" ht="28" customHeight="1">
      <c r="A11" s="6" t="inlineStr">
        <is>
          <t>Every Sunday (2 minutes)</t>
        </is>
      </c>
      <c r="C11" s="7" t="inlineStr">
        <is>
          <t>Open Instagram Tracker, log this week's numbers from your Professional Dashboard.</t>
        </is>
      </c>
    </row>
    <row r="12" ht="28" customHeight="1">
      <c r="A12" s="6" t="inlineStr">
        <is>
          <t>Every month (1 minute)</t>
        </is>
      </c>
      <c r="C12" s="7" t="inlineStr">
        <is>
          <t>Drop a profile + insights screenshot at the top of Instagram Tracker so your coach can audit your page.</t>
        </is>
      </c>
    </row>
    <row r="14">
      <c r="A14" s="5" t="inlineStr">
        <is>
          <t>WHAT EACH TAB IS FOR</t>
        </is>
      </c>
    </row>
    <row r="15" ht="32" customHeight="1">
      <c r="B15" s="8" t="inlineStr">
        <is>
          <t>Tab</t>
        </is>
      </c>
      <c r="C15" s="8" t="inlineStr">
        <is>
          <t>What it's for</t>
        </is>
      </c>
      <c r="D15" s="8" t="inlineStr">
        <is>
          <t>Do you type here?</t>
        </is>
      </c>
    </row>
    <row r="16" ht="26" customHeight="1">
      <c r="B16" s="9" t="inlineStr">
        <is>
          <t>Daily Log</t>
        </is>
      </c>
      <c r="C16" s="10" t="inlineStr">
        <is>
          <t>One row per day. The only place your daily numbers get entered.</t>
        </is>
      </c>
      <c r="D16" s="11" t="inlineStr">
        <is>
          <t>YES — every day</t>
        </is>
      </c>
    </row>
    <row r="17" ht="26" customHeight="1">
      <c r="B17" s="9" t="inlineStr">
        <is>
          <t>KPI Dashboard</t>
        </is>
      </c>
      <c r="C17" s="10" t="inlineStr">
        <is>
          <t>Auto totals, conversion rates and charts for this week, this month and all time.</t>
        </is>
      </c>
      <c r="D17" s="12" t="inlineStr">
        <is>
          <t>No — it's automatic</t>
        </is>
      </c>
    </row>
    <row r="18" ht="26" customHeight="1">
      <c r="B18" s="9" t="inlineStr">
        <is>
          <t>Instagram Tracker</t>
        </is>
      </c>
      <c r="C18" s="10" t="inlineStr">
        <is>
          <t>Weekly follower and reach numbers, plus your monthly profile screenshots.</t>
        </is>
      </c>
      <c r="D18" s="11" t="inlineStr">
        <is>
          <t>YES — weekly</t>
        </is>
      </c>
    </row>
    <row r="19" ht="26" customHeight="1">
      <c r="B19" s="9" t="inlineStr">
        <is>
          <t>Weekly Rollup</t>
        </is>
      </c>
      <c r="C19" s="10" t="inlineStr">
        <is>
          <t>Feeds the dashboard charts — your last 13 weeks, week by week.</t>
        </is>
      </c>
      <c r="D19" s="12" t="inlineStr">
        <is>
          <t>No — it's automatic</t>
        </is>
      </c>
    </row>
    <row r="20" ht="26" customHeight="1">
      <c r="B20" s="9" t="inlineStr">
        <is>
          <t>Setup</t>
        </is>
      </c>
      <c r="C20" s="10" t="inlineStr">
        <is>
          <t>Your name, start date and daily standards. Set once at the start.</t>
        </is>
      </c>
      <c r="D20" s="11" t="inlineStr">
        <is>
          <t>YES — once</t>
        </is>
      </c>
    </row>
    <row r="22">
      <c r="A22" s="5" t="inlineStr">
        <is>
          <t>THE RULES (read once, saves you a headache)</t>
        </is>
      </c>
    </row>
    <row r="23">
      <c r="B23" s="13" t="inlineStr">
        <is>
          <t>•</t>
        </is>
      </c>
      <c r="C23" s="7" t="inlineStr">
        <is>
          <t>Cream cells = you type here. Grey cells = calculated, leave them alone.</t>
        </is>
      </c>
    </row>
    <row r="24">
      <c r="B24" s="13" t="inlineStr">
        <is>
          <t>•</t>
        </is>
      </c>
      <c r="C24" s="7" t="inlineStr">
        <is>
          <t>Don't delete columns or rows — it breaks the maths. If you don't use a column, right-click and Hide it.</t>
        </is>
      </c>
    </row>
    <row r="25">
      <c r="B25" s="13" t="inlineStr">
        <is>
          <t>•</t>
        </is>
      </c>
      <c r="C25" s="7" t="inlineStr">
        <is>
          <t>One row per day, in date order. Log a zero day as 0, not blank — blank means 'didn't track'.</t>
        </is>
      </c>
    </row>
    <row r="26">
      <c r="B26" s="13" t="inlineStr">
        <is>
          <t>•</t>
        </is>
      </c>
      <c r="C26" s="7" t="inlineStr">
        <is>
          <t>Miss a day? Backfill it. A gap makes your averages look better than they are.</t>
        </is>
      </c>
    </row>
    <row r="28">
      <c r="A28" s="5" t="inlineStr">
        <is>
          <t>EXAMPLE — what one good day looks like in the Daily Log</t>
        </is>
      </c>
    </row>
    <row r="29">
      <c r="B29" s="14" t="inlineStr">
        <is>
          <t>Date</t>
        </is>
      </c>
      <c r="C29" s="14" t="inlineStr">
        <is>
          <t>Reels</t>
        </is>
      </c>
      <c r="D29" s="14" t="inlineStr">
        <is>
          <t>Stories</t>
        </is>
      </c>
      <c r="E29" s="14" t="inlineStr">
        <is>
          <t>Opener DMs</t>
        </is>
      </c>
      <c r="F29" s="14" t="inlineStr">
        <is>
          <t>Follow-Ups</t>
        </is>
      </c>
      <c r="G29" s="14" t="inlineStr">
        <is>
          <t>Replies</t>
        </is>
      </c>
      <c r="H29" s="14" t="inlineStr">
        <is>
          <t>Pitched</t>
        </is>
      </c>
    </row>
    <row r="30">
      <c r="B30" s="15" t="inlineStr">
        <is>
          <t>Mon 15 Sep</t>
        </is>
      </c>
      <c r="C30" s="15" t="n">
        <v>4</v>
      </c>
      <c r="D30" s="15" t="n">
        <v>30</v>
      </c>
      <c r="E30" s="15" t="n">
        <v>10</v>
      </c>
      <c r="F30" s="15" t="n">
        <v>10</v>
      </c>
      <c r="G30" s="15" t="n">
        <v>6</v>
      </c>
      <c r="H30" s="15" t="n">
        <v>3</v>
      </c>
    </row>
    <row r="31">
      <c r="B31" s="16" t="inlineStr">
        <is>
          <t>All four standards hit → that day scores 4/4 and turns green.</t>
        </is>
      </c>
    </row>
    <row r="33">
      <c r="A33" s="5" t="inlineStr">
        <is>
          <t>WALKTHROUGH VIDEOS</t>
        </is>
      </c>
    </row>
    <row r="34">
      <c r="A34" s="6" t="inlineStr">
        <is>
          <t>Daily Log walkthrough</t>
        </is>
      </c>
      <c r="C34" s="17" t="inlineStr">
        <is>
          <t>[paste Loom link]</t>
        </is>
      </c>
    </row>
    <row r="35">
      <c r="A35" s="6" t="inlineStr">
        <is>
          <t>KPI Dashboard walkthrough</t>
        </is>
      </c>
      <c r="C35" s="17" t="inlineStr">
        <is>
          <t>[paste Loom link]</t>
        </is>
      </c>
    </row>
    <row r="36">
      <c r="A36" s="6" t="inlineStr">
        <is>
          <t>Instagram Tracker walkthrough</t>
        </is>
      </c>
      <c r="C36" s="17" t="inlineStr">
        <is>
          <t>[paste Loom link]</t>
        </is>
      </c>
    </row>
  </sheetData>
  <mergeCells count="12">
    <mergeCell ref="A9:H9"/>
    <mergeCell ref="C25:H25"/>
    <mergeCell ref="C26:H26"/>
    <mergeCell ref="C24:H24"/>
    <mergeCell ref="A2:H2"/>
    <mergeCell ref="C23:H23"/>
    <mergeCell ref="A28:H28"/>
    <mergeCell ref="A33:H33"/>
    <mergeCell ref="A14:H14"/>
    <mergeCell ref="A1:H1"/>
    <mergeCell ref="A22:H22"/>
    <mergeCell ref="B5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E8A82"/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52" customWidth="1" min="4" max="4"/>
  </cols>
  <sheetData>
    <row r="1" ht="30" customHeight="1">
      <c r="A1" s="1" t="inlineStr">
        <is>
          <t>SETUP — fill this in once</t>
        </is>
      </c>
    </row>
    <row r="2" ht="18" customHeight="1">
      <c r="A2" s="2" t="inlineStr">
        <is>
          <t>Cream cells are yours to fill. Everything in the workbook reads from here.</t>
        </is>
      </c>
    </row>
    <row r="4">
      <c r="A4" s="5" t="inlineStr">
        <is>
          <t>CLIENT DETAILS</t>
        </is>
      </c>
    </row>
    <row r="5">
      <c r="B5" s="6" t="inlineStr">
        <is>
          <t>Client name</t>
        </is>
      </c>
      <c r="C5" s="18" t="inlineStr">
        <is>
          <t>Demo Client</t>
        </is>
      </c>
      <c r="D5" s="16" t="inlineStr">
        <is>
          <t>Your name — shows on the dashboard.</t>
        </is>
      </c>
    </row>
    <row r="6">
      <c r="B6" s="6" t="inlineStr">
        <is>
          <t>Coach / CSM</t>
        </is>
      </c>
      <c r="C6" s="18" t="inlineStr">
        <is>
          <t>Francis</t>
        </is>
      </c>
      <c r="D6" s="16" t="inlineStr">
        <is>
          <t>Who you report to inside The Called.</t>
        </is>
      </c>
    </row>
    <row r="7">
      <c r="B7" s="6" t="inlineStr">
        <is>
          <t>Instagram handle</t>
        </is>
      </c>
      <c r="C7" s="18" t="inlineStr">
        <is>
          <t>@democlient</t>
        </is>
      </c>
      <c r="D7" s="16" t="inlineStr">
        <is>
          <t>e.g. @yourhandle</t>
        </is>
      </c>
    </row>
    <row r="8">
      <c r="B8" s="6" t="inlineStr">
        <is>
          <t>Tracking start date</t>
        </is>
      </c>
      <c r="C8" s="19">
        <f>TODAY()-45</f>
        <v/>
      </c>
      <c r="D8" s="16" t="inlineStr">
        <is>
          <t>Day 1. This sets every date in the Daily Log.</t>
        </is>
      </c>
    </row>
    <row r="9">
      <c r="B9" s="6" t="inlineStr">
        <is>
          <t>First tracking week (auto)</t>
        </is>
      </c>
      <c r="C9" s="20">
        <f>C8-WEEKDAY(C8,2)+1</f>
        <v/>
      </c>
      <c r="D9" s="16" t="inlineStr">
        <is>
          <t>Monday of your start week. Calculated — don't edit.</t>
        </is>
      </c>
    </row>
    <row r="11">
      <c r="A11" s="5" t="inlineStr">
        <is>
          <t>DAILY STANDARDS — the minimum you hold yourself to</t>
        </is>
      </c>
    </row>
    <row r="12">
      <c r="B12" s="6" t="inlineStr">
        <is>
          <t>Reels / posts per day</t>
        </is>
      </c>
      <c r="C12" s="18" t="n">
        <v>4</v>
      </c>
      <c r="D12" s="16" t="inlineStr">
        <is>
          <t>Default 4.</t>
        </is>
      </c>
    </row>
    <row r="13">
      <c r="B13" s="6" t="inlineStr">
        <is>
          <t>Stories per day</t>
        </is>
      </c>
      <c r="C13" s="18" t="n">
        <v>30</v>
      </c>
      <c r="D13" s="16" t="inlineStr">
        <is>
          <t>Default 30.</t>
        </is>
      </c>
    </row>
    <row r="14">
      <c r="B14" s="6" t="inlineStr">
        <is>
          <t>Opener DMs per day</t>
        </is>
      </c>
      <c r="C14" s="18" t="n">
        <v>10</v>
      </c>
      <c r="D14" s="16" t="inlineStr">
        <is>
          <t>Default 10.</t>
        </is>
      </c>
    </row>
    <row r="15">
      <c r="B15" s="6" t="inlineStr">
        <is>
          <t>Follow-up DMs per day</t>
        </is>
      </c>
      <c r="C15" s="18" t="n">
        <v>10</v>
      </c>
      <c r="D15" s="16" t="inlineStr">
        <is>
          <t>Default 10.</t>
        </is>
      </c>
    </row>
    <row r="17">
      <c r="A17" s="5" t="inlineStr">
        <is>
          <t>GOALS</t>
        </is>
      </c>
    </row>
    <row r="18">
      <c r="B18" s="6" t="inlineStr">
        <is>
          <t>Monthly cash collected goal</t>
        </is>
      </c>
      <c r="C18" s="21" t="n">
        <v>10000</v>
      </c>
      <c r="D18" s="16" t="inlineStr">
        <is>
          <t>Drives the goal box on the dashboard.</t>
        </is>
      </c>
    </row>
    <row r="19">
      <c r="B19" s="6" t="inlineStr">
        <is>
          <t>Your offer price</t>
        </is>
      </c>
      <c r="C19" s="21" t="n">
        <v>0</v>
      </c>
      <c r="D19" s="16" t="inlineStr">
        <is>
          <t>Optional — for your own maths.</t>
        </is>
      </c>
    </row>
  </sheetData>
  <mergeCells count="5">
    <mergeCell ref="A1:D1"/>
    <mergeCell ref="A17:D17"/>
    <mergeCell ref="A4:D4"/>
    <mergeCell ref="A2:D2"/>
    <mergeCell ref="A11:D1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E8A82"/>
    <outlinePr summaryBelow="1" summaryRight="1"/>
    <pageSetUpPr/>
  </sheetPr>
  <dimension ref="A1:Q36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8" customWidth="1" min="3" max="3"/>
    <col width="8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11" customWidth="1" min="12" max="12"/>
    <col width="11" customWidth="1" min="13" max="13"/>
    <col width="11" customWidth="1" min="14" max="14"/>
    <col width="10" customWidth="1" min="15" max="15"/>
    <col width="34" customWidth="1" min="16" max="16"/>
    <col width="9" customWidth="1" min="17" max="17"/>
  </cols>
  <sheetData>
    <row r="1" ht="30" customHeight="1">
      <c r="A1" s="1" t="inlineStr">
        <is>
          <t>DAILY LOG — one row per day</t>
        </is>
      </c>
    </row>
    <row r="2" ht="18" customHeight="1">
      <c r="A2" s="22" t="inlineStr">
        <is>
          <t>Daily standard →</t>
        </is>
      </c>
      <c r="C2" s="23">
        <f>Setup!$C$12</f>
        <v/>
      </c>
      <c r="D2" s="23">
        <f>Setup!$C$13</f>
        <v/>
      </c>
      <c r="E2" s="23">
        <f>Setup!$C$14</f>
        <v/>
      </c>
      <c r="F2" s="23">
        <f>Setup!$C$15</f>
        <v/>
      </c>
      <c r="H2" s="24" t="inlineStr">
        <is>
          <t>Fill in what you actually did. Log a zero as 0 — blank means you didn't track that day.</t>
        </is>
      </c>
    </row>
    <row r="3" ht="32" customHeight="1">
      <c r="A3" s="8" t="inlineStr">
        <is>
          <t>Date</t>
        </is>
      </c>
      <c r="B3" s="8" t="inlineStr">
        <is>
          <t>Day</t>
        </is>
      </c>
      <c r="C3" s="8" t="inlineStr">
        <is>
          <t>Reels /
Posts</t>
        </is>
      </c>
      <c r="D3" s="8" t="inlineStr">
        <is>
          <t>Stories</t>
        </is>
      </c>
      <c r="E3" s="8" t="inlineStr">
        <is>
          <t>Opener
DMs Sent</t>
        </is>
      </c>
      <c r="F3" s="8" t="inlineStr">
        <is>
          <t>Follow-Up
DMs Sent</t>
        </is>
      </c>
      <c r="G3" s="8" t="inlineStr">
        <is>
          <t>Replies</t>
        </is>
      </c>
      <c r="H3" s="8" t="inlineStr">
        <is>
          <t>Calls
Pitched</t>
        </is>
      </c>
      <c r="I3" s="8" t="inlineStr">
        <is>
          <t>Calls
Booked</t>
        </is>
      </c>
      <c r="J3" s="8" t="inlineStr">
        <is>
          <t>Calls
Showed</t>
        </is>
      </c>
      <c r="K3" s="8" t="inlineStr">
        <is>
          <t>Closes</t>
        </is>
      </c>
      <c r="L3" s="8" t="inlineStr">
        <is>
          <t>Cash
Collected</t>
        </is>
      </c>
      <c r="M3" s="8" t="inlineStr">
        <is>
          <t>Revenue
Generated</t>
        </is>
      </c>
      <c r="N3" s="8" t="inlineStr">
        <is>
          <t>Followers
(end of day)</t>
        </is>
      </c>
      <c r="O3" s="8" t="inlineStr">
        <is>
          <t>Standards
Hit (of 4)</t>
        </is>
      </c>
      <c r="P3" s="8" t="inlineStr">
        <is>
          <t>Notes</t>
        </is>
      </c>
      <c r="Q3" s="8" t="inlineStr">
        <is>
          <t>Logged?
(auto)</t>
        </is>
      </c>
    </row>
    <row r="4">
      <c r="A4" s="25">
        <f>Setup!$C$8</f>
        <v/>
      </c>
      <c r="B4" s="26">
        <f>IF(A4="","",TEXT(A4,"ddd"))</f>
        <v/>
      </c>
      <c r="C4" s="27" t="n">
        <v>5</v>
      </c>
      <c r="D4" s="27" t="n">
        <v>30</v>
      </c>
      <c r="E4" s="27" t="n">
        <v>14</v>
      </c>
      <c r="F4" s="27" t="n">
        <v>9</v>
      </c>
      <c r="G4" s="27" t="n">
        <v>3</v>
      </c>
      <c r="H4" s="27" t="n">
        <v>4</v>
      </c>
      <c r="I4" s="27" t="n">
        <v>0</v>
      </c>
      <c r="J4" s="27" t="n">
        <v>0</v>
      </c>
      <c r="K4" s="27" t="n">
        <v>0</v>
      </c>
      <c r="L4" s="21" t="n">
        <v>0</v>
      </c>
      <c r="M4" s="21" t="n">
        <v>0</v>
      </c>
      <c r="N4" s="27" t="n">
        <v>3187</v>
      </c>
      <c r="O4" s="28">
        <f>IF($Q4=0,"",IF(C4&gt;=C$2,1,0)+IF(D4&gt;=D$2,1,0)+IF(E4&gt;=E$2,1,0)+IF(F4&gt;=F$2,1,0))</f>
        <v/>
      </c>
      <c r="P4" s="29" t="inlineStr">
        <is>
          <t>First week — found my footing</t>
        </is>
      </c>
      <c r="Q4" s="30">
        <f>IF(COUNT(C4:M4)&gt;0,1,0)</f>
        <v/>
      </c>
    </row>
    <row r="5">
      <c r="A5" s="25">
        <f>A4+1</f>
        <v/>
      </c>
      <c r="B5" s="26">
        <f>IF(A5="","",TEXT(A5,"ddd"))</f>
        <v/>
      </c>
      <c r="C5" s="27" t="n">
        <v>6</v>
      </c>
      <c r="D5" s="27" t="n">
        <v>31</v>
      </c>
      <c r="E5" s="27" t="n">
        <v>11</v>
      </c>
      <c r="F5" s="27" t="n">
        <v>9</v>
      </c>
      <c r="G5" s="27" t="n">
        <v>6</v>
      </c>
      <c r="H5" s="27" t="n">
        <v>3</v>
      </c>
      <c r="I5" s="27" t="n">
        <v>0</v>
      </c>
      <c r="J5" s="27" t="n">
        <v>0</v>
      </c>
      <c r="K5" s="27" t="n">
        <v>0</v>
      </c>
      <c r="L5" s="21" t="n">
        <v>0</v>
      </c>
      <c r="M5" s="21" t="n">
        <v>0</v>
      </c>
      <c r="N5" s="27" t="n">
        <v>3210</v>
      </c>
      <c r="O5" s="28">
        <f>IF($Q5=0,"",IF(C5&gt;=C$2,1,0)+IF(D5&gt;=D$2,1,0)+IF(E5&gt;=E$2,1,0)+IF(F5&gt;=F$2,1,0))</f>
        <v/>
      </c>
      <c r="P5" s="29" t="n"/>
      <c r="Q5" s="30">
        <f>IF(COUNT(C5:M5)&gt;0,1,0)</f>
        <v/>
      </c>
    </row>
    <row r="6">
      <c r="A6" s="25">
        <f>A5+1</f>
        <v/>
      </c>
      <c r="B6" s="26">
        <f>IF(A6="","",TEXT(A6,"ddd"))</f>
        <v/>
      </c>
      <c r="C6" s="27" t="n">
        <v>5</v>
      </c>
      <c r="D6" s="27" t="n">
        <v>28</v>
      </c>
      <c r="E6" s="27" t="n">
        <v>15</v>
      </c>
      <c r="F6" s="27" t="n">
        <v>9</v>
      </c>
      <c r="G6" s="27" t="n">
        <v>4</v>
      </c>
      <c r="H6" s="27" t="n">
        <v>4</v>
      </c>
      <c r="I6" s="27" t="n">
        <v>2</v>
      </c>
      <c r="J6" s="27" t="n">
        <v>0</v>
      </c>
      <c r="K6" s="27" t="n">
        <v>0</v>
      </c>
      <c r="L6" s="21" t="n">
        <v>0</v>
      </c>
      <c r="M6" s="21" t="n">
        <v>0</v>
      </c>
      <c r="N6" s="27" t="n">
        <v>3217</v>
      </c>
      <c r="O6" s="28">
        <f>IF($Q6=0,"",IF(C6&gt;=C$2,1,0)+IF(D6&gt;=D$2,1,0)+IF(E6&gt;=E$2,1,0)+IF(F6&gt;=F$2,1,0))</f>
        <v/>
      </c>
      <c r="P6" s="29" t="n"/>
      <c r="Q6" s="30">
        <f>IF(COUNT(C6:M6)&gt;0,1,0)</f>
        <v/>
      </c>
    </row>
    <row r="7">
      <c r="A7" s="25">
        <f>A6+1</f>
        <v/>
      </c>
      <c r="B7" s="26">
        <f>IF(A7="","",TEXT(A7,"ddd"))</f>
        <v/>
      </c>
      <c r="C7" s="27" t="n">
        <v>6</v>
      </c>
      <c r="D7" s="27" t="n">
        <v>34</v>
      </c>
      <c r="E7" s="27" t="n">
        <v>11</v>
      </c>
      <c r="F7" s="27" t="n">
        <v>10</v>
      </c>
      <c r="G7" s="27" t="n">
        <v>3</v>
      </c>
      <c r="H7" s="27" t="n">
        <v>4</v>
      </c>
      <c r="I7" s="27" t="n">
        <v>0</v>
      </c>
      <c r="J7" s="27" t="n">
        <v>2</v>
      </c>
      <c r="K7" s="27" t="n">
        <v>1</v>
      </c>
      <c r="L7" s="21" t="n">
        <v>1500</v>
      </c>
      <c r="M7" s="21" t="n">
        <v>3000</v>
      </c>
      <c r="N7" s="27" t="n">
        <v>3232</v>
      </c>
      <c r="O7" s="28">
        <f>IF($Q7=0,"",IF(C7&gt;=C$2,1,0)+IF(D7&gt;=D$2,1,0)+IF(E7&gt;=E$2,1,0)+IF(F7&gt;=F$2,1,0))</f>
        <v/>
      </c>
      <c r="P7" s="29" t="n"/>
      <c r="Q7" s="30">
        <f>IF(COUNT(C7:M7)&gt;0,1,0)</f>
        <v/>
      </c>
    </row>
    <row r="8">
      <c r="A8" s="25">
        <f>A7+1</f>
        <v/>
      </c>
      <c r="B8" s="26">
        <f>IF(A8="","",TEXT(A8,"ddd"))</f>
        <v/>
      </c>
      <c r="C8" s="27" t="n">
        <v>6</v>
      </c>
      <c r="D8" s="27" t="n">
        <v>30</v>
      </c>
      <c r="E8" s="27" t="n">
        <v>11</v>
      </c>
      <c r="F8" s="27" t="n">
        <v>13</v>
      </c>
      <c r="G8" s="27" t="n">
        <v>7</v>
      </c>
      <c r="H8" s="27" t="n">
        <v>4</v>
      </c>
      <c r="I8" s="27" t="n">
        <v>0</v>
      </c>
      <c r="J8" s="27" t="n">
        <v>0</v>
      </c>
      <c r="K8" s="27" t="n">
        <v>0</v>
      </c>
      <c r="L8" s="21" t="n">
        <v>0</v>
      </c>
      <c r="M8" s="21" t="n">
        <v>0</v>
      </c>
      <c r="N8" s="27" t="n">
        <v>3255</v>
      </c>
      <c r="O8" s="28">
        <f>IF($Q8=0,"",IF(C8&gt;=C$2,1,0)+IF(D8&gt;=D$2,1,0)+IF(E8&gt;=E$2,1,0)+IF(F8&gt;=F$2,1,0))</f>
        <v/>
      </c>
      <c r="P8" s="29" t="n"/>
      <c r="Q8" s="30">
        <f>IF(COUNT(C8:M8)&gt;0,1,0)</f>
        <v/>
      </c>
    </row>
    <row r="9">
      <c r="A9" s="25">
        <f>A8+1</f>
        <v/>
      </c>
      <c r="B9" s="26">
        <f>IF(A9="","",TEXT(A9,"ddd"))</f>
        <v/>
      </c>
      <c r="C9" s="27" t="n">
        <v>2</v>
      </c>
      <c r="D9" s="27" t="n">
        <v>21</v>
      </c>
      <c r="E9" s="27" t="n">
        <v>4</v>
      </c>
      <c r="F9" s="27" t="n">
        <v>7</v>
      </c>
      <c r="G9" s="27" t="n">
        <v>1</v>
      </c>
      <c r="H9" s="27" t="n">
        <v>1</v>
      </c>
      <c r="I9" s="27" t="n">
        <v>1</v>
      </c>
      <c r="J9" s="27" t="n">
        <v>0</v>
      </c>
      <c r="K9" s="27" t="n">
        <v>0</v>
      </c>
      <c r="L9" s="21" t="n">
        <v>0</v>
      </c>
      <c r="M9" s="21" t="n">
        <v>0</v>
      </c>
      <c r="N9" s="27" t="n">
        <v>3275</v>
      </c>
      <c r="O9" s="28">
        <f>IF($Q9=0,"",IF(C9&gt;=C$2,1,0)+IF(D9&gt;=D$2,1,0)+IF(E9&gt;=E$2,1,0)+IF(F9&gt;=F$2,1,0))</f>
        <v/>
      </c>
      <c r="P9" s="29" t="n"/>
      <c r="Q9" s="30">
        <f>IF(COUNT(C9:M9)&gt;0,1,0)</f>
        <v/>
      </c>
    </row>
    <row r="10">
      <c r="A10" s="25">
        <f>A9+1</f>
        <v/>
      </c>
      <c r="B10" s="26">
        <f>IF(A10="","",TEXT(A10,"ddd"))</f>
        <v/>
      </c>
      <c r="C10" s="27" t="n">
        <v>3</v>
      </c>
      <c r="D10" s="27" t="n">
        <v>17</v>
      </c>
      <c r="E10" s="27" t="n">
        <v>6</v>
      </c>
      <c r="F10" s="27" t="n">
        <v>4</v>
      </c>
      <c r="G10" s="27" t="n">
        <v>1</v>
      </c>
      <c r="H10" s="27" t="n">
        <v>0</v>
      </c>
      <c r="I10" s="27" t="n">
        <v>0</v>
      </c>
      <c r="J10" s="27" t="n">
        <v>1</v>
      </c>
      <c r="K10" s="27" t="n">
        <v>0</v>
      </c>
      <c r="L10" s="21" t="n">
        <v>0</v>
      </c>
      <c r="M10" s="21" t="n">
        <v>0</v>
      </c>
      <c r="N10" s="27" t="n">
        <v>3291</v>
      </c>
      <c r="O10" s="28">
        <f>IF($Q10=0,"",IF(C10&gt;=C$2,1,0)+IF(D10&gt;=D$2,1,0)+IF(E10&gt;=E$2,1,0)+IF(F10&gt;=F$2,1,0))</f>
        <v/>
      </c>
      <c r="P10" s="29" t="n"/>
      <c r="Q10" s="30">
        <f>IF(COUNT(C10:M10)&gt;0,1,0)</f>
        <v/>
      </c>
    </row>
    <row r="11">
      <c r="A11" s="25">
        <f>A10+1</f>
        <v/>
      </c>
      <c r="B11" s="26">
        <f>IF(A11="","",TEXT(A11,"ddd"))</f>
        <v/>
      </c>
      <c r="C11" s="27" t="n">
        <v>6</v>
      </c>
      <c r="D11" s="27" t="n">
        <v>35</v>
      </c>
      <c r="E11" s="27" t="n">
        <v>13</v>
      </c>
      <c r="F11" s="27" t="n">
        <v>13</v>
      </c>
      <c r="G11" s="27" t="n">
        <v>3</v>
      </c>
      <c r="H11" s="27" t="n">
        <v>2</v>
      </c>
      <c r="I11" s="27" t="n">
        <v>2</v>
      </c>
      <c r="J11" s="27" t="n">
        <v>0</v>
      </c>
      <c r="K11" s="27" t="n">
        <v>0</v>
      </c>
      <c r="L11" s="21" t="n">
        <v>0</v>
      </c>
      <c r="M11" s="21" t="n">
        <v>0</v>
      </c>
      <c r="N11" s="27" t="n">
        <v>3307</v>
      </c>
      <c r="O11" s="28">
        <f>IF($Q11=0,"",IF(C11&gt;=C$2,1,0)+IF(D11&gt;=D$2,1,0)+IF(E11&gt;=E$2,1,0)+IF(F11&gt;=F$2,1,0))</f>
        <v/>
      </c>
      <c r="P11" s="29" t="n"/>
      <c r="Q11" s="30">
        <f>IF(COUNT(C11:M11)&gt;0,1,0)</f>
        <v/>
      </c>
    </row>
    <row r="12">
      <c r="A12" s="25">
        <f>A11+1</f>
        <v/>
      </c>
      <c r="B12" s="26">
        <f>IF(A12="","",TEXT(A12,"ddd"))</f>
        <v/>
      </c>
      <c r="C12" s="27" t="n">
        <v>4</v>
      </c>
      <c r="D12" s="27" t="n">
        <v>35</v>
      </c>
      <c r="E12" s="27" t="n">
        <v>14</v>
      </c>
      <c r="F12" s="27" t="n">
        <v>9</v>
      </c>
      <c r="G12" s="27" t="n">
        <v>3</v>
      </c>
      <c r="H12" s="27" t="n">
        <v>4</v>
      </c>
      <c r="I12" s="27" t="n">
        <v>2</v>
      </c>
      <c r="J12" s="27" t="n">
        <v>2</v>
      </c>
      <c r="K12" s="27" t="n">
        <v>0</v>
      </c>
      <c r="L12" s="21" t="n">
        <v>0</v>
      </c>
      <c r="M12" s="21" t="n">
        <v>0</v>
      </c>
      <c r="N12" s="27" t="n">
        <v>3323</v>
      </c>
      <c r="O12" s="28">
        <f>IF($Q12=0,"",IF(C12&gt;=C$2,1,0)+IF(D12&gt;=D$2,1,0)+IF(E12&gt;=E$2,1,0)+IF(F12&gt;=F$2,1,0))</f>
        <v/>
      </c>
      <c r="P12" s="29" t="n"/>
      <c r="Q12" s="30">
        <f>IF(COUNT(C12:M12)&gt;0,1,0)</f>
        <v/>
      </c>
    </row>
    <row r="13">
      <c r="A13" s="25">
        <f>A12+1</f>
        <v/>
      </c>
      <c r="B13" s="26">
        <f>IF(A13="","",TEXT(A13,"ddd"))</f>
        <v/>
      </c>
      <c r="C13" s="27" t="n">
        <v>6</v>
      </c>
      <c r="D13" s="27" t="n">
        <v>33</v>
      </c>
      <c r="E13" s="27" t="n">
        <v>15</v>
      </c>
      <c r="F13" s="27" t="n">
        <v>12</v>
      </c>
      <c r="G13" s="27" t="n">
        <v>7</v>
      </c>
      <c r="H13" s="27" t="n">
        <v>3</v>
      </c>
      <c r="I13" s="27" t="n">
        <v>0</v>
      </c>
      <c r="J13" s="27" t="n">
        <v>2</v>
      </c>
      <c r="K13" s="27" t="n">
        <v>0</v>
      </c>
      <c r="L13" s="21" t="n">
        <v>0</v>
      </c>
      <c r="M13" s="21" t="n">
        <v>0</v>
      </c>
      <c r="N13" s="27" t="n">
        <v>3344</v>
      </c>
      <c r="O13" s="28">
        <f>IF($Q13=0,"",IF(C13&gt;=C$2,1,0)+IF(D13&gt;=D$2,1,0)+IF(E13&gt;=E$2,1,0)+IF(F13&gt;=F$2,1,0))</f>
        <v/>
      </c>
      <c r="P13" s="29" t="n"/>
      <c r="Q13" s="30">
        <f>IF(COUNT(C13:M13)&gt;0,1,0)</f>
        <v/>
      </c>
    </row>
    <row r="14">
      <c r="A14" s="25">
        <f>A13+1</f>
        <v/>
      </c>
      <c r="B14" s="26">
        <f>IF(A14="","",TEXT(A14,"ddd"))</f>
        <v/>
      </c>
      <c r="C14" s="27" t="n">
        <v>6</v>
      </c>
      <c r="D14" s="27" t="n">
        <v>29</v>
      </c>
      <c r="E14" s="27" t="n">
        <v>11</v>
      </c>
      <c r="F14" s="27" t="n">
        <v>11</v>
      </c>
      <c r="G14" s="27" t="n">
        <v>7</v>
      </c>
      <c r="H14" s="27" t="n">
        <v>4</v>
      </c>
      <c r="I14" s="27" t="n">
        <v>1</v>
      </c>
      <c r="J14" s="27" t="n">
        <v>0</v>
      </c>
      <c r="K14" s="27" t="n">
        <v>0</v>
      </c>
      <c r="L14" s="21" t="n">
        <v>0</v>
      </c>
      <c r="M14" s="21" t="n">
        <v>0</v>
      </c>
      <c r="N14" s="27" t="n">
        <v>3362</v>
      </c>
      <c r="O14" s="28">
        <f>IF($Q14=0,"",IF(C14&gt;=C$2,1,0)+IF(D14&gt;=D$2,1,0)+IF(E14&gt;=E$2,1,0)+IF(F14&gt;=F$2,1,0))</f>
        <v/>
      </c>
      <c r="P14" s="29" t="n"/>
      <c r="Q14" s="30">
        <f>IF(COUNT(C14:M14)&gt;0,1,0)</f>
        <v/>
      </c>
    </row>
    <row r="15">
      <c r="A15" s="25">
        <f>A14+1</f>
        <v/>
      </c>
      <c r="B15" s="26">
        <f>IF(A15="","",TEXT(A15,"ddd"))</f>
        <v/>
      </c>
      <c r="C15" s="27" t="n">
        <v>6</v>
      </c>
      <c r="D15" s="27" t="n">
        <v>33</v>
      </c>
      <c r="E15" s="27" t="n">
        <v>11</v>
      </c>
      <c r="F15" s="27" t="n">
        <v>12</v>
      </c>
      <c r="G15" s="27" t="n">
        <v>5</v>
      </c>
      <c r="H15" s="27" t="n">
        <v>2</v>
      </c>
      <c r="I15" s="27" t="n">
        <v>2</v>
      </c>
      <c r="J15" s="27" t="n">
        <v>0</v>
      </c>
      <c r="K15" s="27" t="n">
        <v>0</v>
      </c>
      <c r="L15" s="21" t="n">
        <v>0</v>
      </c>
      <c r="M15" s="21" t="n">
        <v>0</v>
      </c>
      <c r="N15" s="27" t="n">
        <v>3369</v>
      </c>
      <c r="O15" s="28">
        <f>IF($Q15=0,"",IF(C15&gt;=C$2,1,0)+IF(D15&gt;=D$2,1,0)+IF(E15&gt;=E$2,1,0)+IF(F15&gt;=F$2,1,0))</f>
        <v/>
      </c>
      <c r="P15" s="29" t="n"/>
      <c r="Q15" s="30">
        <f>IF(COUNT(C15:M15)&gt;0,1,0)</f>
        <v/>
      </c>
    </row>
    <row r="16">
      <c r="A16" s="25">
        <f>A15+1</f>
        <v/>
      </c>
      <c r="B16" s="26">
        <f>IF(A16="","",TEXT(A16,"ddd"))</f>
        <v/>
      </c>
      <c r="C16" s="27" t="n">
        <v>2</v>
      </c>
      <c r="D16" s="27" t="n">
        <v>16</v>
      </c>
      <c r="E16" s="27" t="n">
        <v>5</v>
      </c>
      <c r="F16" s="27" t="n">
        <v>4</v>
      </c>
      <c r="G16" s="27" t="n">
        <v>2</v>
      </c>
      <c r="H16" s="27" t="n">
        <v>1</v>
      </c>
      <c r="I16" s="27" t="n">
        <v>1</v>
      </c>
      <c r="J16" s="27" t="n">
        <v>1</v>
      </c>
      <c r="K16" s="27" t="n">
        <v>0</v>
      </c>
      <c r="L16" s="21" t="n">
        <v>0</v>
      </c>
      <c r="M16" s="21" t="n">
        <v>0</v>
      </c>
      <c r="N16" s="27" t="n">
        <v>3392</v>
      </c>
      <c r="O16" s="28">
        <f>IF($Q16=0,"",IF(C16&gt;=C$2,1,0)+IF(D16&gt;=D$2,1,0)+IF(E16&gt;=E$2,1,0)+IF(F16&gt;=F$2,1,0))</f>
        <v/>
      </c>
      <c r="P16" s="29" t="n"/>
      <c r="Q16" s="30">
        <f>IF(COUNT(C16:M16)&gt;0,1,0)</f>
        <v/>
      </c>
    </row>
    <row r="17">
      <c r="A17" s="25">
        <f>A16+1</f>
        <v/>
      </c>
      <c r="B17" s="26">
        <f>IF(A17="","",TEXT(A17,"ddd"))</f>
        <v/>
      </c>
      <c r="C17" s="27" t="n">
        <v>3</v>
      </c>
      <c r="D17" s="27" t="n">
        <v>14</v>
      </c>
      <c r="E17" s="27" t="n">
        <v>7</v>
      </c>
      <c r="F17" s="27" t="n">
        <v>7</v>
      </c>
      <c r="G17" s="27" t="n">
        <v>2</v>
      </c>
      <c r="H17" s="27" t="n">
        <v>1</v>
      </c>
      <c r="I17" s="27" t="n">
        <v>1</v>
      </c>
      <c r="J17" s="27" t="n">
        <v>1</v>
      </c>
      <c r="K17" s="27" t="n">
        <v>0</v>
      </c>
      <c r="L17" s="21" t="n">
        <v>0</v>
      </c>
      <c r="M17" s="21" t="n">
        <v>0</v>
      </c>
      <c r="N17" s="27" t="n">
        <v>3405</v>
      </c>
      <c r="O17" s="28">
        <f>IF($Q17=0,"",IF(C17&gt;=C$2,1,0)+IF(D17&gt;=D$2,1,0)+IF(E17&gt;=E$2,1,0)+IF(F17&gt;=F$2,1,0))</f>
        <v/>
      </c>
      <c r="P17" s="29" t="n"/>
      <c r="Q17" s="30">
        <f>IF(COUNT(C17:M17)&gt;0,1,0)</f>
        <v/>
      </c>
    </row>
    <row r="18">
      <c r="A18" s="25">
        <f>A17+1</f>
        <v/>
      </c>
      <c r="B18" s="26">
        <f>IF(A18="","",TEXT(A18,"ddd"))</f>
        <v/>
      </c>
      <c r="C18" s="27" t="n">
        <v>4</v>
      </c>
      <c r="D18" s="27" t="n">
        <v>29</v>
      </c>
      <c r="E18" s="27" t="n">
        <v>12</v>
      </c>
      <c r="F18" s="27" t="n">
        <v>10</v>
      </c>
      <c r="G18" s="27" t="n">
        <v>4</v>
      </c>
      <c r="H18" s="27" t="n">
        <v>4</v>
      </c>
      <c r="I18" s="27" t="n">
        <v>0</v>
      </c>
      <c r="J18" s="27" t="n">
        <v>0</v>
      </c>
      <c r="K18" s="27" t="n">
        <v>0</v>
      </c>
      <c r="L18" s="21" t="n">
        <v>0</v>
      </c>
      <c r="M18" s="21" t="n">
        <v>0</v>
      </c>
      <c r="N18" s="27" t="n">
        <v>3429</v>
      </c>
      <c r="O18" s="28">
        <f>IF($Q18=0,"",IF(C18&gt;=C$2,1,0)+IF(D18&gt;=D$2,1,0)+IF(E18&gt;=E$2,1,0)+IF(F18&gt;=F$2,1,0))</f>
        <v/>
      </c>
      <c r="P18" s="29" t="n"/>
      <c r="Q18" s="30">
        <f>IF(COUNT(C18:M18)&gt;0,1,0)</f>
        <v/>
      </c>
    </row>
    <row r="19">
      <c r="A19" s="25">
        <f>A18+1</f>
        <v/>
      </c>
      <c r="B19" s="26">
        <f>IF(A19="","",TEXT(A19,"ddd"))</f>
        <v/>
      </c>
      <c r="C19" s="27" t="n">
        <v>4</v>
      </c>
      <c r="D19" s="27" t="n">
        <v>32</v>
      </c>
      <c r="E19" s="27" t="n">
        <v>13</v>
      </c>
      <c r="F19" s="27" t="n">
        <v>9</v>
      </c>
      <c r="G19" s="27" t="n">
        <v>4</v>
      </c>
      <c r="H19" s="27" t="n">
        <v>3</v>
      </c>
      <c r="I19" s="27" t="n">
        <v>2</v>
      </c>
      <c r="J19" s="27" t="n">
        <v>0</v>
      </c>
      <c r="K19" s="27" t="n">
        <v>0</v>
      </c>
      <c r="L19" s="21" t="n">
        <v>0</v>
      </c>
      <c r="M19" s="21" t="n">
        <v>0</v>
      </c>
      <c r="N19" s="27" t="n">
        <v>3453</v>
      </c>
      <c r="O19" s="28">
        <f>IF($Q19=0,"",IF(C19&gt;=C$2,1,0)+IF(D19&gt;=D$2,1,0)+IF(E19&gt;=E$2,1,0)+IF(F19&gt;=F$2,1,0))</f>
        <v/>
      </c>
      <c r="P19" s="29" t="n"/>
      <c r="Q19" s="30">
        <f>IF(COUNT(C19:M19)&gt;0,1,0)</f>
        <v/>
      </c>
    </row>
    <row r="20">
      <c r="A20" s="25">
        <f>A19+1</f>
        <v/>
      </c>
      <c r="B20" s="26">
        <f>IF(A20="","",TEXT(A20,"ddd"))</f>
        <v/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2</v>
      </c>
      <c r="K20" s="27" t="n">
        <v>1</v>
      </c>
      <c r="L20" s="21" t="n">
        <v>3000</v>
      </c>
      <c r="M20" s="21" t="n">
        <v>4500</v>
      </c>
      <c r="N20" s="27" t="n">
        <v>3453</v>
      </c>
      <c r="O20" s="28">
        <f>IF($Q20=0,"",IF(C20&gt;=C$2,1,0)+IF(D20&gt;=D$2,1,0)+IF(E20&gt;=E$2,1,0)+IF(F20&gt;=F$2,1,0))</f>
        <v/>
      </c>
      <c r="P20" s="29" t="inlineStr">
        <is>
          <t>Travel day, no work done</t>
        </is>
      </c>
      <c r="Q20" s="30">
        <f>IF(COUNT(C20:M20)&gt;0,1,0)</f>
        <v/>
      </c>
    </row>
    <row r="21">
      <c r="A21" s="25">
        <f>A20+1</f>
        <v/>
      </c>
      <c r="B21" s="26">
        <f>IF(A21="","",TEXT(A21,"ddd"))</f>
        <v/>
      </c>
      <c r="C21" s="27" t="n">
        <v>6</v>
      </c>
      <c r="D21" s="27" t="n">
        <v>28</v>
      </c>
      <c r="E21" s="27" t="n">
        <v>14</v>
      </c>
      <c r="F21" s="27" t="n">
        <v>13</v>
      </c>
      <c r="G21" s="27" t="n">
        <v>6</v>
      </c>
      <c r="H21" s="27" t="n">
        <v>3</v>
      </c>
      <c r="I21" s="27" t="n">
        <v>1</v>
      </c>
      <c r="J21" s="27" t="n">
        <v>0</v>
      </c>
      <c r="K21" s="27" t="n">
        <v>0</v>
      </c>
      <c r="L21" s="21" t="n">
        <v>0</v>
      </c>
      <c r="M21" s="21" t="n">
        <v>0</v>
      </c>
      <c r="N21" s="27" t="n">
        <v>3474</v>
      </c>
      <c r="O21" s="28">
        <f>IF($Q21=0,"",IF(C21&gt;=C$2,1,0)+IF(D21&gt;=D$2,1,0)+IF(E21&gt;=E$2,1,0)+IF(F21&gt;=F$2,1,0))</f>
        <v/>
      </c>
      <c r="P21" s="29" t="n"/>
      <c r="Q21" s="30">
        <f>IF(COUNT(C21:M21)&gt;0,1,0)</f>
        <v/>
      </c>
    </row>
    <row r="22">
      <c r="A22" s="25">
        <f>A21+1</f>
        <v/>
      </c>
      <c r="B22" s="26">
        <f>IF(A22="","",TEXT(A22,"ddd"))</f>
        <v/>
      </c>
      <c r="C22" s="27" t="n">
        <v>6</v>
      </c>
      <c r="D22" s="27" t="n">
        <v>34</v>
      </c>
      <c r="E22" s="27" t="n">
        <v>11</v>
      </c>
      <c r="F22" s="27" t="n">
        <v>10</v>
      </c>
      <c r="G22" s="27" t="n">
        <v>3</v>
      </c>
      <c r="H22" s="27" t="n">
        <v>2</v>
      </c>
      <c r="I22" s="27" t="n">
        <v>1</v>
      </c>
      <c r="J22" s="27" t="n">
        <v>0</v>
      </c>
      <c r="K22" s="27" t="n">
        <v>0</v>
      </c>
      <c r="L22" s="21" t="n">
        <v>0</v>
      </c>
      <c r="M22" s="21" t="n">
        <v>0</v>
      </c>
      <c r="N22" s="27" t="n">
        <v>3490</v>
      </c>
      <c r="O22" s="28">
        <f>IF($Q22=0,"",IF(C22&gt;=C$2,1,0)+IF(D22&gt;=D$2,1,0)+IF(E22&gt;=E$2,1,0)+IF(F22&gt;=F$2,1,0))</f>
        <v/>
      </c>
      <c r="P22" s="29" t="n"/>
      <c r="Q22" s="30">
        <f>IF(COUNT(C22:M22)&gt;0,1,0)</f>
        <v/>
      </c>
    </row>
    <row r="23">
      <c r="A23" s="25">
        <f>A22+1</f>
        <v/>
      </c>
      <c r="B23" s="26">
        <f>IF(A23="","",TEXT(A23,"ddd"))</f>
        <v/>
      </c>
      <c r="C23" s="27" t="n">
        <v>2</v>
      </c>
      <c r="D23" s="27" t="n">
        <v>13</v>
      </c>
      <c r="E23" s="27" t="n">
        <v>4</v>
      </c>
      <c r="F23" s="27" t="n">
        <v>7</v>
      </c>
      <c r="G23" s="27" t="n">
        <v>1</v>
      </c>
      <c r="H23" s="27" t="n">
        <v>0</v>
      </c>
      <c r="I23" s="27" t="n">
        <v>1</v>
      </c>
      <c r="J23" s="27" t="n">
        <v>1</v>
      </c>
      <c r="K23" s="27" t="n">
        <v>1</v>
      </c>
      <c r="L23" s="21" t="n">
        <v>1500</v>
      </c>
      <c r="M23" s="21" t="n">
        <v>3000</v>
      </c>
      <c r="N23" s="27" t="n">
        <v>3508</v>
      </c>
      <c r="O23" s="28">
        <f>IF($Q23=0,"",IF(C23&gt;=C$2,1,0)+IF(D23&gt;=D$2,1,0)+IF(E23&gt;=E$2,1,0)+IF(F23&gt;=F$2,1,0))</f>
        <v/>
      </c>
      <c r="P23" s="29" t="n"/>
      <c r="Q23" s="30">
        <f>IF(COUNT(C23:M23)&gt;0,1,0)</f>
        <v/>
      </c>
    </row>
    <row r="24">
      <c r="A24" s="25">
        <f>A23+1</f>
        <v/>
      </c>
      <c r="B24" s="26">
        <f>IF(A24="","",TEXT(A24,"ddd"))</f>
        <v/>
      </c>
      <c r="C24" s="27" t="n">
        <v>2</v>
      </c>
      <c r="D24" s="27" t="n">
        <v>22</v>
      </c>
      <c r="E24" s="27" t="n">
        <v>6</v>
      </c>
      <c r="F24" s="27" t="n">
        <v>5</v>
      </c>
      <c r="G24" s="27" t="n">
        <v>3</v>
      </c>
      <c r="H24" s="27" t="n">
        <v>1</v>
      </c>
      <c r="I24" s="27" t="n">
        <v>1</v>
      </c>
      <c r="J24" s="27" t="n">
        <v>0</v>
      </c>
      <c r="K24" s="27" t="n">
        <v>0</v>
      </c>
      <c r="L24" s="21" t="n">
        <v>0</v>
      </c>
      <c r="M24" s="21" t="n">
        <v>0</v>
      </c>
      <c r="N24" s="27" t="n">
        <v>3529</v>
      </c>
      <c r="O24" s="28">
        <f>IF($Q24=0,"",IF(C24&gt;=C$2,1,0)+IF(D24&gt;=D$2,1,0)+IF(E24&gt;=E$2,1,0)+IF(F24&gt;=F$2,1,0))</f>
        <v/>
      </c>
      <c r="P24" s="29" t="n"/>
      <c r="Q24" s="30">
        <f>IF(COUNT(C24:M24)&gt;0,1,0)</f>
        <v/>
      </c>
    </row>
    <row r="25">
      <c r="A25" s="25">
        <f>A24+1</f>
        <v/>
      </c>
      <c r="B25" s="26">
        <f>IF(A25="","",TEXT(A25,"ddd"))</f>
        <v/>
      </c>
      <c r="C25" s="27" t="n">
        <v>5</v>
      </c>
      <c r="D25" s="27" t="n">
        <v>35</v>
      </c>
      <c r="E25" s="27" t="n">
        <v>14</v>
      </c>
      <c r="F25" s="27" t="n">
        <v>11</v>
      </c>
      <c r="G25" s="27" t="n">
        <v>3</v>
      </c>
      <c r="H25" s="27" t="n">
        <v>2</v>
      </c>
      <c r="I25" s="27" t="n">
        <v>0</v>
      </c>
      <c r="J25" s="27" t="n">
        <v>1</v>
      </c>
      <c r="K25" s="27" t="n">
        <v>0</v>
      </c>
      <c r="L25" s="21" t="n">
        <v>0</v>
      </c>
      <c r="M25" s="21" t="n">
        <v>0</v>
      </c>
      <c r="N25" s="27" t="n">
        <v>3550</v>
      </c>
      <c r="O25" s="28">
        <f>IF($Q25=0,"",IF(C25&gt;=C$2,1,0)+IF(D25&gt;=D$2,1,0)+IF(E25&gt;=E$2,1,0)+IF(F25&gt;=F$2,1,0))</f>
        <v/>
      </c>
      <c r="P25" s="29" t="n"/>
      <c r="Q25" s="30">
        <f>IF(COUNT(C25:M25)&gt;0,1,0)</f>
        <v/>
      </c>
    </row>
    <row r="26">
      <c r="A26" s="25">
        <f>A25+1</f>
        <v/>
      </c>
      <c r="B26" s="26">
        <f>IF(A26="","",TEXT(A26,"ddd"))</f>
        <v/>
      </c>
      <c r="C26" s="27" t="n">
        <v>6</v>
      </c>
      <c r="D26" s="27" t="n">
        <v>30</v>
      </c>
      <c r="E26" s="27" t="n">
        <v>15</v>
      </c>
      <c r="F26" s="27" t="n">
        <v>9</v>
      </c>
      <c r="G26" s="27" t="n">
        <v>4</v>
      </c>
      <c r="H26" s="27" t="n">
        <v>4</v>
      </c>
      <c r="I26" s="27" t="n">
        <v>1</v>
      </c>
      <c r="J26" s="27" t="n">
        <v>0</v>
      </c>
      <c r="K26" s="27" t="n">
        <v>0</v>
      </c>
      <c r="L26" s="21" t="n">
        <v>0</v>
      </c>
      <c r="M26" s="21" t="n">
        <v>0</v>
      </c>
      <c r="N26" s="27" t="n">
        <v>3573</v>
      </c>
      <c r="O26" s="28">
        <f>IF($Q26=0,"",IF(C26&gt;=C$2,1,0)+IF(D26&gt;=D$2,1,0)+IF(E26&gt;=E$2,1,0)+IF(F26&gt;=F$2,1,0))</f>
        <v/>
      </c>
      <c r="P26" s="29" t="n"/>
      <c r="Q26" s="30">
        <f>IF(COUNT(C26:M26)&gt;0,1,0)</f>
        <v/>
      </c>
    </row>
    <row r="27">
      <c r="A27" s="25">
        <f>A26+1</f>
        <v/>
      </c>
      <c r="B27" s="26">
        <f>IF(A27="","",TEXT(A27,"ddd"))</f>
        <v/>
      </c>
      <c r="C27" s="27" t="n">
        <v>4</v>
      </c>
      <c r="D27" s="27" t="n">
        <v>36</v>
      </c>
      <c r="E27" s="27" t="n">
        <v>13</v>
      </c>
      <c r="F27" s="27" t="n">
        <v>9</v>
      </c>
      <c r="G27" s="27" t="n">
        <v>5</v>
      </c>
      <c r="H27" s="27" t="n">
        <v>4</v>
      </c>
      <c r="I27" s="27" t="n">
        <v>1</v>
      </c>
      <c r="J27" s="27" t="n">
        <v>1</v>
      </c>
      <c r="K27" s="27" t="n">
        <v>0</v>
      </c>
      <c r="L27" s="21" t="n">
        <v>0</v>
      </c>
      <c r="M27" s="21" t="n">
        <v>0</v>
      </c>
      <c r="N27" s="27" t="n">
        <v>3586</v>
      </c>
      <c r="O27" s="28">
        <f>IF($Q27=0,"",IF(C27&gt;=C$2,1,0)+IF(D27&gt;=D$2,1,0)+IF(E27&gt;=E$2,1,0)+IF(F27&gt;=F$2,1,0))</f>
        <v/>
      </c>
      <c r="P27" s="29" t="n"/>
      <c r="Q27" s="30">
        <f>IF(COUNT(C27:M27)&gt;0,1,0)</f>
        <v/>
      </c>
    </row>
    <row r="28">
      <c r="A28" s="25">
        <f>A27+1</f>
        <v/>
      </c>
      <c r="B28" s="26">
        <f>IF(A28="","",TEXT(A28,"ddd"))</f>
        <v/>
      </c>
      <c r="C28" s="27" t="n">
        <v>6</v>
      </c>
      <c r="D28" s="27" t="n">
        <v>36</v>
      </c>
      <c r="E28" s="27" t="n">
        <v>15</v>
      </c>
      <c r="F28" s="27" t="n">
        <v>11</v>
      </c>
      <c r="G28" s="27" t="n">
        <v>4</v>
      </c>
      <c r="H28" s="27" t="n">
        <v>4</v>
      </c>
      <c r="I28" s="27" t="n">
        <v>0</v>
      </c>
      <c r="J28" s="27" t="n">
        <v>1</v>
      </c>
      <c r="K28" s="27" t="n">
        <v>0</v>
      </c>
      <c r="L28" s="21" t="n">
        <v>0</v>
      </c>
      <c r="M28" s="21" t="n">
        <v>0</v>
      </c>
      <c r="N28" s="27" t="n">
        <v>3599</v>
      </c>
      <c r="O28" s="28">
        <f>IF($Q28=0,"",IF(C28&gt;=C$2,1,0)+IF(D28&gt;=D$2,1,0)+IF(E28&gt;=E$2,1,0)+IF(F28&gt;=F$2,1,0))</f>
        <v/>
      </c>
      <c r="P28" s="29" t="n"/>
      <c r="Q28" s="30">
        <f>IF(COUNT(C28:M28)&gt;0,1,0)</f>
        <v/>
      </c>
    </row>
    <row r="29">
      <c r="A29" s="25">
        <f>A28+1</f>
        <v/>
      </c>
      <c r="B29" s="26">
        <f>IF(A29="","",TEXT(A29,"ddd"))</f>
        <v/>
      </c>
      <c r="C29" s="27" t="n">
        <v>4</v>
      </c>
      <c r="D29" s="27" t="n">
        <v>36</v>
      </c>
      <c r="E29" s="27" t="n">
        <v>14</v>
      </c>
      <c r="F29" s="27" t="n">
        <v>11</v>
      </c>
      <c r="G29" s="27" t="n">
        <v>3</v>
      </c>
      <c r="H29" s="27" t="n">
        <v>2</v>
      </c>
      <c r="I29" s="27" t="n">
        <v>1</v>
      </c>
      <c r="J29" s="27" t="n">
        <v>0</v>
      </c>
      <c r="K29" s="27" t="n">
        <v>0</v>
      </c>
      <c r="L29" s="21" t="n">
        <v>0</v>
      </c>
      <c r="M29" s="21" t="n">
        <v>0</v>
      </c>
      <c r="N29" s="27" t="n">
        <v>3611</v>
      </c>
      <c r="O29" s="28">
        <f>IF($Q29=0,"",IF(C29&gt;=C$2,1,0)+IF(D29&gt;=D$2,1,0)+IF(E29&gt;=E$2,1,0)+IF(F29&gt;=F$2,1,0))</f>
        <v/>
      </c>
      <c r="P29" s="29" t="n"/>
      <c r="Q29" s="30">
        <f>IF(COUNT(C29:M29)&gt;0,1,0)</f>
        <v/>
      </c>
    </row>
    <row r="30">
      <c r="A30" s="25">
        <f>A29+1</f>
        <v/>
      </c>
      <c r="B30" s="26">
        <f>IF(A30="","",TEXT(A30,"ddd"))</f>
        <v/>
      </c>
      <c r="C30" s="27" t="n">
        <v>3</v>
      </c>
      <c r="D30" s="27" t="n">
        <v>19</v>
      </c>
      <c r="E30" s="27" t="n">
        <v>6</v>
      </c>
      <c r="F30" s="27" t="n">
        <v>5</v>
      </c>
      <c r="G30" s="27" t="n">
        <v>1</v>
      </c>
      <c r="H30" s="27" t="n">
        <v>0</v>
      </c>
      <c r="I30" s="27" t="n">
        <v>0</v>
      </c>
      <c r="J30" s="27" t="n">
        <v>0</v>
      </c>
      <c r="K30" s="27" t="n">
        <v>0</v>
      </c>
      <c r="L30" s="21" t="n">
        <v>0</v>
      </c>
      <c r="M30" s="21" t="n">
        <v>0</v>
      </c>
      <c r="N30" s="27" t="n">
        <v>3623</v>
      </c>
      <c r="O30" s="28">
        <f>IF($Q30=0,"",IF(C30&gt;=C$2,1,0)+IF(D30&gt;=D$2,1,0)+IF(E30&gt;=E$2,1,0)+IF(F30&gt;=F$2,1,0))</f>
        <v/>
      </c>
      <c r="P30" s="29" t="n"/>
      <c r="Q30" s="30">
        <f>IF(COUNT(C30:M30)&gt;0,1,0)</f>
        <v/>
      </c>
    </row>
    <row r="31">
      <c r="A31" s="25">
        <f>A30+1</f>
        <v/>
      </c>
      <c r="B31" s="26">
        <f>IF(A31="","",TEXT(A31,"ddd"))</f>
        <v/>
      </c>
      <c r="C31" s="27" t="n">
        <v>3</v>
      </c>
      <c r="D31" s="27" t="n">
        <v>15</v>
      </c>
      <c r="E31" s="27" t="n">
        <v>7</v>
      </c>
      <c r="F31" s="27" t="n">
        <v>7</v>
      </c>
      <c r="G31" s="27" t="n">
        <v>3</v>
      </c>
      <c r="H31" s="27" t="n">
        <v>0</v>
      </c>
      <c r="I31" s="27" t="n">
        <v>1</v>
      </c>
      <c r="J31" s="27" t="n">
        <v>0</v>
      </c>
      <c r="K31" s="27" t="n">
        <v>0</v>
      </c>
      <c r="L31" s="21" t="n">
        <v>0</v>
      </c>
      <c r="M31" s="21" t="n">
        <v>0</v>
      </c>
      <c r="N31" s="27" t="n">
        <v>3640</v>
      </c>
      <c r="O31" s="28">
        <f>IF($Q31=0,"",IF(C31&gt;=C$2,1,0)+IF(D31&gt;=D$2,1,0)+IF(E31&gt;=E$2,1,0)+IF(F31&gt;=F$2,1,0))</f>
        <v/>
      </c>
      <c r="P31" s="29" t="n"/>
      <c r="Q31" s="30">
        <f>IF(COUNT(C31:M31)&gt;0,1,0)</f>
        <v/>
      </c>
    </row>
    <row r="32">
      <c r="A32" s="25">
        <f>A31+1</f>
        <v/>
      </c>
      <c r="B32" s="26">
        <f>IF(A32="","",TEXT(A32,"ddd"))</f>
        <v/>
      </c>
      <c r="C32" s="27" t="n">
        <v>6</v>
      </c>
      <c r="D32" s="27" t="n">
        <v>29</v>
      </c>
      <c r="E32" s="27" t="n">
        <v>16</v>
      </c>
      <c r="F32" s="27" t="n">
        <v>9</v>
      </c>
      <c r="G32" s="27" t="n">
        <v>6</v>
      </c>
      <c r="H32" s="27" t="n">
        <v>4</v>
      </c>
      <c r="I32" s="27" t="n">
        <v>0</v>
      </c>
      <c r="J32" s="27" t="n">
        <v>1</v>
      </c>
      <c r="K32" s="27" t="n">
        <v>1</v>
      </c>
      <c r="L32" s="21" t="n">
        <v>3000</v>
      </c>
      <c r="M32" s="21" t="n">
        <v>3000</v>
      </c>
      <c r="N32" s="27" t="n">
        <v>3648</v>
      </c>
      <c r="O32" s="28">
        <f>IF($Q32=0,"",IF(C32&gt;=C$2,1,0)+IF(D32&gt;=D$2,1,0)+IF(E32&gt;=E$2,1,0)+IF(F32&gt;=F$2,1,0))</f>
        <v/>
      </c>
      <c r="P32" s="29" t="n"/>
      <c r="Q32" s="30">
        <f>IF(COUNT(C32:M32)&gt;0,1,0)</f>
        <v/>
      </c>
    </row>
    <row r="33">
      <c r="A33" s="25">
        <f>A32+1</f>
        <v/>
      </c>
      <c r="B33" s="26">
        <f>IF(A33="","",TEXT(A33,"ddd"))</f>
        <v/>
      </c>
      <c r="C33" s="27" t="n">
        <v>6</v>
      </c>
      <c r="D33" s="27" t="n">
        <v>34</v>
      </c>
      <c r="E33" s="27" t="n">
        <v>14</v>
      </c>
      <c r="F33" s="27" t="n">
        <v>12</v>
      </c>
      <c r="G33" s="27" t="n">
        <v>3</v>
      </c>
      <c r="H33" s="27" t="n">
        <v>4</v>
      </c>
      <c r="I33" s="27" t="n">
        <v>0</v>
      </c>
      <c r="J33" s="27" t="n">
        <v>0</v>
      </c>
      <c r="K33" s="27" t="n">
        <v>0</v>
      </c>
      <c r="L33" s="21" t="n">
        <v>0</v>
      </c>
      <c r="M33" s="21" t="n">
        <v>0</v>
      </c>
      <c r="N33" s="27" t="n">
        <v>3658</v>
      </c>
      <c r="O33" s="28">
        <f>IF($Q33=0,"",IF(C33&gt;=C$2,1,0)+IF(D33&gt;=D$2,1,0)+IF(E33&gt;=E$2,1,0)+IF(F33&gt;=F$2,1,0))</f>
        <v/>
      </c>
      <c r="P33" s="29" t="n"/>
      <c r="Q33" s="30">
        <f>IF(COUNT(C33:M33)&gt;0,1,0)</f>
        <v/>
      </c>
    </row>
    <row r="34">
      <c r="A34" s="25">
        <f>A33+1</f>
        <v/>
      </c>
      <c r="B34" s="26">
        <f>IF(A34="","",TEXT(A34,"ddd"))</f>
        <v/>
      </c>
      <c r="C34" s="27" t="n">
        <v>4</v>
      </c>
      <c r="D34" s="27" t="n">
        <v>30</v>
      </c>
      <c r="E34" s="27" t="n">
        <v>15</v>
      </c>
      <c r="F34" s="27" t="n">
        <v>12</v>
      </c>
      <c r="G34" s="27" t="n">
        <v>4</v>
      </c>
      <c r="H34" s="27" t="n">
        <v>4</v>
      </c>
      <c r="I34" s="27" t="n">
        <v>2</v>
      </c>
      <c r="J34" s="27" t="n">
        <v>0</v>
      </c>
      <c r="K34" s="27" t="n">
        <v>0</v>
      </c>
      <c r="L34" s="21" t="n">
        <v>0</v>
      </c>
      <c r="M34" s="21" t="n">
        <v>0</v>
      </c>
      <c r="N34" s="27" t="n">
        <v>3685</v>
      </c>
      <c r="O34" s="28">
        <f>IF($Q34=0,"",IF(C34&gt;=C$2,1,0)+IF(D34&gt;=D$2,1,0)+IF(E34&gt;=E$2,1,0)+IF(F34&gt;=F$2,1,0))</f>
        <v/>
      </c>
      <c r="P34" s="29" t="n"/>
      <c r="Q34" s="30">
        <f>IF(COUNT(C34:M34)&gt;0,1,0)</f>
        <v/>
      </c>
    </row>
    <row r="35">
      <c r="A35" s="25">
        <f>A34+1</f>
        <v/>
      </c>
      <c r="B35" s="26">
        <f>IF(A35="","",TEXT(A35,"ddd"))</f>
        <v/>
      </c>
      <c r="C35" s="27" t="n">
        <v>0</v>
      </c>
      <c r="D35" s="27" t="n">
        <v>0</v>
      </c>
      <c r="E35" s="27" t="n">
        <v>0</v>
      </c>
      <c r="F35" s="27" t="n">
        <v>0</v>
      </c>
      <c r="G35" s="27" t="n">
        <v>0</v>
      </c>
      <c r="H35" s="27" t="n">
        <v>0</v>
      </c>
      <c r="I35" s="27" t="n">
        <v>0</v>
      </c>
      <c r="J35" s="27" t="n">
        <v>2</v>
      </c>
      <c r="K35" s="27" t="n">
        <v>1</v>
      </c>
      <c r="L35" s="21" t="n">
        <v>3000</v>
      </c>
      <c r="M35" s="21" t="n">
        <v>3000</v>
      </c>
      <c r="N35" s="27" t="n">
        <v>3685</v>
      </c>
      <c r="O35" s="28">
        <f>IF($Q35=0,"",IF(C35&gt;=C$2,1,0)+IF(D35&gt;=D$2,1,0)+IF(E35&gt;=E$2,1,0)+IF(F35&gt;=F$2,1,0))</f>
        <v/>
      </c>
      <c r="P35" s="29" t="n"/>
      <c r="Q35" s="30">
        <f>IF(COUNT(C35:M35)&gt;0,1,0)</f>
        <v/>
      </c>
    </row>
    <row r="36">
      <c r="A36" s="25">
        <f>A35+1</f>
        <v/>
      </c>
      <c r="B36" s="26">
        <f>IF(A36="","",TEXT(A36,"ddd"))</f>
        <v/>
      </c>
      <c r="C36" s="27" t="n">
        <v>4</v>
      </c>
      <c r="D36" s="27" t="n">
        <v>28</v>
      </c>
      <c r="E36" s="27" t="n">
        <v>16</v>
      </c>
      <c r="F36" s="27" t="n">
        <v>9</v>
      </c>
      <c r="G36" s="27" t="n">
        <v>7</v>
      </c>
      <c r="H36" s="27" t="n">
        <v>4</v>
      </c>
      <c r="I36" s="27" t="n">
        <v>0</v>
      </c>
      <c r="J36" s="27" t="n">
        <v>0</v>
      </c>
      <c r="K36" s="27" t="n">
        <v>0</v>
      </c>
      <c r="L36" s="21" t="n">
        <v>0</v>
      </c>
      <c r="M36" s="21" t="n">
        <v>0</v>
      </c>
      <c r="N36" s="27" t="n">
        <v>3697</v>
      </c>
      <c r="O36" s="28">
        <f>IF($Q36=0,"",IF(C36&gt;=C$2,1,0)+IF(D36&gt;=D$2,1,0)+IF(E36&gt;=E$2,1,0)+IF(F36&gt;=F$2,1,0))</f>
        <v/>
      </c>
      <c r="P36" s="29" t="n"/>
      <c r="Q36" s="30">
        <f>IF(COUNT(C36:M36)&gt;0,1,0)</f>
        <v/>
      </c>
    </row>
    <row r="37">
      <c r="A37" s="25">
        <f>A36+1</f>
        <v/>
      </c>
      <c r="B37" s="26">
        <f>IF(A37="","",TEXT(A37,"ddd"))</f>
        <v/>
      </c>
      <c r="C37" s="27" t="n">
        <v>2</v>
      </c>
      <c r="D37" s="27" t="n">
        <v>12</v>
      </c>
      <c r="E37" s="27" t="n">
        <v>6</v>
      </c>
      <c r="F37" s="27" t="n">
        <v>4</v>
      </c>
      <c r="G37" s="27" t="n">
        <v>2</v>
      </c>
      <c r="H37" s="27" t="n">
        <v>0</v>
      </c>
      <c r="I37" s="27" t="n">
        <v>1</v>
      </c>
      <c r="J37" s="27" t="n">
        <v>0</v>
      </c>
      <c r="K37" s="27" t="n">
        <v>0</v>
      </c>
      <c r="L37" s="21" t="n">
        <v>0</v>
      </c>
      <c r="M37" s="21" t="n">
        <v>0</v>
      </c>
      <c r="N37" s="27" t="n">
        <v>3716</v>
      </c>
      <c r="O37" s="28">
        <f>IF($Q37=0,"",IF(C37&gt;=C$2,1,0)+IF(D37&gt;=D$2,1,0)+IF(E37&gt;=E$2,1,0)+IF(F37&gt;=F$2,1,0))</f>
        <v/>
      </c>
      <c r="P37" s="29" t="n"/>
      <c r="Q37" s="30">
        <f>IF(COUNT(C37:M37)&gt;0,1,0)</f>
        <v/>
      </c>
    </row>
    <row r="38">
      <c r="A38" s="25">
        <f>A37+1</f>
        <v/>
      </c>
      <c r="B38" s="26">
        <f>IF(A38="","",TEXT(A38,"ddd"))</f>
        <v/>
      </c>
      <c r="C38" s="27" t="n">
        <v>2</v>
      </c>
      <c r="D38" s="27" t="n">
        <v>12</v>
      </c>
      <c r="E38" s="27" t="n">
        <v>6</v>
      </c>
      <c r="F38" s="27" t="n">
        <v>6</v>
      </c>
      <c r="G38" s="27" t="n">
        <v>3</v>
      </c>
      <c r="H38" s="27" t="n">
        <v>1</v>
      </c>
      <c r="I38" s="27" t="n">
        <v>0</v>
      </c>
      <c r="J38" s="27" t="n">
        <v>1</v>
      </c>
      <c r="K38" s="27" t="n">
        <v>0</v>
      </c>
      <c r="L38" s="21" t="n">
        <v>0</v>
      </c>
      <c r="M38" s="21" t="n">
        <v>0</v>
      </c>
      <c r="N38" s="27" t="n">
        <v>3722</v>
      </c>
      <c r="O38" s="28">
        <f>IF($Q38=0,"",IF(C38&gt;=C$2,1,0)+IF(D38&gt;=D$2,1,0)+IF(E38&gt;=E$2,1,0)+IF(F38&gt;=F$2,1,0))</f>
        <v/>
      </c>
      <c r="P38" s="29" t="n"/>
      <c r="Q38" s="30">
        <f>IF(COUNT(C38:M38)&gt;0,1,0)</f>
        <v/>
      </c>
    </row>
    <row r="39">
      <c r="A39" s="25">
        <f>A38+1</f>
        <v/>
      </c>
      <c r="B39" s="26">
        <f>IF(A39="","",TEXT(A39,"ddd"))</f>
        <v/>
      </c>
      <c r="C39" s="27" t="n">
        <v>5</v>
      </c>
      <c r="D39" s="27" t="n">
        <v>30</v>
      </c>
      <c r="E39" s="27" t="n">
        <v>15</v>
      </c>
      <c r="F39" s="27" t="n">
        <v>9</v>
      </c>
      <c r="G39" s="27" t="n">
        <v>4</v>
      </c>
      <c r="H39" s="27" t="n">
        <v>2</v>
      </c>
      <c r="I39" s="27" t="n">
        <v>0</v>
      </c>
      <c r="J39" s="27" t="n">
        <v>0</v>
      </c>
      <c r="K39" s="27" t="n">
        <v>0</v>
      </c>
      <c r="L39" s="21" t="n">
        <v>0</v>
      </c>
      <c r="M39" s="21" t="n">
        <v>0</v>
      </c>
      <c r="N39" s="27" t="n">
        <v>3731</v>
      </c>
      <c r="O39" s="28">
        <f>IF($Q39=0,"",IF(C39&gt;=C$2,1,0)+IF(D39&gt;=D$2,1,0)+IF(E39&gt;=E$2,1,0)+IF(F39&gt;=F$2,1,0))</f>
        <v/>
      </c>
      <c r="P39" s="29" t="n"/>
      <c r="Q39" s="30">
        <f>IF(COUNT(C39:M39)&gt;0,1,0)</f>
        <v/>
      </c>
    </row>
    <row r="40">
      <c r="A40" s="25">
        <f>A39+1</f>
        <v/>
      </c>
      <c r="B40" s="26">
        <f>IF(A40="","",TEXT(A40,"ddd"))</f>
        <v/>
      </c>
      <c r="C40" s="27" t="n">
        <v>6</v>
      </c>
      <c r="D40" s="27" t="n">
        <v>28</v>
      </c>
      <c r="E40" s="27" t="n">
        <v>13</v>
      </c>
      <c r="F40" s="27" t="n">
        <v>13</v>
      </c>
      <c r="G40" s="27" t="n">
        <v>7</v>
      </c>
      <c r="H40" s="27" t="n">
        <v>4</v>
      </c>
      <c r="I40" s="27" t="n">
        <v>1</v>
      </c>
      <c r="J40" s="27" t="n">
        <v>0</v>
      </c>
      <c r="K40" s="27" t="n">
        <v>0</v>
      </c>
      <c r="L40" s="21" t="n">
        <v>0</v>
      </c>
      <c r="M40" s="21" t="n">
        <v>0</v>
      </c>
      <c r="N40" s="27" t="n">
        <v>3740</v>
      </c>
      <c r="O40" s="28">
        <f>IF($Q40=0,"",IF(C40&gt;=C$2,1,0)+IF(D40&gt;=D$2,1,0)+IF(E40&gt;=E$2,1,0)+IF(F40&gt;=F$2,1,0))</f>
        <v/>
      </c>
      <c r="P40" s="29" t="n"/>
      <c r="Q40" s="30">
        <f>IF(COUNT(C40:M40)&gt;0,1,0)</f>
        <v/>
      </c>
    </row>
    <row r="41">
      <c r="A41" s="25">
        <f>A40+1</f>
        <v/>
      </c>
      <c r="B41" s="26">
        <f>IF(A41="","",TEXT(A41,"ddd"))</f>
        <v/>
      </c>
      <c r="C41" s="27" t="n">
        <v>6</v>
      </c>
      <c r="D41" s="27" t="n">
        <v>28</v>
      </c>
      <c r="E41" s="27" t="n">
        <v>12</v>
      </c>
      <c r="F41" s="27" t="n">
        <v>10</v>
      </c>
      <c r="G41" s="27" t="n">
        <v>5</v>
      </c>
      <c r="H41" s="27" t="n">
        <v>2</v>
      </c>
      <c r="I41" s="27" t="n">
        <v>0</v>
      </c>
      <c r="J41" s="27" t="n">
        <v>1</v>
      </c>
      <c r="K41" s="27" t="n">
        <v>0</v>
      </c>
      <c r="L41" s="21" t="n">
        <v>0</v>
      </c>
      <c r="M41" s="21" t="n">
        <v>0</v>
      </c>
      <c r="N41" s="27" t="n">
        <v>3748</v>
      </c>
      <c r="O41" s="28">
        <f>IF($Q41=0,"",IF(C41&gt;=C$2,1,0)+IF(D41&gt;=D$2,1,0)+IF(E41&gt;=E$2,1,0)+IF(F41&gt;=F$2,1,0))</f>
        <v/>
      </c>
      <c r="P41" s="29" t="n"/>
      <c r="Q41" s="30">
        <f>IF(COUNT(C41:M41)&gt;0,1,0)</f>
        <v/>
      </c>
    </row>
    <row r="42">
      <c r="A42" s="25">
        <f>A41+1</f>
        <v/>
      </c>
      <c r="B42" s="26">
        <f>IF(A42="","",TEXT(A42,"ddd"))</f>
        <v/>
      </c>
      <c r="C42" s="27" t="n">
        <v>5</v>
      </c>
      <c r="D42" s="27" t="n">
        <v>33</v>
      </c>
      <c r="E42" s="27" t="n">
        <v>15</v>
      </c>
      <c r="F42" s="27" t="n">
        <v>13</v>
      </c>
      <c r="G42" s="27" t="n">
        <v>7</v>
      </c>
      <c r="H42" s="27" t="n">
        <v>4</v>
      </c>
      <c r="I42" s="27" t="n">
        <v>0</v>
      </c>
      <c r="J42" s="27" t="n">
        <v>0</v>
      </c>
      <c r="K42" s="27" t="n">
        <v>0</v>
      </c>
      <c r="L42" s="21" t="n">
        <v>0</v>
      </c>
      <c r="M42" s="21" t="n">
        <v>0</v>
      </c>
      <c r="N42" s="27" t="n">
        <v>3768</v>
      </c>
      <c r="O42" s="28">
        <f>IF($Q42=0,"",IF(C42&gt;=C$2,1,0)+IF(D42&gt;=D$2,1,0)+IF(E42&gt;=E$2,1,0)+IF(F42&gt;=F$2,1,0))</f>
        <v/>
      </c>
      <c r="P42" s="29" t="n"/>
      <c r="Q42" s="30">
        <f>IF(COUNT(C42:M42)&gt;0,1,0)</f>
        <v/>
      </c>
    </row>
    <row r="43">
      <c r="A43" s="25">
        <f>A42+1</f>
        <v/>
      </c>
      <c r="B43" s="26">
        <f>IF(A43="","",TEXT(A43,"ddd"))</f>
        <v/>
      </c>
      <c r="C43" s="27" t="n">
        <v>6</v>
      </c>
      <c r="D43" s="27" t="n">
        <v>36</v>
      </c>
      <c r="E43" s="27" t="n">
        <v>14</v>
      </c>
      <c r="F43" s="27" t="n">
        <v>13</v>
      </c>
      <c r="G43" s="27" t="n">
        <v>4</v>
      </c>
      <c r="H43" s="27" t="n">
        <v>4</v>
      </c>
      <c r="I43" s="27" t="n">
        <v>2</v>
      </c>
      <c r="J43" s="27" t="n">
        <v>0</v>
      </c>
      <c r="K43" s="27" t="n">
        <v>0</v>
      </c>
      <c r="L43" s="21" t="n">
        <v>0</v>
      </c>
      <c r="M43" s="21" t="n">
        <v>0</v>
      </c>
      <c r="N43" s="27" t="n">
        <v>3782</v>
      </c>
      <c r="O43" s="28">
        <f>IF($Q43=0,"",IF(C43&gt;=C$2,1,0)+IF(D43&gt;=D$2,1,0)+IF(E43&gt;=E$2,1,0)+IF(F43&gt;=F$2,1,0))</f>
        <v/>
      </c>
      <c r="P43" s="29" t="n"/>
      <c r="Q43" s="30">
        <f>IF(COUNT(C43:M43)&gt;0,1,0)</f>
        <v/>
      </c>
    </row>
    <row r="44">
      <c r="A44" s="25">
        <f>A43+1</f>
        <v/>
      </c>
      <c r="B44" s="26">
        <f>IF(A44="","",TEXT(A44,"ddd"))</f>
        <v/>
      </c>
      <c r="C44" s="27" t="n">
        <v>2</v>
      </c>
      <c r="D44" s="27" t="n">
        <v>19</v>
      </c>
      <c r="E44" s="27" t="n">
        <v>5</v>
      </c>
      <c r="F44" s="27" t="n">
        <v>6</v>
      </c>
      <c r="G44" s="27" t="n">
        <v>1</v>
      </c>
      <c r="H44" s="27" t="n">
        <v>1</v>
      </c>
      <c r="I44" s="27" t="n">
        <v>1</v>
      </c>
      <c r="J44" s="27" t="n">
        <v>2</v>
      </c>
      <c r="K44" s="27" t="n">
        <v>0</v>
      </c>
      <c r="L44" s="21" t="n">
        <v>0</v>
      </c>
      <c r="M44" s="21" t="n">
        <v>0</v>
      </c>
      <c r="N44" s="27" t="n">
        <v>3801</v>
      </c>
      <c r="O44" s="28">
        <f>IF($Q44=0,"",IF(C44&gt;=C$2,1,0)+IF(D44&gt;=D$2,1,0)+IF(E44&gt;=E$2,1,0)+IF(F44&gt;=F$2,1,0))</f>
        <v/>
      </c>
      <c r="P44" s="29" t="n"/>
      <c r="Q44" s="30">
        <f>IF(COUNT(C44:M44)&gt;0,1,0)</f>
        <v/>
      </c>
    </row>
    <row r="45">
      <c r="A45" s="25">
        <f>A44+1</f>
        <v/>
      </c>
      <c r="B45" s="26">
        <f>IF(A45="","",TEXT(A45,"ddd"))</f>
        <v/>
      </c>
      <c r="C45" s="27" t="n">
        <v>2</v>
      </c>
      <c r="D45" s="27" t="n">
        <v>15</v>
      </c>
      <c r="E45" s="27" t="n">
        <v>6</v>
      </c>
      <c r="F45" s="27" t="n">
        <v>3</v>
      </c>
      <c r="G45" s="27" t="n">
        <v>1</v>
      </c>
      <c r="H45" s="27" t="n">
        <v>1</v>
      </c>
      <c r="I45" s="27" t="n">
        <v>0</v>
      </c>
      <c r="J45" s="27" t="n">
        <v>0</v>
      </c>
      <c r="K45" s="27" t="n">
        <v>0</v>
      </c>
      <c r="L45" s="21" t="n">
        <v>0</v>
      </c>
      <c r="M45" s="21" t="n">
        <v>0</v>
      </c>
      <c r="N45" s="27" t="n">
        <v>3811</v>
      </c>
      <c r="O45" s="28">
        <f>IF($Q45=0,"",IF(C45&gt;=C$2,1,0)+IF(D45&gt;=D$2,1,0)+IF(E45&gt;=E$2,1,0)+IF(F45&gt;=F$2,1,0))</f>
        <v/>
      </c>
      <c r="P45" s="29" t="n"/>
      <c r="Q45" s="30">
        <f>IF(COUNT(C45:M45)&gt;0,1,0)</f>
        <v/>
      </c>
    </row>
    <row r="46">
      <c r="A46" s="25">
        <f>A45+1</f>
        <v/>
      </c>
      <c r="B46" s="26">
        <f>IF(A46="","",TEXT(A46,"ddd"))</f>
        <v/>
      </c>
      <c r="C46" s="27" t="n">
        <v>5</v>
      </c>
      <c r="D46" s="27" t="n">
        <v>31</v>
      </c>
      <c r="E46" s="27" t="n">
        <v>16</v>
      </c>
      <c r="F46" s="27" t="n">
        <v>9</v>
      </c>
      <c r="G46" s="27" t="n">
        <v>6</v>
      </c>
      <c r="H46" s="27" t="n">
        <v>3</v>
      </c>
      <c r="I46" s="27" t="n">
        <v>0</v>
      </c>
      <c r="J46" s="27" t="n">
        <v>0</v>
      </c>
      <c r="K46" s="27" t="n">
        <v>0</v>
      </c>
      <c r="L46" s="21" t="n">
        <v>0</v>
      </c>
      <c r="M46" s="21" t="n">
        <v>0</v>
      </c>
      <c r="N46" s="27" t="n">
        <v>3824</v>
      </c>
      <c r="O46" s="28">
        <f>IF($Q46=0,"",IF(C46&gt;=C$2,1,0)+IF(D46&gt;=D$2,1,0)+IF(E46&gt;=E$2,1,0)+IF(F46&gt;=F$2,1,0))</f>
        <v/>
      </c>
      <c r="P46" s="29" t="n"/>
      <c r="Q46" s="30">
        <f>IF(COUNT(C46:M46)&gt;0,1,0)</f>
        <v/>
      </c>
    </row>
    <row r="47">
      <c r="A47" s="25">
        <f>A46+1</f>
        <v/>
      </c>
      <c r="B47" s="26">
        <f>IF(A47="","",TEXT(A47,"ddd"))</f>
        <v/>
      </c>
      <c r="C47" s="27" t="n">
        <v>4</v>
      </c>
      <c r="D47" s="27" t="n">
        <v>34</v>
      </c>
      <c r="E47" s="27" t="n">
        <v>15</v>
      </c>
      <c r="F47" s="27" t="n">
        <v>12</v>
      </c>
      <c r="G47" s="27" t="n">
        <v>5</v>
      </c>
      <c r="H47" s="27" t="n">
        <v>3</v>
      </c>
      <c r="I47" s="27" t="n">
        <v>0</v>
      </c>
      <c r="J47" s="27" t="n">
        <v>0</v>
      </c>
      <c r="K47" s="27" t="n">
        <v>0</v>
      </c>
      <c r="L47" s="21" t="n">
        <v>0</v>
      </c>
      <c r="M47" s="21" t="n">
        <v>0</v>
      </c>
      <c r="N47" s="27" t="n">
        <v>3832</v>
      </c>
      <c r="O47" s="28">
        <f>IF($Q47=0,"",IF(C47&gt;=C$2,1,0)+IF(D47&gt;=D$2,1,0)+IF(E47&gt;=E$2,1,0)+IF(F47&gt;=F$2,1,0))</f>
        <v/>
      </c>
      <c r="P47" s="29" t="n"/>
      <c r="Q47" s="30">
        <f>IF(COUNT(C47:M47)&gt;0,1,0)</f>
        <v/>
      </c>
    </row>
    <row r="48">
      <c r="A48" s="25">
        <f>A47+1</f>
        <v/>
      </c>
      <c r="B48" s="26">
        <f>IF(A48="","",TEXT(A48,"ddd"))</f>
        <v/>
      </c>
      <c r="C48" s="27" t="n">
        <v>6</v>
      </c>
      <c r="D48" s="27" t="n">
        <v>33</v>
      </c>
      <c r="E48" s="27" t="n">
        <v>11</v>
      </c>
      <c r="F48" s="27" t="n">
        <v>11</v>
      </c>
      <c r="G48" s="27" t="n">
        <v>7</v>
      </c>
      <c r="H48" s="27" t="n">
        <v>3</v>
      </c>
      <c r="I48" s="27" t="n">
        <v>1</v>
      </c>
      <c r="J48" s="27" t="n">
        <v>0</v>
      </c>
      <c r="K48" s="27" t="n">
        <v>0</v>
      </c>
      <c r="L48" s="21" t="n">
        <v>0</v>
      </c>
      <c r="M48" s="21" t="n">
        <v>0</v>
      </c>
      <c r="N48" s="27" t="n">
        <v>3850</v>
      </c>
      <c r="O48" s="28">
        <f>IF($Q48=0,"",IF(C48&gt;=C$2,1,0)+IF(D48&gt;=D$2,1,0)+IF(E48&gt;=E$2,1,0)+IF(F48&gt;=F$2,1,0))</f>
        <v/>
      </c>
      <c r="P48" s="29" t="n"/>
      <c r="Q48" s="30">
        <f>IF(COUNT(C48:M48)&gt;0,1,0)</f>
        <v/>
      </c>
    </row>
    <row r="49">
      <c r="A49" s="25">
        <f>A48+1</f>
        <v/>
      </c>
      <c r="B49" s="26">
        <f>IF(A49="","",TEXT(A49,"ddd"))</f>
        <v/>
      </c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1" t="n"/>
      <c r="M49" s="21" t="n"/>
      <c r="N49" s="27" t="n"/>
      <c r="O49" s="28">
        <f>IF($Q49=0,"",IF(C49&gt;=C$2,1,0)+IF(D49&gt;=D$2,1,0)+IF(E49&gt;=E$2,1,0)+IF(F49&gt;=F$2,1,0))</f>
        <v/>
      </c>
      <c r="P49" s="29" t="n"/>
      <c r="Q49" s="30">
        <f>IF(COUNT(C49:M49)&gt;0,1,0)</f>
        <v/>
      </c>
    </row>
    <row r="50">
      <c r="A50" s="25">
        <f>A49+1</f>
        <v/>
      </c>
      <c r="B50" s="26">
        <f>IF(A50="","",TEXT(A50,"ddd"))</f>
        <v/>
      </c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1" t="n"/>
      <c r="M50" s="21" t="n"/>
      <c r="N50" s="27" t="n"/>
      <c r="O50" s="28">
        <f>IF($Q50=0,"",IF(C50&gt;=C$2,1,0)+IF(D50&gt;=D$2,1,0)+IF(E50&gt;=E$2,1,0)+IF(F50&gt;=F$2,1,0))</f>
        <v/>
      </c>
      <c r="P50" s="29" t="n"/>
      <c r="Q50" s="30">
        <f>IF(COUNT(C50:M50)&gt;0,1,0)</f>
        <v/>
      </c>
    </row>
    <row r="51">
      <c r="A51" s="25">
        <f>A50+1</f>
        <v/>
      </c>
      <c r="B51" s="26">
        <f>IF(A51="","",TEXT(A51,"ddd"))</f>
        <v/>
      </c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1" t="n"/>
      <c r="M51" s="21" t="n"/>
      <c r="N51" s="27" t="n"/>
      <c r="O51" s="28">
        <f>IF($Q51=0,"",IF(C51&gt;=C$2,1,0)+IF(D51&gt;=D$2,1,0)+IF(E51&gt;=E$2,1,0)+IF(F51&gt;=F$2,1,0))</f>
        <v/>
      </c>
      <c r="P51" s="29" t="n"/>
      <c r="Q51" s="30">
        <f>IF(COUNT(C51:M51)&gt;0,1,0)</f>
        <v/>
      </c>
    </row>
    <row r="52">
      <c r="A52" s="25">
        <f>A51+1</f>
        <v/>
      </c>
      <c r="B52" s="26">
        <f>IF(A52="","",TEXT(A52,"ddd"))</f>
        <v/>
      </c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1" t="n"/>
      <c r="M52" s="21" t="n"/>
      <c r="N52" s="27" t="n"/>
      <c r="O52" s="28">
        <f>IF($Q52=0,"",IF(C52&gt;=C$2,1,0)+IF(D52&gt;=D$2,1,0)+IF(E52&gt;=E$2,1,0)+IF(F52&gt;=F$2,1,0))</f>
        <v/>
      </c>
      <c r="P52" s="29" t="n"/>
      <c r="Q52" s="30">
        <f>IF(COUNT(C52:M52)&gt;0,1,0)</f>
        <v/>
      </c>
    </row>
    <row r="53">
      <c r="A53" s="25">
        <f>A52+1</f>
        <v/>
      </c>
      <c r="B53" s="26">
        <f>IF(A53="","",TEXT(A53,"ddd"))</f>
        <v/>
      </c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1" t="n"/>
      <c r="M53" s="21" t="n"/>
      <c r="N53" s="27" t="n"/>
      <c r="O53" s="28">
        <f>IF($Q53=0,"",IF(C53&gt;=C$2,1,0)+IF(D53&gt;=D$2,1,0)+IF(E53&gt;=E$2,1,0)+IF(F53&gt;=F$2,1,0))</f>
        <v/>
      </c>
      <c r="P53" s="29" t="n"/>
      <c r="Q53" s="30">
        <f>IF(COUNT(C53:M53)&gt;0,1,0)</f>
        <v/>
      </c>
    </row>
    <row r="54">
      <c r="A54" s="25">
        <f>A53+1</f>
        <v/>
      </c>
      <c r="B54" s="26">
        <f>IF(A54="","",TEXT(A54,"ddd"))</f>
        <v/>
      </c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1" t="n"/>
      <c r="M54" s="21" t="n"/>
      <c r="N54" s="27" t="n"/>
      <c r="O54" s="28">
        <f>IF($Q54=0,"",IF(C54&gt;=C$2,1,0)+IF(D54&gt;=D$2,1,0)+IF(E54&gt;=E$2,1,0)+IF(F54&gt;=F$2,1,0))</f>
        <v/>
      </c>
      <c r="P54" s="29" t="n"/>
      <c r="Q54" s="30">
        <f>IF(COUNT(C54:M54)&gt;0,1,0)</f>
        <v/>
      </c>
    </row>
    <row r="55">
      <c r="A55" s="25">
        <f>A54+1</f>
        <v/>
      </c>
      <c r="B55" s="26">
        <f>IF(A55="","",TEXT(A55,"ddd"))</f>
        <v/>
      </c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1" t="n"/>
      <c r="M55" s="21" t="n"/>
      <c r="N55" s="27" t="n"/>
      <c r="O55" s="28">
        <f>IF($Q55=0,"",IF(C55&gt;=C$2,1,0)+IF(D55&gt;=D$2,1,0)+IF(E55&gt;=E$2,1,0)+IF(F55&gt;=F$2,1,0))</f>
        <v/>
      </c>
      <c r="P55" s="29" t="n"/>
      <c r="Q55" s="30">
        <f>IF(COUNT(C55:M55)&gt;0,1,0)</f>
        <v/>
      </c>
    </row>
    <row r="56">
      <c r="A56" s="25">
        <f>A55+1</f>
        <v/>
      </c>
      <c r="B56" s="26">
        <f>IF(A56="","",TEXT(A56,"ddd"))</f>
        <v/>
      </c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1" t="n"/>
      <c r="M56" s="21" t="n"/>
      <c r="N56" s="27" t="n"/>
      <c r="O56" s="28">
        <f>IF($Q56=0,"",IF(C56&gt;=C$2,1,0)+IF(D56&gt;=D$2,1,0)+IF(E56&gt;=E$2,1,0)+IF(F56&gt;=F$2,1,0))</f>
        <v/>
      </c>
      <c r="P56" s="29" t="n"/>
      <c r="Q56" s="30">
        <f>IF(COUNT(C56:M56)&gt;0,1,0)</f>
        <v/>
      </c>
    </row>
    <row r="57">
      <c r="A57" s="25">
        <f>A56+1</f>
        <v/>
      </c>
      <c r="B57" s="26">
        <f>IF(A57="","",TEXT(A57,"ddd"))</f>
        <v/>
      </c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1" t="n"/>
      <c r="M57" s="21" t="n"/>
      <c r="N57" s="27" t="n"/>
      <c r="O57" s="28">
        <f>IF($Q57=0,"",IF(C57&gt;=C$2,1,0)+IF(D57&gt;=D$2,1,0)+IF(E57&gt;=E$2,1,0)+IF(F57&gt;=F$2,1,0))</f>
        <v/>
      </c>
      <c r="P57" s="29" t="n"/>
      <c r="Q57" s="30">
        <f>IF(COUNT(C57:M57)&gt;0,1,0)</f>
        <v/>
      </c>
    </row>
    <row r="58">
      <c r="A58" s="25">
        <f>A57+1</f>
        <v/>
      </c>
      <c r="B58" s="26">
        <f>IF(A58="","",TEXT(A58,"ddd"))</f>
        <v/>
      </c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1" t="n"/>
      <c r="M58" s="21" t="n"/>
      <c r="N58" s="27" t="n"/>
      <c r="O58" s="28">
        <f>IF($Q58=0,"",IF(C58&gt;=C$2,1,0)+IF(D58&gt;=D$2,1,0)+IF(E58&gt;=E$2,1,0)+IF(F58&gt;=F$2,1,0))</f>
        <v/>
      </c>
      <c r="P58" s="29" t="n"/>
      <c r="Q58" s="30">
        <f>IF(COUNT(C58:M58)&gt;0,1,0)</f>
        <v/>
      </c>
    </row>
    <row r="59">
      <c r="A59" s="25">
        <f>A58+1</f>
        <v/>
      </c>
      <c r="B59" s="26">
        <f>IF(A59="","",TEXT(A59,"ddd"))</f>
        <v/>
      </c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1" t="n"/>
      <c r="M59" s="21" t="n"/>
      <c r="N59" s="27" t="n"/>
      <c r="O59" s="28">
        <f>IF($Q59=0,"",IF(C59&gt;=C$2,1,0)+IF(D59&gt;=D$2,1,0)+IF(E59&gt;=E$2,1,0)+IF(F59&gt;=F$2,1,0))</f>
        <v/>
      </c>
      <c r="P59" s="29" t="n"/>
      <c r="Q59" s="30">
        <f>IF(COUNT(C59:M59)&gt;0,1,0)</f>
        <v/>
      </c>
    </row>
    <row r="60">
      <c r="A60" s="25">
        <f>A59+1</f>
        <v/>
      </c>
      <c r="B60" s="26">
        <f>IF(A60="","",TEXT(A60,"ddd"))</f>
        <v/>
      </c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1" t="n"/>
      <c r="M60" s="21" t="n"/>
      <c r="N60" s="27" t="n"/>
      <c r="O60" s="28">
        <f>IF($Q60=0,"",IF(C60&gt;=C$2,1,0)+IF(D60&gt;=D$2,1,0)+IF(E60&gt;=E$2,1,0)+IF(F60&gt;=F$2,1,0))</f>
        <v/>
      </c>
      <c r="P60" s="29" t="n"/>
      <c r="Q60" s="30">
        <f>IF(COUNT(C60:M60)&gt;0,1,0)</f>
        <v/>
      </c>
    </row>
    <row r="61">
      <c r="A61" s="25">
        <f>A60+1</f>
        <v/>
      </c>
      <c r="B61" s="26">
        <f>IF(A61="","",TEXT(A61,"ddd"))</f>
        <v/>
      </c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1" t="n"/>
      <c r="M61" s="21" t="n"/>
      <c r="N61" s="27" t="n"/>
      <c r="O61" s="28">
        <f>IF($Q61=0,"",IF(C61&gt;=C$2,1,0)+IF(D61&gt;=D$2,1,0)+IF(E61&gt;=E$2,1,0)+IF(F61&gt;=F$2,1,0))</f>
        <v/>
      </c>
      <c r="P61" s="29" t="n"/>
      <c r="Q61" s="30">
        <f>IF(COUNT(C61:M61)&gt;0,1,0)</f>
        <v/>
      </c>
    </row>
    <row r="62">
      <c r="A62" s="25">
        <f>A61+1</f>
        <v/>
      </c>
      <c r="B62" s="26">
        <f>IF(A62="","",TEXT(A62,"ddd"))</f>
        <v/>
      </c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1" t="n"/>
      <c r="M62" s="21" t="n"/>
      <c r="N62" s="27" t="n"/>
      <c r="O62" s="28">
        <f>IF($Q62=0,"",IF(C62&gt;=C$2,1,0)+IF(D62&gt;=D$2,1,0)+IF(E62&gt;=E$2,1,0)+IF(F62&gt;=F$2,1,0))</f>
        <v/>
      </c>
      <c r="P62" s="29" t="n"/>
      <c r="Q62" s="30">
        <f>IF(COUNT(C62:M62)&gt;0,1,0)</f>
        <v/>
      </c>
    </row>
    <row r="63">
      <c r="A63" s="25">
        <f>A62+1</f>
        <v/>
      </c>
      <c r="B63" s="26">
        <f>IF(A63="","",TEXT(A63,"ddd"))</f>
        <v/>
      </c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1" t="n"/>
      <c r="M63" s="21" t="n"/>
      <c r="N63" s="27" t="n"/>
      <c r="O63" s="28">
        <f>IF($Q63=0,"",IF(C63&gt;=C$2,1,0)+IF(D63&gt;=D$2,1,0)+IF(E63&gt;=E$2,1,0)+IF(F63&gt;=F$2,1,0))</f>
        <v/>
      </c>
      <c r="P63" s="29" t="n"/>
      <c r="Q63" s="30">
        <f>IF(COUNT(C63:M63)&gt;0,1,0)</f>
        <v/>
      </c>
    </row>
    <row r="64">
      <c r="A64" s="25">
        <f>A63+1</f>
        <v/>
      </c>
      <c r="B64" s="26">
        <f>IF(A64="","",TEXT(A64,"ddd"))</f>
        <v/>
      </c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1" t="n"/>
      <c r="M64" s="21" t="n"/>
      <c r="N64" s="27" t="n"/>
      <c r="O64" s="28">
        <f>IF($Q64=0,"",IF(C64&gt;=C$2,1,0)+IF(D64&gt;=D$2,1,0)+IF(E64&gt;=E$2,1,0)+IF(F64&gt;=F$2,1,0))</f>
        <v/>
      </c>
      <c r="P64" s="29" t="n"/>
      <c r="Q64" s="30">
        <f>IF(COUNT(C64:M64)&gt;0,1,0)</f>
        <v/>
      </c>
    </row>
    <row r="65">
      <c r="A65" s="25">
        <f>A64+1</f>
        <v/>
      </c>
      <c r="B65" s="26">
        <f>IF(A65="","",TEXT(A65,"ddd"))</f>
        <v/>
      </c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1" t="n"/>
      <c r="M65" s="21" t="n"/>
      <c r="N65" s="27" t="n"/>
      <c r="O65" s="28">
        <f>IF($Q65=0,"",IF(C65&gt;=C$2,1,0)+IF(D65&gt;=D$2,1,0)+IF(E65&gt;=E$2,1,0)+IF(F65&gt;=F$2,1,0))</f>
        <v/>
      </c>
      <c r="P65" s="29" t="n"/>
      <c r="Q65" s="30">
        <f>IF(COUNT(C65:M65)&gt;0,1,0)</f>
        <v/>
      </c>
    </row>
    <row r="66">
      <c r="A66" s="25">
        <f>A65+1</f>
        <v/>
      </c>
      <c r="B66" s="26">
        <f>IF(A66="","",TEXT(A66,"ddd"))</f>
        <v/>
      </c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1" t="n"/>
      <c r="M66" s="21" t="n"/>
      <c r="N66" s="27" t="n"/>
      <c r="O66" s="28">
        <f>IF($Q66=0,"",IF(C66&gt;=C$2,1,0)+IF(D66&gt;=D$2,1,0)+IF(E66&gt;=E$2,1,0)+IF(F66&gt;=F$2,1,0))</f>
        <v/>
      </c>
      <c r="P66" s="29" t="n"/>
      <c r="Q66" s="30">
        <f>IF(COUNT(C66:M66)&gt;0,1,0)</f>
        <v/>
      </c>
    </row>
    <row r="67">
      <c r="A67" s="25">
        <f>A66+1</f>
        <v/>
      </c>
      <c r="B67" s="26">
        <f>IF(A67="","",TEXT(A67,"ddd"))</f>
        <v/>
      </c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1" t="n"/>
      <c r="M67" s="21" t="n"/>
      <c r="N67" s="27" t="n"/>
      <c r="O67" s="28">
        <f>IF($Q67=0,"",IF(C67&gt;=C$2,1,0)+IF(D67&gt;=D$2,1,0)+IF(E67&gt;=E$2,1,0)+IF(F67&gt;=F$2,1,0))</f>
        <v/>
      </c>
      <c r="P67" s="29" t="n"/>
      <c r="Q67" s="30">
        <f>IF(COUNT(C67:M67)&gt;0,1,0)</f>
        <v/>
      </c>
    </row>
    <row r="68">
      <c r="A68" s="25">
        <f>A67+1</f>
        <v/>
      </c>
      <c r="B68" s="26">
        <f>IF(A68="","",TEXT(A68,"ddd"))</f>
        <v/>
      </c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1" t="n"/>
      <c r="M68" s="21" t="n"/>
      <c r="N68" s="27" t="n"/>
      <c r="O68" s="28">
        <f>IF($Q68=0,"",IF(C68&gt;=C$2,1,0)+IF(D68&gt;=D$2,1,0)+IF(E68&gt;=E$2,1,0)+IF(F68&gt;=F$2,1,0))</f>
        <v/>
      </c>
      <c r="P68" s="29" t="n"/>
      <c r="Q68" s="30">
        <f>IF(COUNT(C68:M68)&gt;0,1,0)</f>
        <v/>
      </c>
    </row>
    <row r="69">
      <c r="A69" s="25">
        <f>A68+1</f>
        <v/>
      </c>
      <c r="B69" s="26">
        <f>IF(A69="","",TEXT(A69,"ddd"))</f>
        <v/>
      </c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1" t="n"/>
      <c r="M69" s="21" t="n"/>
      <c r="N69" s="27" t="n"/>
      <c r="O69" s="28">
        <f>IF($Q69=0,"",IF(C69&gt;=C$2,1,0)+IF(D69&gt;=D$2,1,0)+IF(E69&gt;=E$2,1,0)+IF(F69&gt;=F$2,1,0))</f>
        <v/>
      </c>
      <c r="P69" s="29" t="n"/>
      <c r="Q69" s="30">
        <f>IF(COUNT(C69:M69)&gt;0,1,0)</f>
        <v/>
      </c>
    </row>
    <row r="70">
      <c r="A70" s="25">
        <f>A69+1</f>
        <v/>
      </c>
      <c r="B70" s="26">
        <f>IF(A70="","",TEXT(A70,"ddd"))</f>
        <v/>
      </c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1" t="n"/>
      <c r="M70" s="21" t="n"/>
      <c r="N70" s="27" t="n"/>
      <c r="O70" s="28">
        <f>IF($Q70=0,"",IF(C70&gt;=C$2,1,0)+IF(D70&gt;=D$2,1,0)+IF(E70&gt;=E$2,1,0)+IF(F70&gt;=F$2,1,0))</f>
        <v/>
      </c>
      <c r="P70" s="29" t="n"/>
      <c r="Q70" s="30">
        <f>IF(COUNT(C70:M70)&gt;0,1,0)</f>
        <v/>
      </c>
    </row>
    <row r="71">
      <c r="A71" s="25">
        <f>A70+1</f>
        <v/>
      </c>
      <c r="B71" s="26">
        <f>IF(A71="","",TEXT(A71,"ddd"))</f>
        <v/>
      </c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1" t="n"/>
      <c r="M71" s="21" t="n"/>
      <c r="N71" s="27" t="n"/>
      <c r="O71" s="28">
        <f>IF($Q71=0,"",IF(C71&gt;=C$2,1,0)+IF(D71&gt;=D$2,1,0)+IF(E71&gt;=E$2,1,0)+IF(F71&gt;=F$2,1,0))</f>
        <v/>
      </c>
      <c r="P71" s="29" t="n"/>
      <c r="Q71" s="30">
        <f>IF(COUNT(C71:M71)&gt;0,1,0)</f>
        <v/>
      </c>
    </row>
    <row r="72">
      <c r="A72" s="25">
        <f>A71+1</f>
        <v/>
      </c>
      <c r="B72" s="26">
        <f>IF(A72="","",TEXT(A72,"ddd"))</f>
        <v/>
      </c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1" t="n"/>
      <c r="M72" s="21" t="n"/>
      <c r="N72" s="27" t="n"/>
      <c r="O72" s="28">
        <f>IF($Q72=0,"",IF(C72&gt;=C$2,1,0)+IF(D72&gt;=D$2,1,0)+IF(E72&gt;=E$2,1,0)+IF(F72&gt;=F$2,1,0))</f>
        <v/>
      </c>
      <c r="P72" s="29" t="n"/>
      <c r="Q72" s="30">
        <f>IF(COUNT(C72:M72)&gt;0,1,0)</f>
        <v/>
      </c>
    </row>
    <row r="73">
      <c r="A73" s="25">
        <f>A72+1</f>
        <v/>
      </c>
      <c r="B73" s="26">
        <f>IF(A73="","",TEXT(A73,"ddd"))</f>
        <v/>
      </c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1" t="n"/>
      <c r="M73" s="21" t="n"/>
      <c r="N73" s="27" t="n"/>
      <c r="O73" s="28">
        <f>IF($Q73=0,"",IF(C73&gt;=C$2,1,0)+IF(D73&gt;=D$2,1,0)+IF(E73&gt;=E$2,1,0)+IF(F73&gt;=F$2,1,0))</f>
        <v/>
      </c>
      <c r="P73" s="29" t="n"/>
      <c r="Q73" s="30">
        <f>IF(COUNT(C73:M73)&gt;0,1,0)</f>
        <v/>
      </c>
    </row>
    <row r="74">
      <c r="A74" s="25">
        <f>A73+1</f>
        <v/>
      </c>
      <c r="B74" s="26">
        <f>IF(A74="","",TEXT(A74,"ddd"))</f>
        <v/>
      </c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1" t="n"/>
      <c r="M74" s="21" t="n"/>
      <c r="N74" s="27" t="n"/>
      <c r="O74" s="28">
        <f>IF($Q74=0,"",IF(C74&gt;=C$2,1,0)+IF(D74&gt;=D$2,1,0)+IF(E74&gt;=E$2,1,0)+IF(F74&gt;=F$2,1,0))</f>
        <v/>
      </c>
      <c r="P74" s="29" t="n"/>
      <c r="Q74" s="30">
        <f>IF(COUNT(C74:M74)&gt;0,1,0)</f>
        <v/>
      </c>
    </row>
    <row r="75">
      <c r="A75" s="25">
        <f>A74+1</f>
        <v/>
      </c>
      <c r="B75" s="26">
        <f>IF(A75="","",TEXT(A75,"ddd"))</f>
        <v/>
      </c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1" t="n"/>
      <c r="M75" s="21" t="n"/>
      <c r="N75" s="27" t="n"/>
      <c r="O75" s="28">
        <f>IF($Q75=0,"",IF(C75&gt;=C$2,1,0)+IF(D75&gt;=D$2,1,0)+IF(E75&gt;=E$2,1,0)+IF(F75&gt;=F$2,1,0))</f>
        <v/>
      </c>
      <c r="P75" s="29" t="n"/>
      <c r="Q75" s="30">
        <f>IF(COUNT(C75:M75)&gt;0,1,0)</f>
        <v/>
      </c>
    </row>
    <row r="76">
      <c r="A76" s="25">
        <f>A75+1</f>
        <v/>
      </c>
      <c r="B76" s="26">
        <f>IF(A76="","",TEXT(A76,"ddd"))</f>
        <v/>
      </c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1" t="n"/>
      <c r="M76" s="21" t="n"/>
      <c r="N76" s="27" t="n"/>
      <c r="O76" s="28">
        <f>IF($Q76=0,"",IF(C76&gt;=C$2,1,0)+IF(D76&gt;=D$2,1,0)+IF(E76&gt;=E$2,1,0)+IF(F76&gt;=F$2,1,0))</f>
        <v/>
      </c>
      <c r="P76" s="29" t="n"/>
      <c r="Q76" s="30">
        <f>IF(COUNT(C76:M76)&gt;0,1,0)</f>
        <v/>
      </c>
    </row>
    <row r="77">
      <c r="A77" s="25">
        <f>A76+1</f>
        <v/>
      </c>
      <c r="B77" s="26">
        <f>IF(A77="","",TEXT(A77,"ddd"))</f>
        <v/>
      </c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1" t="n"/>
      <c r="M77" s="21" t="n"/>
      <c r="N77" s="27" t="n"/>
      <c r="O77" s="28">
        <f>IF($Q77=0,"",IF(C77&gt;=C$2,1,0)+IF(D77&gt;=D$2,1,0)+IF(E77&gt;=E$2,1,0)+IF(F77&gt;=F$2,1,0))</f>
        <v/>
      </c>
      <c r="P77" s="29" t="n"/>
      <c r="Q77" s="30">
        <f>IF(COUNT(C77:M77)&gt;0,1,0)</f>
        <v/>
      </c>
    </row>
    <row r="78">
      <c r="A78" s="25">
        <f>A77+1</f>
        <v/>
      </c>
      <c r="B78" s="26">
        <f>IF(A78="","",TEXT(A78,"ddd"))</f>
        <v/>
      </c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1" t="n"/>
      <c r="M78" s="21" t="n"/>
      <c r="N78" s="27" t="n"/>
      <c r="O78" s="28">
        <f>IF($Q78=0,"",IF(C78&gt;=C$2,1,0)+IF(D78&gt;=D$2,1,0)+IF(E78&gt;=E$2,1,0)+IF(F78&gt;=F$2,1,0))</f>
        <v/>
      </c>
      <c r="P78" s="29" t="n"/>
      <c r="Q78" s="30">
        <f>IF(COUNT(C78:M78)&gt;0,1,0)</f>
        <v/>
      </c>
    </row>
    <row r="79">
      <c r="A79" s="25">
        <f>A78+1</f>
        <v/>
      </c>
      <c r="B79" s="26">
        <f>IF(A79="","",TEXT(A79,"ddd"))</f>
        <v/>
      </c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1" t="n"/>
      <c r="M79" s="21" t="n"/>
      <c r="N79" s="27" t="n"/>
      <c r="O79" s="28">
        <f>IF($Q79=0,"",IF(C79&gt;=C$2,1,0)+IF(D79&gt;=D$2,1,0)+IF(E79&gt;=E$2,1,0)+IF(F79&gt;=F$2,1,0))</f>
        <v/>
      </c>
      <c r="P79" s="29" t="n"/>
      <c r="Q79" s="30">
        <f>IF(COUNT(C79:M79)&gt;0,1,0)</f>
        <v/>
      </c>
    </row>
    <row r="80">
      <c r="A80" s="25">
        <f>A79+1</f>
        <v/>
      </c>
      <c r="B80" s="26">
        <f>IF(A80="","",TEXT(A80,"ddd"))</f>
        <v/>
      </c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1" t="n"/>
      <c r="M80" s="21" t="n"/>
      <c r="N80" s="27" t="n"/>
      <c r="O80" s="28">
        <f>IF($Q80=0,"",IF(C80&gt;=C$2,1,0)+IF(D80&gt;=D$2,1,0)+IF(E80&gt;=E$2,1,0)+IF(F80&gt;=F$2,1,0))</f>
        <v/>
      </c>
      <c r="P80" s="29" t="n"/>
      <c r="Q80" s="30">
        <f>IF(COUNT(C80:M80)&gt;0,1,0)</f>
        <v/>
      </c>
    </row>
    <row r="81">
      <c r="A81" s="25">
        <f>A80+1</f>
        <v/>
      </c>
      <c r="B81" s="26">
        <f>IF(A81="","",TEXT(A81,"ddd"))</f>
        <v/>
      </c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1" t="n"/>
      <c r="M81" s="21" t="n"/>
      <c r="N81" s="27" t="n"/>
      <c r="O81" s="28">
        <f>IF($Q81=0,"",IF(C81&gt;=C$2,1,0)+IF(D81&gt;=D$2,1,0)+IF(E81&gt;=E$2,1,0)+IF(F81&gt;=F$2,1,0))</f>
        <v/>
      </c>
      <c r="P81" s="29" t="n"/>
      <c r="Q81" s="30">
        <f>IF(COUNT(C81:M81)&gt;0,1,0)</f>
        <v/>
      </c>
    </row>
    <row r="82">
      <c r="A82" s="25">
        <f>A81+1</f>
        <v/>
      </c>
      <c r="B82" s="26">
        <f>IF(A82="","",TEXT(A82,"ddd"))</f>
        <v/>
      </c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1" t="n"/>
      <c r="M82" s="21" t="n"/>
      <c r="N82" s="27" t="n"/>
      <c r="O82" s="28">
        <f>IF($Q82=0,"",IF(C82&gt;=C$2,1,0)+IF(D82&gt;=D$2,1,0)+IF(E82&gt;=E$2,1,0)+IF(F82&gt;=F$2,1,0))</f>
        <v/>
      </c>
      <c r="P82" s="29" t="n"/>
      <c r="Q82" s="30">
        <f>IF(COUNT(C82:M82)&gt;0,1,0)</f>
        <v/>
      </c>
    </row>
    <row r="83">
      <c r="A83" s="25">
        <f>A82+1</f>
        <v/>
      </c>
      <c r="B83" s="26">
        <f>IF(A83="","",TEXT(A83,"ddd"))</f>
        <v/>
      </c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1" t="n"/>
      <c r="M83" s="21" t="n"/>
      <c r="N83" s="27" t="n"/>
      <c r="O83" s="28">
        <f>IF($Q83=0,"",IF(C83&gt;=C$2,1,0)+IF(D83&gt;=D$2,1,0)+IF(E83&gt;=E$2,1,0)+IF(F83&gt;=F$2,1,0))</f>
        <v/>
      </c>
      <c r="P83" s="29" t="n"/>
      <c r="Q83" s="30">
        <f>IF(COUNT(C83:M83)&gt;0,1,0)</f>
        <v/>
      </c>
    </row>
    <row r="84">
      <c r="A84" s="25">
        <f>A83+1</f>
        <v/>
      </c>
      <c r="B84" s="26">
        <f>IF(A84="","",TEXT(A84,"ddd"))</f>
        <v/>
      </c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1" t="n"/>
      <c r="M84" s="21" t="n"/>
      <c r="N84" s="27" t="n"/>
      <c r="O84" s="28">
        <f>IF($Q84=0,"",IF(C84&gt;=C$2,1,0)+IF(D84&gt;=D$2,1,0)+IF(E84&gt;=E$2,1,0)+IF(F84&gt;=F$2,1,0))</f>
        <v/>
      </c>
      <c r="P84" s="29" t="n"/>
      <c r="Q84" s="30">
        <f>IF(COUNT(C84:M84)&gt;0,1,0)</f>
        <v/>
      </c>
    </row>
    <row r="85">
      <c r="A85" s="25">
        <f>A84+1</f>
        <v/>
      </c>
      <c r="B85" s="26">
        <f>IF(A85="","",TEXT(A85,"ddd"))</f>
        <v/>
      </c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1" t="n"/>
      <c r="M85" s="21" t="n"/>
      <c r="N85" s="27" t="n"/>
      <c r="O85" s="28">
        <f>IF($Q85=0,"",IF(C85&gt;=C$2,1,0)+IF(D85&gt;=D$2,1,0)+IF(E85&gt;=E$2,1,0)+IF(F85&gt;=F$2,1,0))</f>
        <v/>
      </c>
      <c r="P85" s="29" t="n"/>
      <c r="Q85" s="30">
        <f>IF(COUNT(C85:M85)&gt;0,1,0)</f>
        <v/>
      </c>
    </row>
    <row r="86">
      <c r="A86" s="25">
        <f>A85+1</f>
        <v/>
      </c>
      <c r="B86" s="26">
        <f>IF(A86="","",TEXT(A86,"ddd"))</f>
        <v/>
      </c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1" t="n"/>
      <c r="M86" s="21" t="n"/>
      <c r="N86" s="27" t="n"/>
      <c r="O86" s="28">
        <f>IF($Q86=0,"",IF(C86&gt;=C$2,1,0)+IF(D86&gt;=D$2,1,0)+IF(E86&gt;=E$2,1,0)+IF(F86&gt;=F$2,1,0))</f>
        <v/>
      </c>
      <c r="P86" s="29" t="n"/>
      <c r="Q86" s="30">
        <f>IF(COUNT(C86:M86)&gt;0,1,0)</f>
        <v/>
      </c>
    </row>
    <row r="87">
      <c r="A87" s="25">
        <f>A86+1</f>
        <v/>
      </c>
      <c r="B87" s="26">
        <f>IF(A87="","",TEXT(A87,"ddd"))</f>
        <v/>
      </c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1" t="n"/>
      <c r="M87" s="21" t="n"/>
      <c r="N87" s="27" t="n"/>
      <c r="O87" s="28">
        <f>IF($Q87=0,"",IF(C87&gt;=C$2,1,0)+IF(D87&gt;=D$2,1,0)+IF(E87&gt;=E$2,1,0)+IF(F87&gt;=F$2,1,0))</f>
        <v/>
      </c>
      <c r="P87" s="29" t="n"/>
      <c r="Q87" s="30">
        <f>IF(COUNT(C87:M87)&gt;0,1,0)</f>
        <v/>
      </c>
    </row>
    <row r="88">
      <c r="A88" s="25">
        <f>A87+1</f>
        <v/>
      </c>
      <c r="B88" s="26">
        <f>IF(A88="","",TEXT(A88,"ddd"))</f>
        <v/>
      </c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1" t="n"/>
      <c r="M88" s="21" t="n"/>
      <c r="N88" s="27" t="n"/>
      <c r="O88" s="28">
        <f>IF($Q88=0,"",IF(C88&gt;=C$2,1,0)+IF(D88&gt;=D$2,1,0)+IF(E88&gt;=E$2,1,0)+IF(F88&gt;=F$2,1,0))</f>
        <v/>
      </c>
      <c r="P88" s="29" t="n"/>
      <c r="Q88" s="30">
        <f>IF(COUNT(C88:M88)&gt;0,1,0)</f>
        <v/>
      </c>
    </row>
    <row r="89">
      <c r="A89" s="25">
        <f>A88+1</f>
        <v/>
      </c>
      <c r="B89" s="26">
        <f>IF(A89="","",TEXT(A89,"ddd"))</f>
        <v/>
      </c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1" t="n"/>
      <c r="M89" s="21" t="n"/>
      <c r="N89" s="27" t="n"/>
      <c r="O89" s="28">
        <f>IF($Q89=0,"",IF(C89&gt;=C$2,1,0)+IF(D89&gt;=D$2,1,0)+IF(E89&gt;=E$2,1,0)+IF(F89&gt;=F$2,1,0))</f>
        <v/>
      </c>
      <c r="P89" s="29" t="n"/>
      <c r="Q89" s="30">
        <f>IF(COUNT(C89:M89)&gt;0,1,0)</f>
        <v/>
      </c>
    </row>
    <row r="90">
      <c r="A90" s="25">
        <f>A89+1</f>
        <v/>
      </c>
      <c r="B90" s="26">
        <f>IF(A90="","",TEXT(A90,"ddd"))</f>
        <v/>
      </c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1" t="n"/>
      <c r="M90" s="21" t="n"/>
      <c r="N90" s="27" t="n"/>
      <c r="O90" s="28">
        <f>IF($Q90=0,"",IF(C90&gt;=C$2,1,0)+IF(D90&gt;=D$2,1,0)+IF(E90&gt;=E$2,1,0)+IF(F90&gt;=F$2,1,0))</f>
        <v/>
      </c>
      <c r="P90" s="29" t="n"/>
      <c r="Q90" s="30">
        <f>IF(COUNT(C90:M90)&gt;0,1,0)</f>
        <v/>
      </c>
    </row>
    <row r="91">
      <c r="A91" s="25">
        <f>A90+1</f>
        <v/>
      </c>
      <c r="B91" s="26">
        <f>IF(A91="","",TEXT(A91,"ddd"))</f>
        <v/>
      </c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1" t="n"/>
      <c r="M91" s="21" t="n"/>
      <c r="N91" s="27" t="n"/>
      <c r="O91" s="28">
        <f>IF($Q91=0,"",IF(C91&gt;=C$2,1,0)+IF(D91&gt;=D$2,1,0)+IF(E91&gt;=E$2,1,0)+IF(F91&gt;=F$2,1,0))</f>
        <v/>
      </c>
      <c r="P91" s="29" t="n"/>
      <c r="Q91" s="30">
        <f>IF(COUNT(C91:M91)&gt;0,1,0)</f>
        <v/>
      </c>
    </row>
    <row r="92">
      <c r="A92" s="25">
        <f>A91+1</f>
        <v/>
      </c>
      <c r="B92" s="26">
        <f>IF(A92="","",TEXT(A92,"ddd"))</f>
        <v/>
      </c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1" t="n"/>
      <c r="M92" s="21" t="n"/>
      <c r="N92" s="27" t="n"/>
      <c r="O92" s="28">
        <f>IF($Q92=0,"",IF(C92&gt;=C$2,1,0)+IF(D92&gt;=D$2,1,0)+IF(E92&gt;=E$2,1,0)+IF(F92&gt;=F$2,1,0))</f>
        <v/>
      </c>
      <c r="P92" s="29" t="n"/>
      <c r="Q92" s="30">
        <f>IF(COUNT(C92:M92)&gt;0,1,0)</f>
        <v/>
      </c>
    </row>
    <row r="93">
      <c r="A93" s="25">
        <f>A92+1</f>
        <v/>
      </c>
      <c r="B93" s="26">
        <f>IF(A93="","",TEXT(A93,"ddd"))</f>
        <v/>
      </c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1" t="n"/>
      <c r="M93" s="21" t="n"/>
      <c r="N93" s="27" t="n"/>
      <c r="O93" s="28">
        <f>IF($Q93=0,"",IF(C93&gt;=C$2,1,0)+IF(D93&gt;=D$2,1,0)+IF(E93&gt;=E$2,1,0)+IF(F93&gt;=F$2,1,0))</f>
        <v/>
      </c>
      <c r="P93" s="29" t="n"/>
      <c r="Q93" s="30">
        <f>IF(COUNT(C93:M93)&gt;0,1,0)</f>
        <v/>
      </c>
    </row>
    <row r="94">
      <c r="A94" s="25">
        <f>A93+1</f>
        <v/>
      </c>
      <c r="B94" s="26">
        <f>IF(A94="","",TEXT(A94,"ddd"))</f>
        <v/>
      </c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1" t="n"/>
      <c r="M94" s="21" t="n"/>
      <c r="N94" s="27" t="n"/>
      <c r="O94" s="28">
        <f>IF($Q94=0,"",IF(C94&gt;=C$2,1,0)+IF(D94&gt;=D$2,1,0)+IF(E94&gt;=E$2,1,0)+IF(F94&gt;=F$2,1,0))</f>
        <v/>
      </c>
      <c r="P94" s="29" t="n"/>
      <c r="Q94" s="30">
        <f>IF(COUNT(C94:M94)&gt;0,1,0)</f>
        <v/>
      </c>
    </row>
    <row r="95">
      <c r="A95" s="25">
        <f>A94+1</f>
        <v/>
      </c>
      <c r="B95" s="26">
        <f>IF(A95="","",TEXT(A95,"ddd"))</f>
        <v/>
      </c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1" t="n"/>
      <c r="M95" s="21" t="n"/>
      <c r="N95" s="27" t="n"/>
      <c r="O95" s="28">
        <f>IF($Q95=0,"",IF(C95&gt;=C$2,1,0)+IF(D95&gt;=D$2,1,0)+IF(E95&gt;=E$2,1,0)+IF(F95&gt;=F$2,1,0))</f>
        <v/>
      </c>
      <c r="P95" s="29" t="n"/>
      <c r="Q95" s="30">
        <f>IF(COUNT(C95:M95)&gt;0,1,0)</f>
        <v/>
      </c>
    </row>
    <row r="96">
      <c r="A96" s="25">
        <f>A95+1</f>
        <v/>
      </c>
      <c r="B96" s="26">
        <f>IF(A96="","",TEXT(A96,"ddd"))</f>
        <v/>
      </c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1" t="n"/>
      <c r="M96" s="21" t="n"/>
      <c r="N96" s="27" t="n"/>
      <c r="O96" s="28">
        <f>IF($Q96=0,"",IF(C96&gt;=C$2,1,0)+IF(D96&gt;=D$2,1,0)+IF(E96&gt;=E$2,1,0)+IF(F96&gt;=F$2,1,0))</f>
        <v/>
      </c>
      <c r="P96" s="29" t="n"/>
      <c r="Q96" s="30">
        <f>IF(COUNT(C96:M96)&gt;0,1,0)</f>
        <v/>
      </c>
    </row>
    <row r="97">
      <c r="A97" s="25">
        <f>A96+1</f>
        <v/>
      </c>
      <c r="B97" s="26">
        <f>IF(A97="","",TEXT(A97,"ddd"))</f>
        <v/>
      </c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1" t="n"/>
      <c r="M97" s="21" t="n"/>
      <c r="N97" s="27" t="n"/>
      <c r="O97" s="28">
        <f>IF($Q97=0,"",IF(C97&gt;=C$2,1,0)+IF(D97&gt;=D$2,1,0)+IF(E97&gt;=E$2,1,0)+IF(F97&gt;=F$2,1,0))</f>
        <v/>
      </c>
      <c r="P97" s="29" t="n"/>
      <c r="Q97" s="30">
        <f>IF(COUNT(C97:M97)&gt;0,1,0)</f>
        <v/>
      </c>
    </row>
    <row r="98">
      <c r="A98" s="25">
        <f>A97+1</f>
        <v/>
      </c>
      <c r="B98" s="26">
        <f>IF(A98="","",TEXT(A98,"ddd"))</f>
        <v/>
      </c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1" t="n"/>
      <c r="M98" s="21" t="n"/>
      <c r="N98" s="27" t="n"/>
      <c r="O98" s="28">
        <f>IF($Q98=0,"",IF(C98&gt;=C$2,1,0)+IF(D98&gt;=D$2,1,0)+IF(E98&gt;=E$2,1,0)+IF(F98&gt;=F$2,1,0))</f>
        <v/>
      </c>
      <c r="P98" s="29" t="n"/>
      <c r="Q98" s="30">
        <f>IF(COUNT(C98:M98)&gt;0,1,0)</f>
        <v/>
      </c>
    </row>
    <row r="99">
      <c r="A99" s="25">
        <f>A98+1</f>
        <v/>
      </c>
      <c r="B99" s="26">
        <f>IF(A99="","",TEXT(A99,"ddd"))</f>
        <v/>
      </c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1" t="n"/>
      <c r="M99" s="21" t="n"/>
      <c r="N99" s="27" t="n"/>
      <c r="O99" s="28">
        <f>IF($Q99=0,"",IF(C99&gt;=C$2,1,0)+IF(D99&gt;=D$2,1,0)+IF(E99&gt;=E$2,1,0)+IF(F99&gt;=F$2,1,0))</f>
        <v/>
      </c>
      <c r="P99" s="29" t="n"/>
      <c r="Q99" s="30">
        <f>IF(COUNT(C99:M99)&gt;0,1,0)</f>
        <v/>
      </c>
    </row>
    <row r="100">
      <c r="A100" s="25">
        <f>A99+1</f>
        <v/>
      </c>
      <c r="B100" s="26">
        <f>IF(A100="","",TEXT(A100,"ddd"))</f>
        <v/>
      </c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1" t="n"/>
      <c r="M100" s="21" t="n"/>
      <c r="N100" s="27" t="n"/>
      <c r="O100" s="28">
        <f>IF($Q100=0,"",IF(C100&gt;=C$2,1,0)+IF(D100&gt;=D$2,1,0)+IF(E100&gt;=E$2,1,0)+IF(F100&gt;=F$2,1,0))</f>
        <v/>
      </c>
      <c r="P100" s="29" t="n"/>
      <c r="Q100" s="30">
        <f>IF(COUNT(C100:M100)&gt;0,1,0)</f>
        <v/>
      </c>
    </row>
    <row r="101">
      <c r="A101" s="25">
        <f>A100+1</f>
        <v/>
      </c>
      <c r="B101" s="26">
        <f>IF(A101="","",TEXT(A101,"ddd"))</f>
        <v/>
      </c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1" t="n"/>
      <c r="M101" s="21" t="n"/>
      <c r="N101" s="27" t="n"/>
      <c r="O101" s="28">
        <f>IF($Q101=0,"",IF(C101&gt;=C$2,1,0)+IF(D101&gt;=D$2,1,0)+IF(E101&gt;=E$2,1,0)+IF(F101&gt;=F$2,1,0))</f>
        <v/>
      </c>
      <c r="P101" s="29" t="n"/>
      <c r="Q101" s="30">
        <f>IF(COUNT(C101:M101)&gt;0,1,0)</f>
        <v/>
      </c>
    </row>
    <row r="102">
      <c r="A102" s="25">
        <f>A101+1</f>
        <v/>
      </c>
      <c r="B102" s="26">
        <f>IF(A102="","",TEXT(A102,"ddd"))</f>
        <v/>
      </c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1" t="n"/>
      <c r="M102" s="21" t="n"/>
      <c r="N102" s="27" t="n"/>
      <c r="O102" s="28">
        <f>IF($Q102=0,"",IF(C102&gt;=C$2,1,0)+IF(D102&gt;=D$2,1,0)+IF(E102&gt;=E$2,1,0)+IF(F102&gt;=F$2,1,0))</f>
        <v/>
      </c>
      <c r="P102" s="29" t="n"/>
      <c r="Q102" s="30">
        <f>IF(COUNT(C102:M102)&gt;0,1,0)</f>
        <v/>
      </c>
    </row>
    <row r="103">
      <c r="A103" s="25">
        <f>A102+1</f>
        <v/>
      </c>
      <c r="B103" s="26">
        <f>IF(A103="","",TEXT(A103,"ddd"))</f>
        <v/>
      </c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1" t="n"/>
      <c r="M103" s="21" t="n"/>
      <c r="N103" s="27" t="n"/>
      <c r="O103" s="28">
        <f>IF($Q103=0,"",IF(C103&gt;=C$2,1,0)+IF(D103&gt;=D$2,1,0)+IF(E103&gt;=E$2,1,0)+IF(F103&gt;=F$2,1,0))</f>
        <v/>
      </c>
      <c r="P103" s="29" t="n"/>
      <c r="Q103" s="30">
        <f>IF(COUNT(C103:M103)&gt;0,1,0)</f>
        <v/>
      </c>
    </row>
    <row r="104">
      <c r="A104" s="25">
        <f>A103+1</f>
        <v/>
      </c>
      <c r="B104" s="26">
        <f>IF(A104="","",TEXT(A104,"ddd"))</f>
        <v/>
      </c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1" t="n"/>
      <c r="M104" s="21" t="n"/>
      <c r="N104" s="27" t="n"/>
      <c r="O104" s="28">
        <f>IF($Q104=0,"",IF(C104&gt;=C$2,1,0)+IF(D104&gt;=D$2,1,0)+IF(E104&gt;=E$2,1,0)+IF(F104&gt;=F$2,1,0))</f>
        <v/>
      </c>
      <c r="P104" s="29" t="n"/>
      <c r="Q104" s="30">
        <f>IF(COUNT(C104:M104)&gt;0,1,0)</f>
        <v/>
      </c>
    </row>
    <row r="105">
      <c r="A105" s="25">
        <f>A104+1</f>
        <v/>
      </c>
      <c r="B105" s="26">
        <f>IF(A105="","",TEXT(A105,"ddd"))</f>
        <v/>
      </c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1" t="n"/>
      <c r="M105" s="21" t="n"/>
      <c r="N105" s="27" t="n"/>
      <c r="O105" s="28">
        <f>IF($Q105=0,"",IF(C105&gt;=C$2,1,0)+IF(D105&gt;=D$2,1,0)+IF(E105&gt;=E$2,1,0)+IF(F105&gt;=F$2,1,0))</f>
        <v/>
      </c>
      <c r="P105" s="29" t="n"/>
      <c r="Q105" s="30">
        <f>IF(COUNT(C105:M105)&gt;0,1,0)</f>
        <v/>
      </c>
    </row>
    <row r="106">
      <c r="A106" s="25">
        <f>A105+1</f>
        <v/>
      </c>
      <c r="B106" s="26">
        <f>IF(A106="","",TEXT(A106,"ddd"))</f>
        <v/>
      </c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1" t="n"/>
      <c r="M106" s="21" t="n"/>
      <c r="N106" s="27" t="n"/>
      <c r="O106" s="28">
        <f>IF($Q106=0,"",IF(C106&gt;=C$2,1,0)+IF(D106&gt;=D$2,1,0)+IF(E106&gt;=E$2,1,0)+IF(F106&gt;=F$2,1,0))</f>
        <v/>
      </c>
      <c r="P106" s="29" t="n"/>
      <c r="Q106" s="30">
        <f>IF(COUNT(C106:M106)&gt;0,1,0)</f>
        <v/>
      </c>
    </row>
    <row r="107">
      <c r="A107" s="25">
        <f>A106+1</f>
        <v/>
      </c>
      <c r="B107" s="26">
        <f>IF(A107="","",TEXT(A107,"ddd"))</f>
        <v/>
      </c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1" t="n"/>
      <c r="M107" s="21" t="n"/>
      <c r="N107" s="27" t="n"/>
      <c r="O107" s="28">
        <f>IF($Q107=0,"",IF(C107&gt;=C$2,1,0)+IF(D107&gt;=D$2,1,0)+IF(E107&gt;=E$2,1,0)+IF(F107&gt;=F$2,1,0))</f>
        <v/>
      </c>
      <c r="P107" s="29" t="n"/>
      <c r="Q107" s="30">
        <f>IF(COUNT(C107:M107)&gt;0,1,0)</f>
        <v/>
      </c>
    </row>
    <row r="108">
      <c r="A108" s="25">
        <f>A107+1</f>
        <v/>
      </c>
      <c r="B108" s="26">
        <f>IF(A108="","",TEXT(A108,"ddd"))</f>
        <v/>
      </c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1" t="n"/>
      <c r="M108" s="21" t="n"/>
      <c r="N108" s="27" t="n"/>
      <c r="O108" s="28">
        <f>IF($Q108=0,"",IF(C108&gt;=C$2,1,0)+IF(D108&gt;=D$2,1,0)+IF(E108&gt;=E$2,1,0)+IF(F108&gt;=F$2,1,0))</f>
        <v/>
      </c>
      <c r="P108" s="29" t="n"/>
      <c r="Q108" s="30">
        <f>IF(COUNT(C108:M108)&gt;0,1,0)</f>
        <v/>
      </c>
    </row>
    <row r="109">
      <c r="A109" s="25">
        <f>A108+1</f>
        <v/>
      </c>
      <c r="B109" s="26">
        <f>IF(A109="","",TEXT(A109,"ddd"))</f>
        <v/>
      </c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1" t="n"/>
      <c r="M109" s="21" t="n"/>
      <c r="N109" s="27" t="n"/>
      <c r="O109" s="28">
        <f>IF($Q109=0,"",IF(C109&gt;=C$2,1,0)+IF(D109&gt;=D$2,1,0)+IF(E109&gt;=E$2,1,0)+IF(F109&gt;=F$2,1,0))</f>
        <v/>
      </c>
      <c r="P109" s="29" t="n"/>
      <c r="Q109" s="30">
        <f>IF(COUNT(C109:M109)&gt;0,1,0)</f>
        <v/>
      </c>
    </row>
    <row r="110">
      <c r="A110" s="25">
        <f>A109+1</f>
        <v/>
      </c>
      <c r="B110" s="26">
        <f>IF(A110="","",TEXT(A110,"ddd"))</f>
        <v/>
      </c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1" t="n"/>
      <c r="M110" s="21" t="n"/>
      <c r="N110" s="27" t="n"/>
      <c r="O110" s="28">
        <f>IF($Q110=0,"",IF(C110&gt;=C$2,1,0)+IF(D110&gt;=D$2,1,0)+IF(E110&gt;=E$2,1,0)+IF(F110&gt;=F$2,1,0))</f>
        <v/>
      </c>
      <c r="P110" s="29" t="n"/>
      <c r="Q110" s="30">
        <f>IF(COUNT(C110:M110)&gt;0,1,0)</f>
        <v/>
      </c>
    </row>
    <row r="111">
      <c r="A111" s="25">
        <f>A110+1</f>
        <v/>
      </c>
      <c r="B111" s="26">
        <f>IF(A111="","",TEXT(A111,"ddd"))</f>
        <v/>
      </c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1" t="n"/>
      <c r="M111" s="21" t="n"/>
      <c r="N111" s="27" t="n"/>
      <c r="O111" s="28">
        <f>IF($Q111=0,"",IF(C111&gt;=C$2,1,0)+IF(D111&gt;=D$2,1,0)+IF(E111&gt;=E$2,1,0)+IF(F111&gt;=F$2,1,0))</f>
        <v/>
      </c>
      <c r="P111" s="29" t="n"/>
      <c r="Q111" s="30">
        <f>IF(COUNT(C111:M111)&gt;0,1,0)</f>
        <v/>
      </c>
    </row>
    <row r="112">
      <c r="A112" s="25">
        <f>A111+1</f>
        <v/>
      </c>
      <c r="B112" s="26">
        <f>IF(A112="","",TEXT(A112,"ddd"))</f>
        <v/>
      </c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1" t="n"/>
      <c r="M112" s="21" t="n"/>
      <c r="N112" s="27" t="n"/>
      <c r="O112" s="28">
        <f>IF($Q112=0,"",IF(C112&gt;=C$2,1,0)+IF(D112&gt;=D$2,1,0)+IF(E112&gt;=E$2,1,0)+IF(F112&gt;=F$2,1,0))</f>
        <v/>
      </c>
      <c r="P112" s="29" t="n"/>
      <c r="Q112" s="30">
        <f>IF(COUNT(C112:M112)&gt;0,1,0)</f>
        <v/>
      </c>
    </row>
    <row r="113">
      <c r="A113" s="25">
        <f>A112+1</f>
        <v/>
      </c>
      <c r="B113" s="26">
        <f>IF(A113="","",TEXT(A113,"ddd"))</f>
        <v/>
      </c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1" t="n"/>
      <c r="M113" s="21" t="n"/>
      <c r="N113" s="27" t="n"/>
      <c r="O113" s="28">
        <f>IF($Q113=0,"",IF(C113&gt;=C$2,1,0)+IF(D113&gt;=D$2,1,0)+IF(E113&gt;=E$2,1,0)+IF(F113&gt;=F$2,1,0))</f>
        <v/>
      </c>
      <c r="P113" s="29" t="n"/>
      <c r="Q113" s="30">
        <f>IF(COUNT(C113:M113)&gt;0,1,0)</f>
        <v/>
      </c>
    </row>
    <row r="114">
      <c r="A114" s="25">
        <f>A113+1</f>
        <v/>
      </c>
      <c r="B114" s="26">
        <f>IF(A114="","",TEXT(A114,"ddd"))</f>
        <v/>
      </c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1" t="n"/>
      <c r="M114" s="21" t="n"/>
      <c r="N114" s="27" t="n"/>
      <c r="O114" s="28">
        <f>IF($Q114=0,"",IF(C114&gt;=C$2,1,0)+IF(D114&gt;=D$2,1,0)+IF(E114&gt;=E$2,1,0)+IF(F114&gt;=F$2,1,0))</f>
        <v/>
      </c>
      <c r="P114" s="29" t="n"/>
      <c r="Q114" s="30">
        <f>IF(COUNT(C114:M114)&gt;0,1,0)</f>
        <v/>
      </c>
    </row>
    <row r="115">
      <c r="A115" s="25">
        <f>A114+1</f>
        <v/>
      </c>
      <c r="B115" s="26">
        <f>IF(A115="","",TEXT(A115,"ddd"))</f>
        <v/>
      </c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1" t="n"/>
      <c r="M115" s="21" t="n"/>
      <c r="N115" s="27" t="n"/>
      <c r="O115" s="28">
        <f>IF($Q115=0,"",IF(C115&gt;=C$2,1,0)+IF(D115&gt;=D$2,1,0)+IF(E115&gt;=E$2,1,0)+IF(F115&gt;=F$2,1,0))</f>
        <v/>
      </c>
      <c r="P115" s="29" t="n"/>
      <c r="Q115" s="30">
        <f>IF(COUNT(C115:M115)&gt;0,1,0)</f>
        <v/>
      </c>
    </row>
    <row r="116">
      <c r="A116" s="25">
        <f>A115+1</f>
        <v/>
      </c>
      <c r="B116" s="26">
        <f>IF(A116="","",TEXT(A116,"ddd"))</f>
        <v/>
      </c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1" t="n"/>
      <c r="M116" s="21" t="n"/>
      <c r="N116" s="27" t="n"/>
      <c r="O116" s="28">
        <f>IF($Q116=0,"",IF(C116&gt;=C$2,1,0)+IF(D116&gt;=D$2,1,0)+IF(E116&gt;=E$2,1,0)+IF(F116&gt;=F$2,1,0))</f>
        <v/>
      </c>
      <c r="P116" s="29" t="n"/>
      <c r="Q116" s="30">
        <f>IF(COUNT(C116:M116)&gt;0,1,0)</f>
        <v/>
      </c>
    </row>
    <row r="117">
      <c r="A117" s="25">
        <f>A116+1</f>
        <v/>
      </c>
      <c r="B117" s="26">
        <f>IF(A117="","",TEXT(A117,"ddd"))</f>
        <v/>
      </c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1" t="n"/>
      <c r="M117" s="21" t="n"/>
      <c r="N117" s="27" t="n"/>
      <c r="O117" s="28">
        <f>IF($Q117=0,"",IF(C117&gt;=C$2,1,0)+IF(D117&gt;=D$2,1,0)+IF(E117&gt;=E$2,1,0)+IF(F117&gt;=F$2,1,0))</f>
        <v/>
      </c>
      <c r="P117" s="29" t="n"/>
      <c r="Q117" s="30">
        <f>IF(COUNT(C117:M117)&gt;0,1,0)</f>
        <v/>
      </c>
    </row>
    <row r="118">
      <c r="A118" s="25">
        <f>A117+1</f>
        <v/>
      </c>
      <c r="B118" s="26">
        <f>IF(A118="","",TEXT(A118,"ddd"))</f>
        <v/>
      </c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1" t="n"/>
      <c r="M118" s="21" t="n"/>
      <c r="N118" s="27" t="n"/>
      <c r="O118" s="28">
        <f>IF($Q118=0,"",IF(C118&gt;=C$2,1,0)+IF(D118&gt;=D$2,1,0)+IF(E118&gt;=E$2,1,0)+IF(F118&gt;=F$2,1,0))</f>
        <v/>
      </c>
      <c r="P118" s="29" t="n"/>
      <c r="Q118" s="30">
        <f>IF(COUNT(C118:M118)&gt;0,1,0)</f>
        <v/>
      </c>
    </row>
    <row r="119">
      <c r="A119" s="25">
        <f>A118+1</f>
        <v/>
      </c>
      <c r="B119" s="26">
        <f>IF(A119="","",TEXT(A119,"ddd"))</f>
        <v/>
      </c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1" t="n"/>
      <c r="M119" s="21" t="n"/>
      <c r="N119" s="27" t="n"/>
      <c r="O119" s="28">
        <f>IF($Q119=0,"",IF(C119&gt;=C$2,1,0)+IF(D119&gt;=D$2,1,0)+IF(E119&gt;=E$2,1,0)+IF(F119&gt;=F$2,1,0))</f>
        <v/>
      </c>
      <c r="P119" s="29" t="n"/>
      <c r="Q119" s="30">
        <f>IF(COUNT(C119:M119)&gt;0,1,0)</f>
        <v/>
      </c>
    </row>
    <row r="120">
      <c r="A120" s="25">
        <f>A119+1</f>
        <v/>
      </c>
      <c r="B120" s="26">
        <f>IF(A120="","",TEXT(A120,"ddd"))</f>
        <v/>
      </c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1" t="n"/>
      <c r="M120" s="21" t="n"/>
      <c r="N120" s="27" t="n"/>
      <c r="O120" s="28">
        <f>IF($Q120=0,"",IF(C120&gt;=C$2,1,0)+IF(D120&gt;=D$2,1,0)+IF(E120&gt;=E$2,1,0)+IF(F120&gt;=F$2,1,0))</f>
        <v/>
      </c>
      <c r="P120" s="29" t="n"/>
      <c r="Q120" s="30">
        <f>IF(COUNT(C120:M120)&gt;0,1,0)</f>
        <v/>
      </c>
    </row>
    <row r="121">
      <c r="A121" s="25">
        <f>A120+1</f>
        <v/>
      </c>
      <c r="B121" s="26">
        <f>IF(A121="","",TEXT(A121,"ddd"))</f>
        <v/>
      </c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1" t="n"/>
      <c r="M121" s="21" t="n"/>
      <c r="N121" s="27" t="n"/>
      <c r="O121" s="28">
        <f>IF($Q121=0,"",IF(C121&gt;=C$2,1,0)+IF(D121&gt;=D$2,1,0)+IF(E121&gt;=E$2,1,0)+IF(F121&gt;=F$2,1,0))</f>
        <v/>
      </c>
      <c r="P121" s="29" t="n"/>
      <c r="Q121" s="30">
        <f>IF(COUNT(C121:M121)&gt;0,1,0)</f>
        <v/>
      </c>
    </row>
    <row r="122">
      <c r="A122" s="25">
        <f>A121+1</f>
        <v/>
      </c>
      <c r="B122" s="26">
        <f>IF(A122="","",TEXT(A122,"ddd"))</f>
        <v/>
      </c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1" t="n"/>
      <c r="M122" s="21" t="n"/>
      <c r="N122" s="27" t="n"/>
      <c r="O122" s="28">
        <f>IF($Q122=0,"",IF(C122&gt;=C$2,1,0)+IF(D122&gt;=D$2,1,0)+IF(E122&gt;=E$2,1,0)+IF(F122&gt;=F$2,1,0))</f>
        <v/>
      </c>
      <c r="P122" s="29" t="n"/>
      <c r="Q122" s="30">
        <f>IF(COUNT(C122:M122)&gt;0,1,0)</f>
        <v/>
      </c>
    </row>
    <row r="123">
      <c r="A123" s="25">
        <f>A122+1</f>
        <v/>
      </c>
      <c r="B123" s="26">
        <f>IF(A123="","",TEXT(A123,"ddd"))</f>
        <v/>
      </c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1" t="n"/>
      <c r="M123" s="21" t="n"/>
      <c r="N123" s="27" t="n"/>
      <c r="O123" s="28">
        <f>IF($Q123=0,"",IF(C123&gt;=C$2,1,0)+IF(D123&gt;=D$2,1,0)+IF(E123&gt;=E$2,1,0)+IF(F123&gt;=F$2,1,0))</f>
        <v/>
      </c>
      <c r="P123" s="29" t="n"/>
      <c r="Q123" s="30">
        <f>IF(COUNT(C123:M123)&gt;0,1,0)</f>
        <v/>
      </c>
    </row>
    <row r="124">
      <c r="A124" s="25">
        <f>A123+1</f>
        <v/>
      </c>
      <c r="B124" s="26">
        <f>IF(A124="","",TEXT(A124,"ddd"))</f>
        <v/>
      </c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1" t="n"/>
      <c r="M124" s="21" t="n"/>
      <c r="N124" s="27" t="n"/>
      <c r="O124" s="28">
        <f>IF($Q124=0,"",IF(C124&gt;=C$2,1,0)+IF(D124&gt;=D$2,1,0)+IF(E124&gt;=E$2,1,0)+IF(F124&gt;=F$2,1,0))</f>
        <v/>
      </c>
      <c r="P124" s="29" t="n"/>
      <c r="Q124" s="30">
        <f>IF(COUNT(C124:M124)&gt;0,1,0)</f>
        <v/>
      </c>
    </row>
    <row r="125">
      <c r="A125" s="25">
        <f>A124+1</f>
        <v/>
      </c>
      <c r="B125" s="26">
        <f>IF(A125="","",TEXT(A125,"ddd"))</f>
        <v/>
      </c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1" t="n"/>
      <c r="M125" s="21" t="n"/>
      <c r="N125" s="27" t="n"/>
      <c r="O125" s="28">
        <f>IF($Q125=0,"",IF(C125&gt;=C$2,1,0)+IF(D125&gt;=D$2,1,0)+IF(E125&gt;=E$2,1,0)+IF(F125&gt;=F$2,1,0))</f>
        <v/>
      </c>
      <c r="P125" s="29" t="n"/>
      <c r="Q125" s="30">
        <f>IF(COUNT(C125:M125)&gt;0,1,0)</f>
        <v/>
      </c>
    </row>
    <row r="126">
      <c r="A126" s="25">
        <f>A125+1</f>
        <v/>
      </c>
      <c r="B126" s="26">
        <f>IF(A126="","",TEXT(A126,"ddd"))</f>
        <v/>
      </c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1" t="n"/>
      <c r="M126" s="21" t="n"/>
      <c r="N126" s="27" t="n"/>
      <c r="O126" s="28">
        <f>IF($Q126=0,"",IF(C126&gt;=C$2,1,0)+IF(D126&gt;=D$2,1,0)+IF(E126&gt;=E$2,1,0)+IF(F126&gt;=F$2,1,0))</f>
        <v/>
      </c>
      <c r="P126" s="29" t="n"/>
      <c r="Q126" s="30">
        <f>IF(COUNT(C126:M126)&gt;0,1,0)</f>
        <v/>
      </c>
    </row>
    <row r="127">
      <c r="A127" s="25">
        <f>A126+1</f>
        <v/>
      </c>
      <c r="B127" s="26">
        <f>IF(A127="","",TEXT(A127,"ddd"))</f>
        <v/>
      </c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1" t="n"/>
      <c r="M127" s="21" t="n"/>
      <c r="N127" s="27" t="n"/>
      <c r="O127" s="28">
        <f>IF($Q127=0,"",IF(C127&gt;=C$2,1,0)+IF(D127&gt;=D$2,1,0)+IF(E127&gt;=E$2,1,0)+IF(F127&gt;=F$2,1,0))</f>
        <v/>
      </c>
      <c r="P127" s="29" t="n"/>
      <c r="Q127" s="30">
        <f>IF(COUNT(C127:M127)&gt;0,1,0)</f>
        <v/>
      </c>
    </row>
    <row r="128">
      <c r="A128" s="25">
        <f>A127+1</f>
        <v/>
      </c>
      <c r="B128" s="26">
        <f>IF(A128="","",TEXT(A128,"ddd"))</f>
        <v/>
      </c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1" t="n"/>
      <c r="M128" s="21" t="n"/>
      <c r="N128" s="27" t="n"/>
      <c r="O128" s="28">
        <f>IF($Q128=0,"",IF(C128&gt;=C$2,1,0)+IF(D128&gt;=D$2,1,0)+IF(E128&gt;=E$2,1,0)+IF(F128&gt;=F$2,1,0))</f>
        <v/>
      </c>
      <c r="P128" s="29" t="n"/>
      <c r="Q128" s="30">
        <f>IF(COUNT(C128:M128)&gt;0,1,0)</f>
        <v/>
      </c>
    </row>
    <row r="129">
      <c r="A129" s="25">
        <f>A128+1</f>
        <v/>
      </c>
      <c r="B129" s="26">
        <f>IF(A129="","",TEXT(A129,"ddd"))</f>
        <v/>
      </c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1" t="n"/>
      <c r="M129" s="21" t="n"/>
      <c r="N129" s="27" t="n"/>
      <c r="O129" s="28">
        <f>IF($Q129=0,"",IF(C129&gt;=C$2,1,0)+IF(D129&gt;=D$2,1,0)+IF(E129&gt;=E$2,1,0)+IF(F129&gt;=F$2,1,0))</f>
        <v/>
      </c>
      <c r="P129" s="29" t="n"/>
      <c r="Q129" s="30">
        <f>IF(COUNT(C129:M129)&gt;0,1,0)</f>
        <v/>
      </c>
    </row>
    <row r="130">
      <c r="A130" s="25">
        <f>A129+1</f>
        <v/>
      </c>
      <c r="B130" s="26">
        <f>IF(A130="","",TEXT(A130,"ddd"))</f>
        <v/>
      </c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1" t="n"/>
      <c r="M130" s="21" t="n"/>
      <c r="N130" s="27" t="n"/>
      <c r="O130" s="28">
        <f>IF($Q130=0,"",IF(C130&gt;=C$2,1,0)+IF(D130&gt;=D$2,1,0)+IF(E130&gt;=E$2,1,0)+IF(F130&gt;=F$2,1,0))</f>
        <v/>
      </c>
      <c r="P130" s="29" t="n"/>
      <c r="Q130" s="30">
        <f>IF(COUNT(C130:M130)&gt;0,1,0)</f>
        <v/>
      </c>
    </row>
    <row r="131">
      <c r="A131" s="25">
        <f>A130+1</f>
        <v/>
      </c>
      <c r="B131" s="26">
        <f>IF(A131="","",TEXT(A131,"ddd"))</f>
        <v/>
      </c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1" t="n"/>
      <c r="M131" s="21" t="n"/>
      <c r="N131" s="27" t="n"/>
      <c r="O131" s="28">
        <f>IF($Q131=0,"",IF(C131&gt;=C$2,1,0)+IF(D131&gt;=D$2,1,0)+IF(E131&gt;=E$2,1,0)+IF(F131&gt;=F$2,1,0))</f>
        <v/>
      </c>
      <c r="P131" s="29" t="n"/>
      <c r="Q131" s="30">
        <f>IF(COUNT(C131:M131)&gt;0,1,0)</f>
        <v/>
      </c>
    </row>
    <row r="132">
      <c r="A132" s="25">
        <f>A131+1</f>
        <v/>
      </c>
      <c r="B132" s="26">
        <f>IF(A132="","",TEXT(A132,"ddd"))</f>
        <v/>
      </c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1" t="n"/>
      <c r="M132" s="21" t="n"/>
      <c r="N132" s="27" t="n"/>
      <c r="O132" s="28">
        <f>IF($Q132=0,"",IF(C132&gt;=C$2,1,0)+IF(D132&gt;=D$2,1,0)+IF(E132&gt;=E$2,1,0)+IF(F132&gt;=F$2,1,0))</f>
        <v/>
      </c>
      <c r="P132" s="29" t="n"/>
      <c r="Q132" s="30">
        <f>IF(COUNT(C132:M132)&gt;0,1,0)</f>
        <v/>
      </c>
    </row>
    <row r="133">
      <c r="A133" s="25">
        <f>A132+1</f>
        <v/>
      </c>
      <c r="B133" s="26">
        <f>IF(A133="","",TEXT(A133,"ddd"))</f>
        <v/>
      </c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1" t="n"/>
      <c r="M133" s="21" t="n"/>
      <c r="N133" s="27" t="n"/>
      <c r="O133" s="28">
        <f>IF($Q133=0,"",IF(C133&gt;=C$2,1,0)+IF(D133&gt;=D$2,1,0)+IF(E133&gt;=E$2,1,0)+IF(F133&gt;=F$2,1,0))</f>
        <v/>
      </c>
      <c r="P133" s="29" t="n"/>
      <c r="Q133" s="30">
        <f>IF(COUNT(C133:M133)&gt;0,1,0)</f>
        <v/>
      </c>
    </row>
    <row r="134">
      <c r="A134" s="25">
        <f>A133+1</f>
        <v/>
      </c>
      <c r="B134" s="26">
        <f>IF(A134="","",TEXT(A134,"ddd"))</f>
        <v/>
      </c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1" t="n"/>
      <c r="M134" s="21" t="n"/>
      <c r="N134" s="27" t="n"/>
      <c r="O134" s="28">
        <f>IF($Q134=0,"",IF(C134&gt;=C$2,1,0)+IF(D134&gt;=D$2,1,0)+IF(E134&gt;=E$2,1,0)+IF(F134&gt;=F$2,1,0))</f>
        <v/>
      </c>
      <c r="P134" s="29" t="n"/>
      <c r="Q134" s="30">
        <f>IF(COUNT(C134:M134)&gt;0,1,0)</f>
        <v/>
      </c>
    </row>
    <row r="135">
      <c r="A135" s="25">
        <f>A134+1</f>
        <v/>
      </c>
      <c r="B135" s="26">
        <f>IF(A135="","",TEXT(A135,"ddd"))</f>
        <v/>
      </c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1" t="n"/>
      <c r="M135" s="21" t="n"/>
      <c r="N135" s="27" t="n"/>
      <c r="O135" s="28">
        <f>IF($Q135=0,"",IF(C135&gt;=C$2,1,0)+IF(D135&gt;=D$2,1,0)+IF(E135&gt;=E$2,1,0)+IF(F135&gt;=F$2,1,0))</f>
        <v/>
      </c>
      <c r="P135" s="29" t="n"/>
      <c r="Q135" s="30">
        <f>IF(COUNT(C135:M135)&gt;0,1,0)</f>
        <v/>
      </c>
    </row>
    <row r="136">
      <c r="A136" s="25">
        <f>A135+1</f>
        <v/>
      </c>
      <c r="B136" s="26">
        <f>IF(A136="","",TEXT(A136,"ddd"))</f>
        <v/>
      </c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1" t="n"/>
      <c r="M136" s="21" t="n"/>
      <c r="N136" s="27" t="n"/>
      <c r="O136" s="28">
        <f>IF($Q136=0,"",IF(C136&gt;=C$2,1,0)+IF(D136&gt;=D$2,1,0)+IF(E136&gt;=E$2,1,0)+IF(F136&gt;=F$2,1,0))</f>
        <v/>
      </c>
      <c r="P136" s="29" t="n"/>
      <c r="Q136" s="30">
        <f>IF(COUNT(C136:M136)&gt;0,1,0)</f>
        <v/>
      </c>
    </row>
    <row r="137">
      <c r="A137" s="25">
        <f>A136+1</f>
        <v/>
      </c>
      <c r="B137" s="26">
        <f>IF(A137="","",TEXT(A137,"ddd"))</f>
        <v/>
      </c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1" t="n"/>
      <c r="M137" s="21" t="n"/>
      <c r="N137" s="27" t="n"/>
      <c r="O137" s="28">
        <f>IF($Q137=0,"",IF(C137&gt;=C$2,1,0)+IF(D137&gt;=D$2,1,0)+IF(E137&gt;=E$2,1,0)+IF(F137&gt;=F$2,1,0))</f>
        <v/>
      </c>
      <c r="P137" s="29" t="n"/>
      <c r="Q137" s="30">
        <f>IF(COUNT(C137:M137)&gt;0,1,0)</f>
        <v/>
      </c>
    </row>
    <row r="138">
      <c r="A138" s="25">
        <f>A137+1</f>
        <v/>
      </c>
      <c r="B138" s="26">
        <f>IF(A138="","",TEXT(A138,"ddd"))</f>
        <v/>
      </c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1" t="n"/>
      <c r="M138" s="21" t="n"/>
      <c r="N138" s="27" t="n"/>
      <c r="O138" s="28">
        <f>IF($Q138=0,"",IF(C138&gt;=C$2,1,0)+IF(D138&gt;=D$2,1,0)+IF(E138&gt;=E$2,1,0)+IF(F138&gt;=F$2,1,0))</f>
        <v/>
      </c>
      <c r="P138" s="29" t="n"/>
      <c r="Q138" s="30">
        <f>IF(COUNT(C138:M138)&gt;0,1,0)</f>
        <v/>
      </c>
    </row>
    <row r="139">
      <c r="A139" s="25">
        <f>A138+1</f>
        <v/>
      </c>
      <c r="B139" s="26">
        <f>IF(A139="","",TEXT(A139,"ddd"))</f>
        <v/>
      </c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1" t="n"/>
      <c r="M139" s="21" t="n"/>
      <c r="N139" s="27" t="n"/>
      <c r="O139" s="28">
        <f>IF($Q139=0,"",IF(C139&gt;=C$2,1,0)+IF(D139&gt;=D$2,1,0)+IF(E139&gt;=E$2,1,0)+IF(F139&gt;=F$2,1,0))</f>
        <v/>
      </c>
      <c r="P139" s="29" t="n"/>
      <c r="Q139" s="30">
        <f>IF(COUNT(C139:M139)&gt;0,1,0)</f>
        <v/>
      </c>
    </row>
    <row r="140">
      <c r="A140" s="25">
        <f>A139+1</f>
        <v/>
      </c>
      <c r="B140" s="26">
        <f>IF(A140="","",TEXT(A140,"ddd"))</f>
        <v/>
      </c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1" t="n"/>
      <c r="M140" s="21" t="n"/>
      <c r="N140" s="27" t="n"/>
      <c r="O140" s="28">
        <f>IF($Q140=0,"",IF(C140&gt;=C$2,1,0)+IF(D140&gt;=D$2,1,0)+IF(E140&gt;=E$2,1,0)+IF(F140&gt;=F$2,1,0))</f>
        <v/>
      </c>
      <c r="P140" s="29" t="n"/>
      <c r="Q140" s="30">
        <f>IF(COUNT(C140:M140)&gt;0,1,0)</f>
        <v/>
      </c>
    </row>
    <row r="141">
      <c r="A141" s="25">
        <f>A140+1</f>
        <v/>
      </c>
      <c r="B141" s="26">
        <f>IF(A141="","",TEXT(A141,"ddd"))</f>
        <v/>
      </c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1" t="n"/>
      <c r="M141" s="21" t="n"/>
      <c r="N141" s="27" t="n"/>
      <c r="O141" s="28">
        <f>IF($Q141=0,"",IF(C141&gt;=C$2,1,0)+IF(D141&gt;=D$2,1,0)+IF(E141&gt;=E$2,1,0)+IF(F141&gt;=F$2,1,0))</f>
        <v/>
      </c>
      <c r="P141" s="29" t="n"/>
      <c r="Q141" s="30">
        <f>IF(COUNT(C141:M141)&gt;0,1,0)</f>
        <v/>
      </c>
    </row>
    <row r="142">
      <c r="A142" s="25">
        <f>A141+1</f>
        <v/>
      </c>
      <c r="B142" s="26">
        <f>IF(A142="","",TEXT(A142,"ddd"))</f>
        <v/>
      </c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1" t="n"/>
      <c r="M142" s="21" t="n"/>
      <c r="N142" s="27" t="n"/>
      <c r="O142" s="28">
        <f>IF($Q142=0,"",IF(C142&gt;=C$2,1,0)+IF(D142&gt;=D$2,1,0)+IF(E142&gt;=E$2,1,0)+IF(F142&gt;=F$2,1,0))</f>
        <v/>
      </c>
      <c r="P142" s="29" t="n"/>
      <c r="Q142" s="30">
        <f>IF(COUNT(C142:M142)&gt;0,1,0)</f>
        <v/>
      </c>
    </row>
    <row r="143">
      <c r="A143" s="25">
        <f>A142+1</f>
        <v/>
      </c>
      <c r="B143" s="26">
        <f>IF(A143="","",TEXT(A143,"ddd"))</f>
        <v/>
      </c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1" t="n"/>
      <c r="M143" s="21" t="n"/>
      <c r="N143" s="27" t="n"/>
      <c r="O143" s="28">
        <f>IF($Q143=0,"",IF(C143&gt;=C$2,1,0)+IF(D143&gt;=D$2,1,0)+IF(E143&gt;=E$2,1,0)+IF(F143&gt;=F$2,1,0))</f>
        <v/>
      </c>
      <c r="P143" s="29" t="n"/>
      <c r="Q143" s="30">
        <f>IF(COUNT(C143:M143)&gt;0,1,0)</f>
        <v/>
      </c>
    </row>
    <row r="144">
      <c r="A144" s="25">
        <f>A143+1</f>
        <v/>
      </c>
      <c r="B144" s="26">
        <f>IF(A144="","",TEXT(A144,"ddd"))</f>
        <v/>
      </c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1" t="n"/>
      <c r="M144" s="21" t="n"/>
      <c r="N144" s="27" t="n"/>
      <c r="O144" s="28">
        <f>IF($Q144=0,"",IF(C144&gt;=C$2,1,0)+IF(D144&gt;=D$2,1,0)+IF(E144&gt;=E$2,1,0)+IF(F144&gt;=F$2,1,0))</f>
        <v/>
      </c>
      <c r="P144" s="29" t="n"/>
      <c r="Q144" s="30">
        <f>IF(COUNT(C144:M144)&gt;0,1,0)</f>
        <v/>
      </c>
    </row>
    <row r="145">
      <c r="A145" s="25">
        <f>A144+1</f>
        <v/>
      </c>
      <c r="B145" s="26">
        <f>IF(A145="","",TEXT(A145,"ddd"))</f>
        <v/>
      </c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1" t="n"/>
      <c r="M145" s="21" t="n"/>
      <c r="N145" s="27" t="n"/>
      <c r="O145" s="28">
        <f>IF($Q145=0,"",IF(C145&gt;=C$2,1,0)+IF(D145&gt;=D$2,1,0)+IF(E145&gt;=E$2,1,0)+IF(F145&gt;=F$2,1,0))</f>
        <v/>
      </c>
      <c r="P145" s="29" t="n"/>
      <c r="Q145" s="30">
        <f>IF(COUNT(C145:M145)&gt;0,1,0)</f>
        <v/>
      </c>
    </row>
    <row r="146">
      <c r="A146" s="25">
        <f>A145+1</f>
        <v/>
      </c>
      <c r="B146" s="26">
        <f>IF(A146="","",TEXT(A146,"ddd"))</f>
        <v/>
      </c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1" t="n"/>
      <c r="M146" s="21" t="n"/>
      <c r="N146" s="27" t="n"/>
      <c r="O146" s="28">
        <f>IF($Q146=0,"",IF(C146&gt;=C$2,1,0)+IF(D146&gt;=D$2,1,0)+IF(E146&gt;=E$2,1,0)+IF(F146&gt;=F$2,1,0))</f>
        <v/>
      </c>
      <c r="P146" s="29" t="n"/>
      <c r="Q146" s="30">
        <f>IF(COUNT(C146:M146)&gt;0,1,0)</f>
        <v/>
      </c>
    </row>
    <row r="147">
      <c r="A147" s="25">
        <f>A146+1</f>
        <v/>
      </c>
      <c r="B147" s="26">
        <f>IF(A147="","",TEXT(A147,"ddd"))</f>
        <v/>
      </c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1" t="n"/>
      <c r="M147" s="21" t="n"/>
      <c r="N147" s="27" t="n"/>
      <c r="O147" s="28">
        <f>IF($Q147=0,"",IF(C147&gt;=C$2,1,0)+IF(D147&gt;=D$2,1,0)+IF(E147&gt;=E$2,1,0)+IF(F147&gt;=F$2,1,0))</f>
        <v/>
      </c>
      <c r="P147" s="29" t="n"/>
      <c r="Q147" s="30">
        <f>IF(COUNT(C147:M147)&gt;0,1,0)</f>
        <v/>
      </c>
    </row>
    <row r="148">
      <c r="A148" s="25">
        <f>A147+1</f>
        <v/>
      </c>
      <c r="B148" s="26">
        <f>IF(A148="","",TEXT(A148,"ddd"))</f>
        <v/>
      </c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1" t="n"/>
      <c r="M148" s="21" t="n"/>
      <c r="N148" s="27" t="n"/>
      <c r="O148" s="28">
        <f>IF($Q148=0,"",IF(C148&gt;=C$2,1,0)+IF(D148&gt;=D$2,1,0)+IF(E148&gt;=E$2,1,0)+IF(F148&gt;=F$2,1,0))</f>
        <v/>
      </c>
      <c r="P148" s="29" t="n"/>
      <c r="Q148" s="30">
        <f>IF(COUNT(C148:M148)&gt;0,1,0)</f>
        <v/>
      </c>
    </row>
    <row r="149">
      <c r="A149" s="25">
        <f>A148+1</f>
        <v/>
      </c>
      <c r="B149" s="26">
        <f>IF(A149="","",TEXT(A149,"ddd"))</f>
        <v/>
      </c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1" t="n"/>
      <c r="M149" s="21" t="n"/>
      <c r="N149" s="27" t="n"/>
      <c r="O149" s="28">
        <f>IF($Q149=0,"",IF(C149&gt;=C$2,1,0)+IF(D149&gt;=D$2,1,0)+IF(E149&gt;=E$2,1,0)+IF(F149&gt;=F$2,1,0))</f>
        <v/>
      </c>
      <c r="P149" s="29" t="n"/>
      <c r="Q149" s="30">
        <f>IF(COUNT(C149:M149)&gt;0,1,0)</f>
        <v/>
      </c>
    </row>
    <row r="150">
      <c r="A150" s="25">
        <f>A149+1</f>
        <v/>
      </c>
      <c r="B150" s="26">
        <f>IF(A150="","",TEXT(A150,"ddd"))</f>
        <v/>
      </c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1" t="n"/>
      <c r="M150" s="21" t="n"/>
      <c r="N150" s="27" t="n"/>
      <c r="O150" s="28">
        <f>IF($Q150=0,"",IF(C150&gt;=C$2,1,0)+IF(D150&gt;=D$2,1,0)+IF(E150&gt;=E$2,1,0)+IF(F150&gt;=F$2,1,0))</f>
        <v/>
      </c>
      <c r="P150" s="29" t="n"/>
      <c r="Q150" s="30">
        <f>IF(COUNT(C150:M150)&gt;0,1,0)</f>
        <v/>
      </c>
    </row>
    <row r="151">
      <c r="A151" s="25">
        <f>A150+1</f>
        <v/>
      </c>
      <c r="B151" s="26">
        <f>IF(A151="","",TEXT(A151,"ddd"))</f>
        <v/>
      </c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1" t="n"/>
      <c r="M151" s="21" t="n"/>
      <c r="N151" s="27" t="n"/>
      <c r="O151" s="28">
        <f>IF($Q151=0,"",IF(C151&gt;=C$2,1,0)+IF(D151&gt;=D$2,1,0)+IF(E151&gt;=E$2,1,0)+IF(F151&gt;=F$2,1,0))</f>
        <v/>
      </c>
      <c r="P151" s="29" t="n"/>
      <c r="Q151" s="30">
        <f>IF(COUNT(C151:M151)&gt;0,1,0)</f>
        <v/>
      </c>
    </row>
    <row r="152">
      <c r="A152" s="25">
        <f>A151+1</f>
        <v/>
      </c>
      <c r="B152" s="26">
        <f>IF(A152="","",TEXT(A152,"ddd"))</f>
        <v/>
      </c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1" t="n"/>
      <c r="M152" s="21" t="n"/>
      <c r="N152" s="27" t="n"/>
      <c r="O152" s="28">
        <f>IF($Q152=0,"",IF(C152&gt;=C$2,1,0)+IF(D152&gt;=D$2,1,0)+IF(E152&gt;=E$2,1,0)+IF(F152&gt;=F$2,1,0))</f>
        <v/>
      </c>
      <c r="P152" s="29" t="n"/>
      <c r="Q152" s="30">
        <f>IF(COUNT(C152:M152)&gt;0,1,0)</f>
        <v/>
      </c>
    </row>
    <row r="153">
      <c r="A153" s="25">
        <f>A152+1</f>
        <v/>
      </c>
      <c r="B153" s="26">
        <f>IF(A153="","",TEXT(A153,"ddd"))</f>
        <v/>
      </c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1" t="n"/>
      <c r="M153" s="21" t="n"/>
      <c r="N153" s="27" t="n"/>
      <c r="O153" s="28">
        <f>IF($Q153=0,"",IF(C153&gt;=C$2,1,0)+IF(D153&gt;=D$2,1,0)+IF(E153&gt;=E$2,1,0)+IF(F153&gt;=F$2,1,0))</f>
        <v/>
      </c>
      <c r="P153" s="29" t="n"/>
      <c r="Q153" s="30">
        <f>IF(COUNT(C153:M153)&gt;0,1,0)</f>
        <v/>
      </c>
    </row>
    <row r="154">
      <c r="A154" s="25">
        <f>A153+1</f>
        <v/>
      </c>
      <c r="B154" s="26">
        <f>IF(A154="","",TEXT(A154,"ddd"))</f>
        <v/>
      </c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1" t="n"/>
      <c r="M154" s="21" t="n"/>
      <c r="N154" s="27" t="n"/>
      <c r="O154" s="28">
        <f>IF($Q154=0,"",IF(C154&gt;=C$2,1,0)+IF(D154&gt;=D$2,1,0)+IF(E154&gt;=E$2,1,0)+IF(F154&gt;=F$2,1,0))</f>
        <v/>
      </c>
      <c r="P154" s="29" t="n"/>
      <c r="Q154" s="30">
        <f>IF(COUNT(C154:M154)&gt;0,1,0)</f>
        <v/>
      </c>
    </row>
    <row r="155">
      <c r="A155" s="25">
        <f>A154+1</f>
        <v/>
      </c>
      <c r="B155" s="26">
        <f>IF(A155="","",TEXT(A155,"ddd"))</f>
        <v/>
      </c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1" t="n"/>
      <c r="M155" s="21" t="n"/>
      <c r="N155" s="27" t="n"/>
      <c r="O155" s="28">
        <f>IF($Q155=0,"",IF(C155&gt;=C$2,1,0)+IF(D155&gt;=D$2,1,0)+IF(E155&gt;=E$2,1,0)+IF(F155&gt;=F$2,1,0))</f>
        <v/>
      </c>
      <c r="P155" s="29" t="n"/>
      <c r="Q155" s="30">
        <f>IF(COUNT(C155:M155)&gt;0,1,0)</f>
        <v/>
      </c>
    </row>
    <row r="156">
      <c r="A156" s="25">
        <f>A155+1</f>
        <v/>
      </c>
      <c r="B156" s="26">
        <f>IF(A156="","",TEXT(A156,"ddd"))</f>
        <v/>
      </c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1" t="n"/>
      <c r="M156" s="21" t="n"/>
      <c r="N156" s="27" t="n"/>
      <c r="O156" s="28">
        <f>IF($Q156=0,"",IF(C156&gt;=C$2,1,0)+IF(D156&gt;=D$2,1,0)+IF(E156&gt;=E$2,1,0)+IF(F156&gt;=F$2,1,0))</f>
        <v/>
      </c>
      <c r="P156" s="29" t="n"/>
      <c r="Q156" s="30">
        <f>IF(COUNT(C156:M156)&gt;0,1,0)</f>
        <v/>
      </c>
    </row>
    <row r="157">
      <c r="A157" s="25">
        <f>A156+1</f>
        <v/>
      </c>
      <c r="B157" s="26">
        <f>IF(A157="","",TEXT(A157,"ddd"))</f>
        <v/>
      </c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1" t="n"/>
      <c r="M157" s="21" t="n"/>
      <c r="N157" s="27" t="n"/>
      <c r="O157" s="28">
        <f>IF($Q157=0,"",IF(C157&gt;=C$2,1,0)+IF(D157&gt;=D$2,1,0)+IF(E157&gt;=E$2,1,0)+IF(F157&gt;=F$2,1,0))</f>
        <v/>
      </c>
      <c r="P157" s="29" t="n"/>
      <c r="Q157" s="30">
        <f>IF(COUNT(C157:M157)&gt;0,1,0)</f>
        <v/>
      </c>
    </row>
    <row r="158">
      <c r="A158" s="25">
        <f>A157+1</f>
        <v/>
      </c>
      <c r="B158" s="26">
        <f>IF(A158="","",TEXT(A158,"ddd"))</f>
        <v/>
      </c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1" t="n"/>
      <c r="M158" s="21" t="n"/>
      <c r="N158" s="27" t="n"/>
      <c r="O158" s="28">
        <f>IF($Q158=0,"",IF(C158&gt;=C$2,1,0)+IF(D158&gt;=D$2,1,0)+IF(E158&gt;=E$2,1,0)+IF(F158&gt;=F$2,1,0))</f>
        <v/>
      </c>
      <c r="P158" s="29" t="n"/>
      <c r="Q158" s="30">
        <f>IF(COUNT(C158:M158)&gt;0,1,0)</f>
        <v/>
      </c>
    </row>
    <row r="159">
      <c r="A159" s="25">
        <f>A158+1</f>
        <v/>
      </c>
      <c r="B159" s="26">
        <f>IF(A159="","",TEXT(A159,"ddd"))</f>
        <v/>
      </c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1" t="n"/>
      <c r="M159" s="21" t="n"/>
      <c r="N159" s="27" t="n"/>
      <c r="O159" s="28">
        <f>IF($Q159=0,"",IF(C159&gt;=C$2,1,0)+IF(D159&gt;=D$2,1,0)+IF(E159&gt;=E$2,1,0)+IF(F159&gt;=F$2,1,0))</f>
        <v/>
      </c>
      <c r="P159" s="29" t="n"/>
      <c r="Q159" s="30">
        <f>IF(COUNT(C159:M159)&gt;0,1,0)</f>
        <v/>
      </c>
    </row>
    <row r="160">
      <c r="A160" s="25">
        <f>A159+1</f>
        <v/>
      </c>
      <c r="B160" s="26">
        <f>IF(A160="","",TEXT(A160,"ddd"))</f>
        <v/>
      </c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1" t="n"/>
      <c r="M160" s="21" t="n"/>
      <c r="N160" s="27" t="n"/>
      <c r="O160" s="28">
        <f>IF($Q160=0,"",IF(C160&gt;=C$2,1,0)+IF(D160&gt;=D$2,1,0)+IF(E160&gt;=E$2,1,0)+IF(F160&gt;=F$2,1,0))</f>
        <v/>
      </c>
      <c r="P160" s="29" t="n"/>
      <c r="Q160" s="30">
        <f>IF(COUNT(C160:M160)&gt;0,1,0)</f>
        <v/>
      </c>
    </row>
    <row r="161">
      <c r="A161" s="25">
        <f>A160+1</f>
        <v/>
      </c>
      <c r="B161" s="26">
        <f>IF(A161="","",TEXT(A161,"ddd"))</f>
        <v/>
      </c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1" t="n"/>
      <c r="M161" s="21" t="n"/>
      <c r="N161" s="27" t="n"/>
      <c r="O161" s="28">
        <f>IF($Q161=0,"",IF(C161&gt;=C$2,1,0)+IF(D161&gt;=D$2,1,0)+IF(E161&gt;=E$2,1,0)+IF(F161&gt;=F$2,1,0))</f>
        <v/>
      </c>
      <c r="P161" s="29" t="n"/>
      <c r="Q161" s="30">
        <f>IF(COUNT(C161:M161)&gt;0,1,0)</f>
        <v/>
      </c>
    </row>
    <row r="162">
      <c r="A162" s="25">
        <f>A161+1</f>
        <v/>
      </c>
      <c r="B162" s="26">
        <f>IF(A162="","",TEXT(A162,"ddd"))</f>
        <v/>
      </c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1" t="n"/>
      <c r="M162" s="21" t="n"/>
      <c r="N162" s="27" t="n"/>
      <c r="O162" s="28">
        <f>IF($Q162=0,"",IF(C162&gt;=C$2,1,0)+IF(D162&gt;=D$2,1,0)+IF(E162&gt;=E$2,1,0)+IF(F162&gt;=F$2,1,0))</f>
        <v/>
      </c>
      <c r="P162" s="29" t="n"/>
      <c r="Q162" s="30">
        <f>IF(COUNT(C162:M162)&gt;0,1,0)</f>
        <v/>
      </c>
    </row>
    <row r="163">
      <c r="A163" s="25">
        <f>A162+1</f>
        <v/>
      </c>
      <c r="B163" s="26">
        <f>IF(A163="","",TEXT(A163,"ddd"))</f>
        <v/>
      </c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1" t="n"/>
      <c r="M163" s="21" t="n"/>
      <c r="N163" s="27" t="n"/>
      <c r="O163" s="28">
        <f>IF($Q163=0,"",IF(C163&gt;=C$2,1,0)+IF(D163&gt;=D$2,1,0)+IF(E163&gt;=E$2,1,0)+IF(F163&gt;=F$2,1,0))</f>
        <v/>
      </c>
      <c r="P163" s="29" t="n"/>
      <c r="Q163" s="30">
        <f>IF(COUNT(C163:M163)&gt;0,1,0)</f>
        <v/>
      </c>
    </row>
    <row r="164">
      <c r="A164" s="25">
        <f>A163+1</f>
        <v/>
      </c>
      <c r="B164" s="26">
        <f>IF(A164="","",TEXT(A164,"ddd"))</f>
        <v/>
      </c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1" t="n"/>
      <c r="M164" s="21" t="n"/>
      <c r="N164" s="27" t="n"/>
      <c r="O164" s="28">
        <f>IF($Q164=0,"",IF(C164&gt;=C$2,1,0)+IF(D164&gt;=D$2,1,0)+IF(E164&gt;=E$2,1,0)+IF(F164&gt;=F$2,1,0))</f>
        <v/>
      </c>
      <c r="P164" s="29" t="n"/>
      <c r="Q164" s="30">
        <f>IF(COUNT(C164:M164)&gt;0,1,0)</f>
        <v/>
      </c>
    </row>
    <row r="165">
      <c r="A165" s="25">
        <f>A164+1</f>
        <v/>
      </c>
      <c r="B165" s="26">
        <f>IF(A165="","",TEXT(A165,"ddd"))</f>
        <v/>
      </c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1" t="n"/>
      <c r="M165" s="21" t="n"/>
      <c r="N165" s="27" t="n"/>
      <c r="O165" s="28">
        <f>IF($Q165=0,"",IF(C165&gt;=C$2,1,0)+IF(D165&gt;=D$2,1,0)+IF(E165&gt;=E$2,1,0)+IF(F165&gt;=F$2,1,0))</f>
        <v/>
      </c>
      <c r="P165" s="29" t="n"/>
      <c r="Q165" s="30">
        <f>IF(COUNT(C165:M165)&gt;0,1,0)</f>
        <v/>
      </c>
    </row>
    <row r="166">
      <c r="A166" s="25">
        <f>A165+1</f>
        <v/>
      </c>
      <c r="B166" s="26">
        <f>IF(A166="","",TEXT(A166,"ddd"))</f>
        <v/>
      </c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1" t="n"/>
      <c r="M166" s="21" t="n"/>
      <c r="N166" s="27" t="n"/>
      <c r="O166" s="28">
        <f>IF($Q166=0,"",IF(C166&gt;=C$2,1,0)+IF(D166&gt;=D$2,1,0)+IF(E166&gt;=E$2,1,0)+IF(F166&gt;=F$2,1,0))</f>
        <v/>
      </c>
      <c r="P166" s="29" t="n"/>
      <c r="Q166" s="30">
        <f>IF(COUNT(C166:M166)&gt;0,1,0)</f>
        <v/>
      </c>
    </row>
    <row r="167">
      <c r="A167" s="25">
        <f>A166+1</f>
        <v/>
      </c>
      <c r="B167" s="26">
        <f>IF(A167="","",TEXT(A167,"ddd"))</f>
        <v/>
      </c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1" t="n"/>
      <c r="M167" s="21" t="n"/>
      <c r="N167" s="27" t="n"/>
      <c r="O167" s="28">
        <f>IF($Q167=0,"",IF(C167&gt;=C$2,1,0)+IF(D167&gt;=D$2,1,0)+IF(E167&gt;=E$2,1,0)+IF(F167&gt;=F$2,1,0))</f>
        <v/>
      </c>
      <c r="P167" s="29" t="n"/>
      <c r="Q167" s="30">
        <f>IF(COUNT(C167:M167)&gt;0,1,0)</f>
        <v/>
      </c>
    </row>
    <row r="168">
      <c r="A168" s="25">
        <f>A167+1</f>
        <v/>
      </c>
      <c r="B168" s="26">
        <f>IF(A168="","",TEXT(A168,"ddd"))</f>
        <v/>
      </c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1" t="n"/>
      <c r="M168" s="21" t="n"/>
      <c r="N168" s="27" t="n"/>
      <c r="O168" s="28">
        <f>IF($Q168=0,"",IF(C168&gt;=C$2,1,0)+IF(D168&gt;=D$2,1,0)+IF(E168&gt;=E$2,1,0)+IF(F168&gt;=F$2,1,0))</f>
        <v/>
      </c>
      <c r="P168" s="29" t="n"/>
      <c r="Q168" s="30">
        <f>IF(COUNT(C168:M168)&gt;0,1,0)</f>
        <v/>
      </c>
    </row>
    <row r="169">
      <c r="A169" s="25">
        <f>A168+1</f>
        <v/>
      </c>
      <c r="B169" s="26">
        <f>IF(A169="","",TEXT(A169,"ddd"))</f>
        <v/>
      </c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1" t="n"/>
      <c r="M169" s="21" t="n"/>
      <c r="N169" s="27" t="n"/>
      <c r="O169" s="28">
        <f>IF($Q169=0,"",IF(C169&gt;=C$2,1,0)+IF(D169&gt;=D$2,1,0)+IF(E169&gt;=E$2,1,0)+IF(F169&gt;=F$2,1,0))</f>
        <v/>
      </c>
      <c r="P169" s="29" t="n"/>
      <c r="Q169" s="30">
        <f>IF(COUNT(C169:M169)&gt;0,1,0)</f>
        <v/>
      </c>
    </row>
    <row r="170">
      <c r="A170" s="25">
        <f>A169+1</f>
        <v/>
      </c>
      <c r="B170" s="26">
        <f>IF(A170="","",TEXT(A170,"ddd"))</f>
        <v/>
      </c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1" t="n"/>
      <c r="M170" s="21" t="n"/>
      <c r="N170" s="27" t="n"/>
      <c r="O170" s="28">
        <f>IF($Q170=0,"",IF(C170&gt;=C$2,1,0)+IF(D170&gt;=D$2,1,0)+IF(E170&gt;=E$2,1,0)+IF(F170&gt;=F$2,1,0))</f>
        <v/>
      </c>
      <c r="P170" s="29" t="n"/>
      <c r="Q170" s="30">
        <f>IF(COUNT(C170:M170)&gt;0,1,0)</f>
        <v/>
      </c>
    </row>
    <row r="171">
      <c r="A171" s="25">
        <f>A170+1</f>
        <v/>
      </c>
      <c r="B171" s="26">
        <f>IF(A171="","",TEXT(A171,"ddd"))</f>
        <v/>
      </c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1" t="n"/>
      <c r="M171" s="21" t="n"/>
      <c r="N171" s="27" t="n"/>
      <c r="O171" s="28">
        <f>IF($Q171=0,"",IF(C171&gt;=C$2,1,0)+IF(D171&gt;=D$2,1,0)+IF(E171&gt;=E$2,1,0)+IF(F171&gt;=F$2,1,0))</f>
        <v/>
      </c>
      <c r="P171" s="29" t="n"/>
      <c r="Q171" s="30">
        <f>IF(COUNT(C171:M171)&gt;0,1,0)</f>
        <v/>
      </c>
    </row>
    <row r="172">
      <c r="A172" s="25">
        <f>A171+1</f>
        <v/>
      </c>
      <c r="B172" s="26">
        <f>IF(A172="","",TEXT(A172,"ddd"))</f>
        <v/>
      </c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1" t="n"/>
      <c r="M172" s="21" t="n"/>
      <c r="N172" s="27" t="n"/>
      <c r="O172" s="28">
        <f>IF($Q172=0,"",IF(C172&gt;=C$2,1,0)+IF(D172&gt;=D$2,1,0)+IF(E172&gt;=E$2,1,0)+IF(F172&gt;=F$2,1,0))</f>
        <v/>
      </c>
      <c r="P172" s="29" t="n"/>
      <c r="Q172" s="30">
        <f>IF(COUNT(C172:M172)&gt;0,1,0)</f>
        <v/>
      </c>
    </row>
    <row r="173">
      <c r="A173" s="25">
        <f>A172+1</f>
        <v/>
      </c>
      <c r="B173" s="26">
        <f>IF(A173="","",TEXT(A173,"ddd"))</f>
        <v/>
      </c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1" t="n"/>
      <c r="M173" s="21" t="n"/>
      <c r="N173" s="27" t="n"/>
      <c r="O173" s="28">
        <f>IF($Q173=0,"",IF(C173&gt;=C$2,1,0)+IF(D173&gt;=D$2,1,0)+IF(E173&gt;=E$2,1,0)+IF(F173&gt;=F$2,1,0))</f>
        <v/>
      </c>
      <c r="P173" s="29" t="n"/>
      <c r="Q173" s="30">
        <f>IF(COUNT(C173:M173)&gt;0,1,0)</f>
        <v/>
      </c>
    </row>
    <row r="174">
      <c r="A174" s="25">
        <f>A173+1</f>
        <v/>
      </c>
      <c r="B174" s="26">
        <f>IF(A174="","",TEXT(A174,"ddd"))</f>
        <v/>
      </c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1" t="n"/>
      <c r="M174" s="21" t="n"/>
      <c r="N174" s="27" t="n"/>
      <c r="O174" s="28">
        <f>IF($Q174=0,"",IF(C174&gt;=C$2,1,0)+IF(D174&gt;=D$2,1,0)+IF(E174&gt;=E$2,1,0)+IF(F174&gt;=F$2,1,0))</f>
        <v/>
      </c>
      <c r="P174" s="29" t="n"/>
      <c r="Q174" s="30">
        <f>IF(COUNT(C174:M174)&gt;0,1,0)</f>
        <v/>
      </c>
    </row>
    <row r="175">
      <c r="A175" s="25">
        <f>A174+1</f>
        <v/>
      </c>
      <c r="B175" s="26">
        <f>IF(A175="","",TEXT(A175,"ddd"))</f>
        <v/>
      </c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1" t="n"/>
      <c r="M175" s="21" t="n"/>
      <c r="N175" s="27" t="n"/>
      <c r="O175" s="28">
        <f>IF($Q175=0,"",IF(C175&gt;=C$2,1,0)+IF(D175&gt;=D$2,1,0)+IF(E175&gt;=E$2,1,0)+IF(F175&gt;=F$2,1,0))</f>
        <v/>
      </c>
      <c r="P175" s="29" t="n"/>
      <c r="Q175" s="30">
        <f>IF(COUNT(C175:M175)&gt;0,1,0)</f>
        <v/>
      </c>
    </row>
    <row r="176">
      <c r="A176" s="25">
        <f>A175+1</f>
        <v/>
      </c>
      <c r="B176" s="26">
        <f>IF(A176="","",TEXT(A176,"ddd"))</f>
        <v/>
      </c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1" t="n"/>
      <c r="M176" s="21" t="n"/>
      <c r="N176" s="27" t="n"/>
      <c r="O176" s="28">
        <f>IF($Q176=0,"",IF(C176&gt;=C$2,1,0)+IF(D176&gt;=D$2,1,0)+IF(E176&gt;=E$2,1,0)+IF(F176&gt;=F$2,1,0))</f>
        <v/>
      </c>
      <c r="P176" s="29" t="n"/>
      <c r="Q176" s="30">
        <f>IF(COUNT(C176:M176)&gt;0,1,0)</f>
        <v/>
      </c>
    </row>
    <row r="177">
      <c r="A177" s="25">
        <f>A176+1</f>
        <v/>
      </c>
      <c r="B177" s="26">
        <f>IF(A177="","",TEXT(A177,"ddd"))</f>
        <v/>
      </c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1" t="n"/>
      <c r="M177" s="21" t="n"/>
      <c r="N177" s="27" t="n"/>
      <c r="O177" s="28">
        <f>IF($Q177=0,"",IF(C177&gt;=C$2,1,0)+IF(D177&gt;=D$2,1,0)+IF(E177&gt;=E$2,1,0)+IF(F177&gt;=F$2,1,0))</f>
        <v/>
      </c>
      <c r="P177" s="29" t="n"/>
      <c r="Q177" s="30">
        <f>IF(COUNT(C177:M177)&gt;0,1,0)</f>
        <v/>
      </c>
    </row>
    <row r="178">
      <c r="A178" s="25">
        <f>A177+1</f>
        <v/>
      </c>
      <c r="B178" s="26">
        <f>IF(A178="","",TEXT(A178,"ddd"))</f>
        <v/>
      </c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1" t="n"/>
      <c r="M178" s="21" t="n"/>
      <c r="N178" s="27" t="n"/>
      <c r="O178" s="28">
        <f>IF($Q178=0,"",IF(C178&gt;=C$2,1,0)+IF(D178&gt;=D$2,1,0)+IF(E178&gt;=E$2,1,0)+IF(F178&gt;=F$2,1,0))</f>
        <v/>
      </c>
      <c r="P178" s="29" t="n"/>
      <c r="Q178" s="30">
        <f>IF(COUNT(C178:M178)&gt;0,1,0)</f>
        <v/>
      </c>
    </row>
    <row r="179">
      <c r="A179" s="25">
        <f>A178+1</f>
        <v/>
      </c>
      <c r="B179" s="26">
        <f>IF(A179="","",TEXT(A179,"ddd"))</f>
        <v/>
      </c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1" t="n"/>
      <c r="M179" s="21" t="n"/>
      <c r="N179" s="27" t="n"/>
      <c r="O179" s="28">
        <f>IF($Q179=0,"",IF(C179&gt;=C$2,1,0)+IF(D179&gt;=D$2,1,0)+IF(E179&gt;=E$2,1,0)+IF(F179&gt;=F$2,1,0))</f>
        <v/>
      </c>
      <c r="P179" s="29" t="n"/>
      <c r="Q179" s="30">
        <f>IF(COUNT(C179:M179)&gt;0,1,0)</f>
        <v/>
      </c>
    </row>
    <row r="180">
      <c r="A180" s="25">
        <f>A179+1</f>
        <v/>
      </c>
      <c r="B180" s="26">
        <f>IF(A180="","",TEXT(A180,"ddd"))</f>
        <v/>
      </c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1" t="n"/>
      <c r="M180" s="21" t="n"/>
      <c r="N180" s="27" t="n"/>
      <c r="O180" s="28">
        <f>IF($Q180=0,"",IF(C180&gt;=C$2,1,0)+IF(D180&gt;=D$2,1,0)+IF(E180&gt;=E$2,1,0)+IF(F180&gt;=F$2,1,0))</f>
        <v/>
      </c>
      <c r="P180" s="29" t="n"/>
      <c r="Q180" s="30">
        <f>IF(COUNT(C180:M180)&gt;0,1,0)</f>
        <v/>
      </c>
    </row>
    <row r="181">
      <c r="A181" s="25">
        <f>A180+1</f>
        <v/>
      </c>
      <c r="B181" s="26">
        <f>IF(A181="","",TEXT(A181,"ddd"))</f>
        <v/>
      </c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1" t="n"/>
      <c r="M181" s="21" t="n"/>
      <c r="N181" s="27" t="n"/>
      <c r="O181" s="28">
        <f>IF($Q181=0,"",IF(C181&gt;=C$2,1,0)+IF(D181&gt;=D$2,1,0)+IF(E181&gt;=E$2,1,0)+IF(F181&gt;=F$2,1,0))</f>
        <v/>
      </c>
      <c r="P181" s="29" t="n"/>
      <c r="Q181" s="30">
        <f>IF(COUNT(C181:M181)&gt;0,1,0)</f>
        <v/>
      </c>
    </row>
    <row r="182">
      <c r="A182" s="25">
        <f>A181+1</f>
        <v/>
      </c>
      <c r="B182" s="26">
        <f>IF(A182="","",TEXT(A182,"ddd"))</f>
        <v/>
      </c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1" t="n"/>
      <c r="M182" s="21" t="n"/>
      <c r="N182" s="27" t="n"/>
      <c r="O182" s="28">
        <f>IF($Q182=0,"",IF(C182&gt;=C$2,1,0)+IF(D182&gt;=D$2,1,0)+IF(E182&gt;=E$2,1,0)+IF(F182&gt;=F$2,1,0))</f>
        <v/>
      </c>
      <c r="P182" s="29" t="n"/>
      <c r="Q182" s="30">
        <f>IF(COUNT(C182:M182)&gt;0,1,0)</f>
        <v/>
      </c>
    </row>
    <row r="183">
      <c r="A183" s="25">
        <f>A182+1</f>
        <v/>
      </c>
      <c r="B183" s="26">
        <f>IF(A183="","",TEXT(A183,"ddd"))</f>
        <v/>
      </c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1" t="n"/>
      <c r="M183" s="21" t="n"/>
      <c r="N183" s="27" t="n"/>
      <c r="O183" s="28">
        <f>IF($Q183=0,"",IF(C183&gt;=C$2,1,0)+IF(D183&gt;=D$2,1,0)+IF(E183&gt;=E$2,1,0)+IF(F183&gt;=F$2,1,0))</f>
        <v/>
      </c>
      <c r="P183" s="29" t="n"/>
      <c r="Q183" s="30">
        <f>IF(COUNT(C183:M183)&gt;0,1,0)</f>
        <v/>
      </c>
    </row>
    <row r="184">
      <c r="A184" s="25">
        <f>A183+1</f>
        <v/>
      </c>
      <c r="B184" s="26">
        <f>IF(A184="","",TEXT(A184,"ddd"))</f>
        <v/>
      </c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1" t="n"/>
      <c r="M184" s="21" t="n"/>
      <c r="N184" s="27" t="n"/>
      <c r="O184" s="28">
        <f>IF($Q184=0,"",IF(C184&gt;=C$2,1,0)+IF(D184&gt;=D$2,1,0)+IF(E184&gt;=E$2,1,0)+IF(F184&gt;=F$2,1,0))</f>
        <v/>
      </c>
      <c r="P184" s="29" t="n"/>
      <c r="Q184" s="30">
        <f>IF(COUNT(C184:M184)&gt;0,1,0)</f>
        <v/>
      </c>
    </row>
    <row r="185">
      <c r="A185" s="25">
        <f>A184+1</f>
        <v/>
      </c>
      <c r="B185" s="26">
        <f>IF(A185="","",TEXT(A185,"ddd"))</f>
        <v/>
      </c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1" t="n"/>
      <c r="M185" s="21" t="n"/>
      <c r="N185" s="27" t="n"/>
      <c r="O185" s="28">
        <f>IF($Q185=0,"",IF(C185&gt;=C$2,1,0)+IF(D185&gt;=D$2,1,0)+IF(E185&gt;=E$2,1,0)+IF(F185&gt;=F$2,1,0))</f>
        <v/>
      </c>
      <c r="P185" s="29" t="n"/>
      <c r="Q185" s="30">
        <f>IF(COUNT(C185:M185)&gt;0,1,0)</f>
        <v/>
      </c>
    </row>
    <row r="186">
      <c r="A186" s="25">
        <f>A185+1</f>
        <v/>
      </c>
      <c r="B186" s="26">
        <f>IF(A186="","",TEXT(A186,"ddd"))</f>
        <v/>
      </c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1" t="n"/>
      <c r="M186" s="21" t="n"/>
      <c r="N186" s="27" t="n"/>
      <c r="O186" s="28">
        <f>IF($Q186=0,"",IF(C186&gt;=C$2,1,0)+IF(D186&gt;=D$2,1,0)+IF(E186&gt;=E$2,1,0)+IF(F186&gt;=F$2,1,0))</f>
        <v/>
      </c>
      <c r="P186" s="29" t="n"/>
      <c r="Q186" s="30">
        <f>IF(COUNT(C186:M186)&gt;0,1,0)</f>
        <v/>
      </c>
    </row>
    <row r="187">
      <c r="A187" s="25">
        <f>A186+1</f>
        <v/>
      </c>
      <c r="B187" s="26">
        <f>IF(A187="","",TEXT(A187,"ddd"))</f>
        <v/>
      </c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1" t="n"/>
      <c r="M187" s="21" t="n"/>
      <c r="N187" s="27" t="n"/>
      <c r="O187" s="28">
        <f>IF($Q187=0,"",IF(C187&gt;=C$2,1,0)+IF(D187&gt;=D$2,1,0)+IF(E187&gt;=E$2,1,0)+IF(F187&gt;=F$2,1,0))</f>
        <v/>
      </c>
      <c r="P187" s="29" t="n"/>
      <c r="Q187" s="30">
        <f>IF(COUNT(C187:M187)&gt;0,1,0)</f>
        <v/>
      </c>
    </row>
    <row r="188">
      <c r="A188" s="25">
        <f>A187+1</f>
        <v/>
      </c>
      <c r="B188" s="26">
        <f>IF(A188="","",TEXT(A188,"ddd"))</f>
        <v/>
      </c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1" t="n"/>
      <c r="M188" s="21" t="n"/>
      <c r="N188" s="27" t="n"/>
      <c r="O188" s="28">
        <f>IF($Q188=0,"",IF(C188&gt;=C$2,1,0)+IF(D188&gt;=D$2,1,0)+IF(E188&gt;=E$2,1,0)+IF(F188&gt;=F$2,1,0))</f>
        <v/>
      </c>
      <c r="P188" s="29" t="n"/>
      <c r="Q188" s="30">
        <f>IF(COUNT(C188:M188)&gt;0,1,0)</f>
        <v/>
      </c>
    </row>
    <row r="189">
      <c r="A189" s="25">
        <f>A188+1</f>
        <v/>
      </c>
      <c r="B189" s="26">
        <f>IF(A189="","",TEXT(A189,"ddd"))</f>
        <v/>
      </c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1" t="n"/>
      <c r="M189" s="21" t="n"/>
      <c r="N189" s="27" t="n"/>
      <c r="O189" s="28">
        <f>IF($Q189=0,"",IF(C189&gt;=C$2,1,0)+IF(D189&gt;=D$2,1,0)+IF(E189&gt;=E$2,1,0)+IF(F189&gt;=F$2,1,0))</f>
        <v/>
      </c>
      <c r="P189" s="29" t="n"/>
      <c r="Q189" s="30">
        <f>IF(COUNT(C189:M189)&gt;0,1,0)</f>
        <v/>
      </c>
    </row>
    <row r="190">
      <c r="A190" s="25">
        <f>A189+1</f>
        <v/>
      </c>
      <c r="B190" s="26">
        <f>IF(A190="","",TEXT(A190,"ddd"))</f>
        <v/>
      </c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1" t="n"/>
      <c r="M190" s="21" t="n"/>
      <c r="N190" s="27" t="n"/>
      <c r="O190" s="28">
        <f>IF($Q190=0,"",IF(C190&gt;=C$2,1,0)+IF(D190&gt;=D$2,1,0)+IF(E190&gt;=E$2,1,0)+IF(F190&gt;=F$2,1,0))</f>
        <v/>
      </c>
      <c r="P190" s="29" t="n"/>
      <c r="Q190" s="30">
        <f>IF(COUNT(C190:M190)&gt;0,1,0)</f>
        <v/>
      </c>
    </row>
    <row r="191">
      <c r="A191" s="25">
        <f>A190+1</f>
        <v/>
      </c>
      <c r="B191" s="26">
        <f>IF(A191="","",TEXT(A191,"ddd"))</f>
        <v/>
      </c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1" t="n"/>
      <c r="M191" s="21" t="n"/>
      <c r="N191" s="27" t="n"/>
      <c r="O191" s="28">
        <f>IF($Q191=0,"",IF(C191&gt;=C$2,1,0)+IF(D191&gt;=D$2,1,0)+IF(E191&gt;=E$2,1,0)+IF(F191&gt;=F$2,1,0))</f>
        <v/>
      </c>
      <c r="P191" s="29" t="n"/>
      <c r="Q191" s="30">
        <f>IF(COUNT(C191:M191)&gt;0,1,0)</f>
        <v/>
      </c>
    </row>
    <row r="192">
      <c r="A192" s="25">
        <f>A191+1</f>
        <v/>
      </c>
      <c r="B192" s="26">
        <f>IF(A192="","",TEXT(A192,"ddd"))</f>
        <v/>
      </c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1" t="n"/>
      <c r="M192" s="21" t="n"/>
      <c r="N192" s="27" t="n"/>
      <c r="O192" s="28">
        <f>IF($Q192=0,"",IF(C192&gt;=C$2,1,0)+IF(D192&gt;=D$2,1,0)+IF(E192&gt;=E$2,1,0)+IF(F192&gt;=F$2,1,0))</f>
        <v/>
      </c>
      <c r="P192" s="29" t="n"/>
      <c r="Q192" s="30">
        <f>IF(COUNT(C192:M192)&gt;0,1,0)</f>
        <v/>
      </c>
    </row>
    <row r="193">
      <c r="A193" s="25">
        <f>A192+1</f>
        <v/>
      </c>
      <c r="B193" s="26">
        <f>IF(A193="","",TEXT(A193,"ddd"))</f>
        <v/>
      </c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1" t="n"/>
      <c r="M193" s="21" t="n"/>
      <c r="N193" s="27" t="n"/>
      <c r="O193" s="28">
        <f>IF($Q193=0,"",IF(C193&gt;=C$2,1,0)+IF(D193&gt;=D$2,1,0)+IF(E193&gt;=E$2,1,0)+IF(F193&gt;=F$2,1,0))</f>
        <v/>
      </c>
      <c r="P193" s="29" t="n"/>
      <c r="Q193" s="30">
        <f>IF(COUNT(C193:M193)&gt;0,1,0)</f>
        <v/>
      </c>
    </row>
    <row r="194">
      <c r="A194" s="25">
        <f>A193+1</f>
        <v/>
      </c>
      <c r="B194" s="26">
        <f>IF(A194="","",TEXT(A194,"ddd"))</f>
        <v/>
      </c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1" t="n"/>
      <c r="M194" s="21" t="n"/>
      <c r="N194" s="27" t="n"/>
      <c r="O194" s="28">
        <f>IF($Q194=0,"",IF(C194&gt;=C$2,1,0)+IF(D194&gt;=D$2,1,0)+IF(E194&gt;=E$2,1,0)+IF(F194&gt;=F$2,1,0))</f>
        <v/>
      </c>
      <c r="P194" s="29" t="n"/>
      <c r="Q194" s="30">
        <f>IF(COUNT(C194:M194)&gt;0,1,0)</f>
        <v/>
      </c>
    </row>
    <row r="195">
      <c r="A195" s="25">
        <f>A194+1</f>
        <v/>
      </c>
      <c r="B195" s="26">
        <f>IF(A195="","",TEXT(A195,"ddd"))</f>
        <v/>
      </c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1" t="n"/>
      <c r="M195" s="21" t="n"/>
      <c r="N195" s="27" t="n"/>
      <c r="O195" s="28">
        <f>IF($Q195=0,"",IF(C195&gt;=C$2,1,0)+IF(D195&gt;=D$2,1,0)+IF(E195&gt;=E$2,1,0)+IF(F195&gt;=F$2,1,0))</f>
        <v/>
      </c>
      <c r="P195" s="29" t="n"/>
      <c r="Q195" s="30">
        <f>IF(COUNT(C195:M195)&gt;0,1,0)</f>
        <v/>
      </c>
    </row>
    <row r="196">
      <c r="A196" s="25">
        <f>A195+1</f>
        <v/>
      </c>
      <c r="B196" s="26">
        <f>IF(A196="","",TEXT(A196,"ddd"))</f>
        <v/>
      </c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1" t="n"/>
      <c r="M196" s="21" t="n"/>
      <c r="N196" s="27" t="n"/>
      <c r="O196" s="28">
        <f>IF($Q196=0,"",IF(C196&gt;=C$2,1,0)+IF(D196&gt;=D$2,1,0)+IF(E196&gt;=E$2,1,0)+IF(F196&gt;=F$2,1,0))</f>
        <v/>
      </c>
      <c r="P196" s="29" t="n"/>
      <c r="Q196" s="30">
        <f>IF(COUNT(C196:M196)&gt;0,1,0)</f>
        <v/>
      </c>
    </row>
    <row r="197">
      <c r="A197" s="25">
        <f>A196+1</f>
        <v/>
      </c>
      <c r="B197" s="26">
        <f>IF(A197="","",TEXT(A197,"ddd"))</f>
        <v/>
      </c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1" t="n"/>
      <c r="M197" s="21" t="n"/>
      <c r="N197" s="27" t="n"/>
      <c r="O197" s="28">
        <f>IF($Q197=0,"",IF(C197&gt;=C$2,1,0)+IF(D197&gt;=D$2,1,0)+IF(E197&gt;=E$2,1,0)+IF(F197&gt;=F$2,1,0))</f>
        <v/>
      </c>
      <c r="P197" s="29" t="n"/>
      <c r="Q197" s="30">
        <f>IF(COUNT(C197:M197)&gt;0,1,0)</f>
        <v/>
      </c>
    </row>
    <row r="198">
      <c r="A198" s="25">
        <f>A197+1</f>
        <v/>
      </c>
      <c r="B198" s="26">
        <f>IF(A198="","",TEXT(A198,"ddd"))</f>
        <v/>
      </c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1" t="n"/>
      <c r="M198" s="21" t="n"/>
      <c r="N198" s="27" t="n"/>
      <c r="O198" s="28">
        <f>IF($Q198=0,"",IF(C198&gt;=C$2,1,0)+IF(D198&gt;=D$2,1,0)+IF(E198&gt;=E$2,1,0)+IF(F198&gt;=F$2,1,0))</f>
        <v/>
      </c>
      <c r="P198" s="29" t="n"/>
      <c r="Q198" s="30">
        <f>IF(COUNT(C198:M198)&gt;0,1,0)</f>
        <v/>
      </c>
    </row>
    <row r="199">
      <c r="A199" s="25">
        <f>A198+1</f>
        <v/>
      </c>
      <c r="B199" s="26">
        <f>IF(A199="","",TEXT(A199,"ddd"))</f>
        <v/>
      </c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1" t="n"/>
      <c r="M199" s="21" t="n"/>
      <c r="N199" s="27" t="n"/>
      <c r="O199" s="28">
        <f>IF($Q199=0,"",IF(C199&gt;=C$2,1,0)+IF(D199&gt;=D$2,1,0)+IF(E199&gt;=E$2,1,0)+IF(F199&gt;=F$2,1,0))</f>
        <v/>
      </c>
      <c r="P199" s="29" t="n"/>
      <c r="Q199" s="30">
        <f>IF(COUNT(C199:M199)&gt;0,1,0)</f>
        <v/>
      </c>
    </row>
    <row r="200">
      <c r="A200" s="25">
        <f>A199+1</f>
        <v/>
      </c>
      <c r="B200" s="26">
        <f>IF(A200="","",TEXT(A200,"ddd"))</f>
        <v/>
      </c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1" t="n"/>
      <c r="M200" s="21" t="n"/>
      <c r="N200" s="27" t="n"/>
      <c r="O200" s="28">
        <f>IF($Q200=0,"",IF(C200&gt;=C$2,1,0)+IF(D200&gt;=D$2,1,0)+IF(E200&gt;=E$2,1,0)+IF(F200&gt;=F$2,1,0))</f>
        <v/>
      </c>
      <c r="P200" s="29" t="n"/>
      <c r="Q200" s="30">
        <f>IF(COUNT(C200:M200)&gt;0,1,0)</f>
        <v/>
      </c>
    </row>
    <row r="201">
      <c r="A201" s="25">
        <f>A200+1</f>
        <v/>
      </c>
      <c r="B201" s="26">
        <f>IF(A201="","",TEXT(A201,"ddd"))</f>
        <v/>
      </c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1" t="n"/>
      <c r="M201" s="21" t="n"/>
      <c r="N201" s="27" t="n"/>
      <c r="O201" s="28">
        <f>IF($Q201=0,"",IF(C201&gt;=C$2,1,0)+IF(D201&gt;=D$2,1,0)+IF(E201&gt;=E$2,1,0)+IF(F201&gt;=F$2,1,0))</f>
        <v/>
      </c>
      <c r="P201" s="29" t="n"/>
      <c r="Q201" s="30">
        <f>IF(COUNT(C201:M201)&gt;0,1,0)</f>
        <v/>
      </c>
    </row>
    <row r="202">
      <c r="A202" s="25">
        <f>A201+1</f>
        <v/>
      </c>
      <c r="B202" s="26">
        <f>IF(A202="","",TEXT(A202,"ddd"))</f>
        <v/>
      </c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1" t="n"/>
      <c r="M202" s="21" t="n"/>
      <c r="N202" s="27" t="n"/>
      <c r="O202" s="28">
        <f>IF($Q202=0,"",IF(C202&gt;=C$2,1,0)+IF(D202&gt;=D$2,1,0)+IF(E202&gt;=E$2,1,0)+IF(F202&gt;=F$2,1,0))</f>
        <v/>
      </c>
      <c r="P202" s="29" t="n"/>
      <c r="Q202" s="30">
        <f>IF(COUNT(C202:M202)&gt;0,1,0)</f>
        <v/>
      </c>
    </row>
    <row r="203">
      <c r="A203" s="25">
        <f>A202+1</f>
        <v/>
      </c>
      <c r="B203" s="26">
        <f>IF(A203="","",TEXT(A203,"ddd"))</f>
        <v/>
      </c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1" t="n"/>
      <c r="M203" s="21" t="n"/>
      <c r="N203" s="27" t="n"/>
      <c r="O203" s="28">
        <f>IF($Q203=0,"",IF(C203&gt;=C$2,1,0)+IF(D203&gt;=D$2,1,0)+IF(E203&gt;=E$2,1,0)+IF(F203&gt;=F$2,1,0))</f>
        <v/>
      </c>
      <c r="P203" s="29" t="n"/>
      <c r="Q203" s="30">
        <f>IF(COUNT(C203:M203)&gt;0,1,0)</f>
        <v/>
      </c>
    </row>
    <row r="204">
      <c r="A204" s="25">
        <f>A203+1</f>
        <v/>
      </c>
      <c r="B204" s="26">
        <f>IF(A204="","",TEXT(A204,"ddd"))</f>
        <v/>
      </c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1" t="n"/>
      <c r="M204" s="21" t="n"/>
      <c r="N204" s="27" t="n"/>
      <c r="O204" s="28">
        <f>IF($Q204=0,"",IF(C204&gt;=C$2,1,0)+IF(D204&gt;=D$2,1,0)+IF(E204&gt;=E$2,1,0)+IF(F204&gt;=F$2,1,0))</f>
        <v/>
      </c>
      <c r="P204" s="29" t="n"/>
      <c r="Q204" s="30">
        <f>IF(COUNT(C204:M204)&gt;0,1,0)</f>
        <v/>
      </c>
    </row>
    <row r="205">
      <c r="A205" s="25">
        <f>A204+1</f>
        <v/>
      </c>
      <c r="B205" s="26">
        <f>IF(A205="","",TEXT(A205,"ddd"))</f>
        <v/>
      </c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1" t="n"/>
      <c r="M205" s="21" t="n"/>
      <c r="N205" s="27" t="n"/>
      <c r="O205" s="28">
        <f>IF($Q205=0,"",IF(C205&gt;=C$2,1,0)+IF(D205&gt;=D$2,1,0)+IF(E205&gt;=E$2,1,0)+IF(F205&gt;=F$2,1,0))</f>
        <v/>
      </c>
      <c r="P205" s="29" t="n"/>
      <c r="Q205" s="30">
        <f>IF(COUNT(C205:M205)&gt;0,1,0)</f>
        <v/>
      </c>
    </row>
    <row r="206">
      <c r="A206" s="25">
        <f>A205+1</f>
        <v/>
      </c>
      <c r="B206" s="26">
        <f>IF(A206="","",TEXT(A206,"ddd"))</f>
        <v/>
      </c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1" t="n"/>
      <c r="M206" s="21" t="n"/>
      <c r="N206" s="27" t="n"/>
      <c r="O206" s="28">
        <f>IF($Q206=0,"",IF(C206&gt;=C$2,1,0)+IF(D206&gt;=D$2,1,0)+IF(E206&gt;=E$2,1,0)+IF(F206&gt;=F$2,1,0))</f>
        <v/>
      </c>
      <c r="P206" s="29" t="n"/>
      <c r="Q206" s="30">
        <f>IF(COUNT(C206:M206)&gt;0,1,0)</f>
        <v/>
      </c>
    </row>
    <row r="207">
      <c r="A207" s="25">
        <f>A206+1</f>
        <v/>
      </c>
      <c r="B207" s="26">
        <f>IF(A207="","",TEXT(A207,"ddd"))</f>
        <v/>
      </c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1" t="n"/>
      <c r="M207" s="21" t="n"/>
      <c r="N207" s="27" t="n"/>
      <c r="O207" s="28">
        <f>IF($Q207=0,"",IF(C207&gt;=C$2,1,0)+IF(D207&gt;=D$2,1,0)+IF(E207&gt;=E$2,1,0)+IF(F207&gt;=F$2,1,0))</f>
        <v/>
      </c>
      <c r="P207" s="29" t="n"/>
      <c r="Q207" s="30">
        <f>IF(COUNT(C207:M207)&gt;0,1,0)</f>
        <v/>
      </c>
    </row>
    <row r="208">
      <c r="A208" s="25">
        <f>A207+1</f>
        <v/>
      </c>
      <c r="B208" s="26">
        <f>IF(A208="","",TEXT(A208,"ddd"))</f>
        <v/>
      </c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1" t="n"/>
      <c r="M208" s="21" t="n"/>
      <c r="N208" s="27" t="n"/>
      <c r="O208" s="28">
        <f>IF($Q208=0,"",IF(C208&gt;=C$2,1,0)+IF(D208&gt;=D$2,1,0)+IF(E208&gt;=E$2,1,0)+IF(F208&gt;=F$2,1,0))</f>
        <v/>
      </c>
      <c r="P208" s="29" t="n"/>
      <c r="Q208" s="30">
        <f>IF(COUNT(C208:M208)&gt;0,1,0)</f>
        <v/>
      </c>
    </row>
    <row r="209">
      <c r="A209" s="25">
        <f>A208+1</f>
        <v/>
      </c>
      <c r="B209" s="26">
        <f>IF(A209="","",TEXT(A209,"ddd"))</f>
        <v/>
      </c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1" t="n"/>
      <c r="M209" s="21" t="n"/>
      <c r="N209" s="27" t="n"/>
      <c r="O209" s="28">
        <f>IF($Q209=0,"",IF(C209&gt;=C$2,1,0)+IF(D209&gt;=D$2,1,0)+IF(E209&gt;=E$2,1,0)+IF(F209&gt;=F$2,1,0))</f>
        <v/>
      </c>
      <c r="P209" s="29" t="n"/>
      <c r="Q209" s="30">
        <f>IF(COUNT(C209:M209)&gt;0,1,0)</f>
        <v/>
      </c>
    </row>
    <row r="210">
      <c r="A210" s="25">
        <f>A209+1</f>
        <v/>
      </c>
      <c r="B210" s="26">
        <f>IF(A210="","",TEXT(A210,"ddd"))</f>
        <v/>
      </c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1" t="n"/>
      <c r="M210" s="21" t="n"/>
      <c r="N210" s="27" t="n"/>
      <c r="O210" s="28">
        <f>IF($Q210=0,"",IF(C210&gt;=C$2,1,0)+IF(D210&gt;=D$2,1,0)+IF(E210&gt;=E$2,1,0)+IF(F210&gt;=F$2,1,0))</f>
        <v/>
      </c>
      <c r="P210" s="29" t="n"/>
      <c r="Q210" s="30">
        <f>IF(COUNT(C210:M210)&gt;0,1,0)</f>
        <v/>
      </c>
    </row>
    <row r="211">
      <c r="A211" s="25">
        <f>A210+1</f>
        <v/>
      </c>
      <c r="B211" s="26">
        <f>IF(A211="","",TEXT(A211,"ddd"))</f>
        <v/>
      </c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1" t="n"/>
      <c r="M211" s="21" t="n"/>
      <c r="N211" s="27" t="n"/>
      <c r="O211" s="28">
        <f>IF($Q211=0,"",IF(C211&gt;=C$2,1,0)+IF(D211&gt;=D$2,1,0)+IF(E211&gt;=E$2,1,0)+IF(F211&gt;=F$2,1,0))</f>
        <v/>
      </c>
      <c r="P211" s="29" t="n"/>
      <c r="Q211" s="30">
        <f>IF(COUNT(C211:M211)&gt;0,1,0)</f>
        <v/>
      </c>
    </row>
    <row r="212">
      <c r="A212" s="25">
        <f>A211+1</f>
        <v/>
      </c>
      <c r="B212" s="26">
        <f>IF(A212="","",TEXT(A212,"ddd"))</f>
        <v/>
      </c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1" t="n"/>
      <c r="M212" s="21" t="n"/>
      <c r="N212" s="27" t="n"/>
      <c r="O212" s="28">
        <f>IF($Q212=0,"",IF(C212&gt;=C$2,1,0)+IF(D212&gt;=D$2,1,0)+IF(E212&gt;=E$2,1,0)+IF(F212&gt;=F$2,1,0))</f>
        <v/>
      </c>
      <c r="P212" s="29" t="n"/>
      <c r="Q212" s="30">
        <f>IF(COUNT(C212:M212)&gt;0,1,0)</f>
        <v/>
      </c>
    </row>
    <row r="213">
      <c r="A213" s="25">
        <f>A212+1</f>
        <v/>
      </c>
      <c r="B213" s="26">
        <f>IF(A213="","",TEXT(A213,"ddd"))</f>
        <v/>
      </c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1" t="n"/>
      <c r="M213" s="21" t="n"/>
      <c r="N213" s="27" t="n"/>
      <c r="O213" s="28">
        <f>IF($Q213=0,"",IF(C213&gt;=C$2,1,0)+IF(D213&gt;=D$2,1,0)+IF(E213&gt;=E$2,1,0)+IF(F213&gt;=F$2,1,0))</f>
        <v/>
      </c>
      <c r="P213" s="29" t="n"/>
      <c r="Q213" s="30">
        <f>IF(COUNT(C213:M213)&gt;0,1,0)</f>
        <v/>
      </c>
    </row>
    <row r="214">
      <c r="A214" s="25">
        <f>A213+1</f>
        <v/>
      </c>
      <c r="B214" s="26">
        <f>IF(A214="","",TEXT(A214,"ddd"))</f>
        <v/>
      </c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1" t="n"/>
      <c r="M214" s="21" t="n"/>
      <c r="N214" s="27" t="n"/>
      <c r="O214" s="28">
        <f>IF($Q214=0,"",IF(C214&gt;=C$2,1,0)+IF(D214&gt;=D$2,1,0)+IF(E214&gt;=E$2,1,0)+IF(F214&gt;=F$2,1,0))</f>
        <v/>
      </c>
      <c r="P214" s="29" t="n"/>
      <c r="Q214" s="30">
        <f>IF(COUNT(C214:M214)&gt;0,1,0)</f>
        <v/>
      </c>
    </row>
    <row r="215">
      <c r="A215" s="25">
        <f>A214+1</f>
        <v/>
      </c>
      <c r="B215" s="26">
        <f>IF(A215="","",TEXT(A215,"ddd"))</f>
        <v/>
      </c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1" t="n"/>
      <c r="M215" s="21" t="n"/>
      <c r="N215" s="27" t="n"/>
      <c r="O215" s="28">
        <f>IF($Q215=0,"",IF(C215&gt;=C$2,1,0)+IF(D215&gt;=D$2,1,0)+IF(E215&gt;=E$2,1,0)+IF(F215&gt;=F$2,1,0))</f>
        <v/>
      </c>
      <c r="P215" s="29" t="n"/>
      <c r="Q215" s="30">
        <f>IF(COUNT(C215:M215)&gt;0,1,0)</f>
        <v/>
      </c>
    </row>
    <row r="216">
      <c r="A216" s="25">
        <f>A215+1</f>
        <v/>
      </c>
      <c r="B216" s="26">
        <f>IF(A216="","",TEXT(A216,"ddd"))</f>
        <v/>
      </c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1" t="n"/>
      <c r="M216" s="21" t="n"/>
      <c r="N216" s="27" t="n"/>
      <c r="O216" s="28">
        <f>IF($Q216=0,"",IF(C216&gt;=C$2,1,0)+IF(D216&gt;=D$2,1,0)+IF(E216&gt;=E$2,1,0)+IF(F216&gt;=F$2,1,0))</f>
        <v/>
      </c>
      <c r="P216" s="29" t="n"/>
      <c r="Q216" s="30">
        <f>IF(COUNT(C216:M216)&gt;0,1,0)</f>
        <v/>
      </c>
    </row>
    <row r="217">
      <c r="A217" s="25">
        <f>A216+1</f>
        <v/>
      </c>
      <c r="B217" s="26">
        <f>IF(A217="","",TEXT(A217,"ddd"))</f>
        <v/>
      </c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1" t="n"/>
      <c r="M217" s="21" t="n"/>
      <c r="N217" s="27" t="n"/>
      <c r="O217" s="28">
        <f>IF($Q217=0,"",IF(C217&gt;=C$2,1,0)+IF(D217&gt;=D$2,1,0)+IF(E217&gt;=E$2,1,0)+IF(F217&gt;=F$2,1,0))</f>
        <v/>
      </c>
      <c r="P217" s="29" t="n"/>
      <c r="Q217" s="30">
        <f>IF(COUNT(C217:M217)&gt;0,1,0)</f>
        <v/>
      </c>
    </row>
    <row r="218">
      <c r="A218" s="25">
        <f>A217+1</f>
        <v/>
      </c>
      <c r="B218" s="26">
        <f>IF(A218="","",TEXT(A218,"ddd"))</f>
        <v/>
      </c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1" t="n"/>
      <c r="M218" s="21" t="n"/>
      <c r="N218" s="27" t="n"/>
      <c r="O218" s="28">
        <f>IF($Q218=0,"",IF(C218&gt;=C$2,1,0)+IF(D218&gt;=D$2,1,0)+IF(E218&gt;=E$2,1,0)+IF(F218&gt;=F$2,1,0))</f>
        <v/>
      </c>
      <c r="P218" s="29" t="n"/>
      <c r="Q218" s="30">
        <f>IF(COUNT(C218:M218)&gt;0,1,0)</f>
        <v/>
      </c>
    </row>
    <row r="219">
      <c r="A219" s="25">
        <f>A218+1</f>
        <v/>
      </c>
      <c r="B219" s="26">
        <f>IF(A219="","",TEXT(A219,"ddd"))</f>
        <v/>
      </c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1" t="n"/>
      <c r="M219" s="21" t="n"/>
      <c r="N219" s="27" t="n"/>
      <c r="O219" s="28">
        <f>IF($Q219=0,"",IF(C219&gt;=C$2,1,0)+IF(D219&gt;=D$2,1,0)+IF(E219&gt;=E$2,1,0)+IF(F219&gt;=F$2,1,0))</f>
        <v/>
      </c>
      <c r="P219" s="29" t="n"/>
      <c r="Q219" s="30">
        <f>IF(COUNT(C219:M219)&gt;0,1,0)</f>
        <v/>
      </c>
    </row>
    <row r="220">
      <c r="A220" s="25">
        <f>A219+1</f>
        <v/>
      </c>
      <c r="B220" s="26">
        <f>IF(A220="","",TEXT(A220,"ddd"))</f>
        <v/>
      </c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1" t="n"/>
      <c r="M220" s="21" t="n"/>
      <c r="N220" s="27" t="n"/>
      <c r="O220" s="28">
        <f>IF($Q220=0,"",IF(C220&gt;=C$2,1,0)+IF(D220&gt;=D$2,1,0)+IF(E220&gt;=E$2,1,0)+IF(F220&gt;=F$2,1,0))</f>
        <v/>
      </c>
      <c r="P220" s="29" t="n"/>
      <c r="Q220" s="30">
        <f>IF(COUNT(C220:M220)&gt;0,1,0)</f>
        <v/>
      </c>
    </row>
    <row r="221">
      <c r="A221" s="25">
        <f>A220+1</f>
        <v/>
      </c>
      <c r="B221" s="26">
        <f>IF(A221="","",TEXT(A221,"ddd"))</f>
        <v/>
      </c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1" t="n"/>
      <c r="M221" s="21" t="n"/>
      <c r="N221" s="27" t="n"/>
      <c r="O221" s="28">
        <f>IF($Q221=0,"",IF(C221&gt;=C$2,1,0)+IF(D221&gt;=D$2,1,0)+IF(E221&gt;=E$2,1,0)+IF(F221&gt;=F$2,1,0))</f>
        <v/>
      </c>
      <c r="P221" s="29" t="n"/>
      <c r="Q221" s="30">
        <f>IF(COUNT(C221:M221)&gt;0,1,0)</f>
        <v/>
      </c>
    </row>
    <row r="222">
      <c r="A222" s="25">
        <f>A221+1</f>
        <v/>
      </c>
      <c r="B222" s="26">
        <f>IF(A222="","",TEXT(A222,"ddd"))</f>
        <v/>
      </c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1" t="n"/>
      <c r="M222" s="21" t="n"/>
      <c r="N222" s="27" t="n"/>
      <c r="O222" s="28">
        <f>IF($Q222=0,"",IF(C222&gt;=C$2,1,0)+IF(D222&gt;=D$2,1,0)+IF(E222&gt;=E$2,1,0)+IF(F222&gt;=F$2,1,0))</f>
        <v/>
      </c>
      <c r="P222" s="29" t="n"/>
      <c r="Q222" s="30">
        <f>IF(COUNT(C222:M222)&gt;0,1,0)</f>
        <v/>
      </c>
    </row>
    <row r="223">
      <c r="A223" s="25">
        <f>A222+1</f>
        <v/>
      </c>
      <c r="B223" s="26">
        <f>IF(A223="","",TEXT(A223,"ddd"))</f>
        <v/>
      </c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1" t="n"/>
      <c r="M223" s="21" t="n"/>
      <c r="N223" s="27" t="n"/>
      <c r="O223" s="28">
        <f>IF($Q223=0,"",IF(C223&gt;=C$2,1,0)+IF(D223&gt;=D$2,1,0)+IF(E223&gt;=E$2,1,0)+IF(F223&gt;=F$2,1,0))</f>
        <v/>
      </c>
      <c r="P223" s="29" t="n"/>
      <c r="Q223" s="30">
        <f>IF(COUNT(C223:M223)&gt;0,1,0)</f>
        <v/>
      </c>
    </row>
    <row r="224">
      <c r="A224" s="25">
        <f>A223+1</f>
        <v/>
      </c>
      <c r="B224" s="26">
        <f>IF(A224="","",TEXT(A224,"ddd"))</f>
        <v/>
      </c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1" t="n"/>
      <c r="M224" s="21" t="n"/>
      <c r="N224" s="27" t="n"/>
      <c r="O224" s="28">
        <f>IF($Q224=0,"",IF(C224&gt;=C$2,1,0)+IF(D224&gt;=D$2,1,0)+IF(E224&gt;=E$2,1,0)+IF(F224&gt;=F$2,1,0))</f>
        <v/>
      </c>
      <c r="P224" s="29" t="n"/>
      <c r="Q224" s="30">
        <f>IF(COUNT(C224:M224)&gt;0,1,0)</f>
        <v/>
      </c>
    </row>
    <row r="225">
      <c r="A225" s="25">
        <f>A224+1</f>
        <v/>
      </c>
      <c r="B225" s="26">
        <f>IF(A225="","",TEXT(A225,"ddd"))</f>
        <v/>
      </c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1" t="n"/>
      <c r="M225" s="21" t="n"/>
      <c r="N225" s="27" t="n"/>
      <c r="O225" s="28">
        <f>IF($Q225=0,"",IF(C225&gt;=C$2,1,0)+IF(D225&gt;=D$2,1,0)+IF(E225&gt;=E$2,1,0)+IF(F225&gt;=F$2,1,0))</f>
        <v/>
      </c>
      <c r="P225" s="29" t="n"/>
      <c r="Q225" s="30">
        <f>IF(COUNT(C225:M225)&gt;0,1,0)</f>
        <v/>
      </c>
    </row>
    <row r="226">
      <c r="A226" s="25">
        <f>A225+1</f>
        <v/>
      </c>
      <c r="B226" s="26">
        <f>IF(A226="","",TEXT(A226,"ddd"))</f>
        <v/>
      </c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1" t="n"/>
      <c r="M226" s="21" t="n"/>
      <c r="N226" s="27" t="n"/>
      <c r="O226" s="28">
        <f>IF($Q226=0,"",IF(C226&gt;=C$2,1,0)+IF(D226&gt;=D$2,1,0)+IF(E226&gt;=E$2,1,0)+IF(F226&gt;=F$2,1,0))</f>
        <v/>
      </c>
      <c r="P226" s="29" t="n"/>
      <c r="Q226" s="30">
        <f>IF(COUNT(C226:M226)&gt;0,1,0)</f>
        <v/>
      </c>
    </row>
    <row r="227">
      <c r="A227" s="25">
        <f>A226+1</f>
        <v/>
      </c>
      <c r="B227" s="26">
        <f>IF(A227="","",TEXT(A227,"ddd"))</f>
        <v/>
      </c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1" t="n"/>
      <c r="M227" s="21" t="n"/>
      <c r="N227" s="27" t="n"/>
      <c r="O227" s="28">
        <f>IF($Q227=0,"",IF(C227&gt;=C$2,1,0)+IF(D227&gt;=D$2,1,0)+IF(E227&gt;=E$2,1,0)+IF(F227&gt;=F$2,1,0))</f>
        <v/>
      </c>
      <c r="P227" s="29" t="n"/>
      <c r="Q227" s="30">
        <f>IF(COUNT(C227:M227)&gt;0,1,0)</f>
        <v/>
      </c>
    </row>
    <row r="228">
      <c r="A228" s="25">
        <f>A227+1</f>
        <v/>
      </c>
      <c r="B228" s="26">
        <f>IF(A228="","",TEXT(A228,"ddd"))</f>
        <v/>
      </c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1" t="n"/>
      <c r="M228" s="21" t="n"/>
      <c r="N228" s="27" t="n"/>
      <c r="O228" s="28">
        <f>IF($Q228=0,"",IF(C228&gt;=C$2,1,0)+IF(D228&gt;=D$2,1,0)+IF(E228&gt;=E$2,1,0)+IF(F228&gt;=F$2,1,0))</f>
        <v/>
      </c>
      <c r="P228" s="29" t="n"/>
      <c r="Q228" s="30">
        <f>IF(COUNT(C228:M228)&gt;0,1,0)</f>
        <v/>
      </c>
    </row>
    <row r="229">
      <c r="A229" s="25">
        <f>A228+1</f>
        <v/>
      </c>
      <c r="B229" s="26">
        <f>IF(A229="","",TEXT(A229,"ddd"))</f>
        <v/>
      </c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1" t="n"/>
      <c r="M229" s="21" t="n"/>
      <c r="N229" s="27" t="n"/>
      <c r="O229" s="28">
        <f>IF($Q229=0,"",IF(C229&gt;=C$2,1,0)+IF(D229&gt;=D$2,1,0)+IF(E229&gt;=E$2,1,0)+IF(F229&gt;=F$2,1,0))</f>
        <v/>
      </c>
      <c r="P229" s="29" t="n"/>
      <c r="Q229" s="30">
        <f>IF(COUNT(C229:M229)&gt;0,1,0)</f>
        <v/>
      </c>
    </row>
    <row r="230">
      <c r="A230" s="25">
        <f>A229+1</f>
        <v/>
      </c>
      <c r="B230" s="26">
        <f>IF(A230="","",TEXT(A230,"ddd"))</f>
        <v/>
      </c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1" t="n"/>
      <c r="M230" s="21" t="n"/>
      <c r="N230" s="27" t="n"/>
      <c r="O230" s="28">
        <f>IF($Q230=0,"",IF(C230&gt;=C$2,1,0)+IF(D230&gt;=D$2,1,0)+IF(E230&gt;=E$2,1,0)+IF(F230&gt;=F$2,1,0))</f>
        <v/>
      </c>
      <c r="P230" s="29" t="n"/>
      <c r="Q230" s="30">
        <f>IF(COUNT(C230:M230)&gt;0,1,0)</f>
        <v/>
      </c>
    </row>
    <row r="231">
      <c r="A231" s="25">
        <f>A230+1</f>
        <v/>
      </c>
      <c r="B231" s="26">
        <f>IF(A231="","",TEXT(A231,"ddd"))</f>
        <v/>
      </c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1" t="n"/>
      <c r="M231" s="21" t="n"/>
      <c r="N231" s="27" t="n"/>
      <c r="O231" s="28">
        <f>IF($Q231=0,"",IF(C231&gt;=C$2,1,0)+IF(D231&gt;=D$2,1,0)+IF(E231&gt;=E$2,1,0)+IF(F231&gt;=F$2,1,0))</f>
        <v/>
      </c>
      <c r="P231" s="29" t="n"/>
      <c r="Q231" s="30">
        <f>IF(COUNT(C231:M231)&gt;0,1,0)</f>
        <v/>
      </c>
    </row>
    <row r="232">
      <c r="A232" s="25">
        <f>A231+1</f>
        <v/>
      </c>
      <c r="B232" s="26">
        <f>IF(A232="","",TEXT(A232,"ddd"))</f>
        <v/>
      </c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1" t="n"/>
      <c r="M232" s="21" t="n"/>
      <c r="N232" s="27" t="n"/>
      <c r="O232" s="28">
        <f>IF($Q232=0,"",IF(C232&gt;=C$2,1,0)+IF(D232&gt;=D$2,1,0)+IF(E232&gt;=E$2,1,0)+IF(F232&gt;=F$2,1,0))</f>
        <v/>
      </c>
      <c r="P232" s="29" t="n"/>
      <c r="Q232" s="30">
        <f>IF(COUNT(C232:M232)&gt;0,1,0)</f>
        <v/>
      </c>
    </row>
    <row r="233">
      <c r="A233" s="25">
        <f>A232+1</f>
        <v/>
      </c>
      <c r="B233" s="26">
        <f>IF(A233="","",TEXT(A233,"ddd"))</f>
        <v/>
      </c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1" t="n"/>
      <c r="M233" s="21" t="n"/>
      <c r="N233" s="27" t="n"/>
      <c r="O233" s="28">
        <f>IF($Q233=0,"",IF(C233&gt;=C$2,1,0)+IF(D233&gt;=D$2,1,0)+IF(E233&gt;=E$2,1,0)+IF(F233&gt;=F$2,1,0))</f>
        <v/>
      </c>
      <c r="P233" s="29" t="n"/>
      <c r="Q233" s="30">
        <f>IF(COUNT(C233:M233)&gt;0,1,0)</f>
        <v/>
      </c>
    </row>
    <row r="234">
      <c r="A234" s="25">
        <f>A233+1</f>
        <v/>
      </c>
      <c r="B234" s="26">
        <f>IF(A234="","",TEXT(A234,"ddd"))</f>
        <v/>
      </c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1" t="n"/>
      <c r="M234" s="21" t="n"/>
      <c r="N234" s="27" t="n"/>
      <c r="O234" s="28">
        <f>IF($Q234=0,"",IF(C234&gt;=C$2,1,0)+IF(D234&gt;=D$2,1,0)+IF(E234&gt;=E$2,1,0)+IF(F234&gt;=F$2,1,0))</f>
        <v/>
      </c>
      <c r="P234" s="29" t="n"/>
      <c r="Q234" s="30">
        <f>IF(COUNT(C234:M234)&gt;0,1,0)</f>
        <v/>
      </c>
    </row>
    <row r="235">
      <c r="A235" s="25">
        <f>A234+1</f>
        <v/>
      </c>
      <c r="B235" s="26">
        <f>IF(A235="","",TEXT(A235,"ddd"))</f>
        <v/>
      </c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1" t="n"/>
      <c r="M235" s="21" t="n"/>
      <c r="N235" s="27" t="n"/>
      <c r="O235" s="28">
        <f>IF($Q235=0,"",IF(C235&gt;=C$2,1,0)+IF(D235&gt;=D$2,1,0)+IF(E235&gt;=E$2,1,0)+IF(F235&gt;=F$2,1,0))</f>
        <v/>
      </c>
      <c r="P235" s="29" t="n"/>
      <c r="Q235" s="30">
        <f>IF(COUNT(C235:M235)&gt;0,1,0)</f>
        <v/>
      </c>
    </row>
    <row r="236">
      <c r="A236" s="25">
        <f>A235+1</f>
        <v/>
      </c>
      <c r="B236" s="26">
        <f>IF(A236="","",TEXT(A236,"ddd"))</f>
        <v/>
      </c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1" t="n"/>
      <c r="M236" s="21" t="n"/>
      <c r="N236" s="27" t="n"/>
      <c r="O236" s="28">
        <f>IF($Q236=0,"",IF(C236&gt;=C$2,1,0)+IF(D236&gt;=D$2,1,0)+IF(E236&gt;=E$2,1,0)+IF(F236&gt;=F$2,1,0))</f>
        <v/>
      </c>
      <c r="P236" s="29" t="n"/>
      <c r="Q236" s="30">
        <f>IF(COUNT(C236:M236)&gt;0,1,0)</f>
        <v/>
      </c>
    </row>
    <row r="237">
      <c r="A237" s="25">
        <f>A236+1</f>
        <v/>
      </c>
      <c r="B237" s="26">
        <f>IF(A237="","",TEXT(A237,"ddd"))</f>
        <v/>
      </c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1" t="n"/>
      <c r="M237" s="21" t="n"/>
      <c r="N237" s="27" t="n"/>
      <c r="O237" s="28">
        <f>IF($Q237=0,"",IF(C237&gt;=C$2,1,0)+IF(D237&gt;=D$2,1,0)+IF(E237&gt;=E$2,1,0)+IF(F237&gt;=F$2,1,0))</f>
        <v/>
      </c>
      <c r="P237" s="29" t="n"/>
      <c r="Q237" s="30">
        <f>IF(COUNT(C237:M237)&gt;0,1,0)</f>
        <v/>
      </c>
    </row>
    <row r="238">
      <c r="A238" s="25">
        <f>A237+1</f>
        <v/>
      </c>
      <c r="B238" s="26">
        <f>IF(A238="","",TEXT(A238,"ddd"))</f>
        <v/>
      </c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1" t="n"/>
      <c r="M238" s="21" t="n"/>
      <c r="N238" s="27" t="n"/>
      <c r="O238" s="28">
        <f>IF($Q238=0,"",IF(C238&gt;=C$2,1,0)+IF(D238&gt;=D$2,1,0)+IF(E238&gt;=E$2,1,0)+IF(F238&gt;=F$2,1,0))</f>
        <v/>
      </c>
      <c r="P238" s="29" t="n"/>
      <c r="Q238" s="30">
        <f>IF(COUNT(C238:M238)&gt;0,1,0)</f>
        <v/>
      </c>
    </row>
    <row r="239">
      <c r="A239" s="25">
        <f>A238+1</f>
        <v/>
      </c>
      <c r="B239" s="26">
        <f>IF(A239="","",TEXT(A239,"ddd"))</f>
        <v/>
      </c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1" t="n"/>
      <c r="M239" s="21" t="n"/>
      <c r="N239" s="27" t="n"/>
      <c r="O239" s="28">
        <f>IF($Q239=0,"",IF(C239&gt;=C$2,1,0)+IF(D239&gt;=D$2,1,0)+IF(E239&gt;=E$2,1,0)+IF(F239&gt;=F$2,1,0))</f>
        <v/>
      </c>
      <c r="P239" s="29" t="n"/>
      <c r="Q239" s="30">
        <f>IF(COUNT(C239:M239)&gt;0,1,0)</f>
        <v/>
      </c>
    </row>
    <row r="240">
      <c r="A240" s="25">
        <f>A239+1</f>
        <v/>
      </c>
      <c r="B240" s="26">
        <f>IF(A240="","",TEXT(A240,"ddd"))</f>
        <v/>
      </c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1" t="n"/>
      <c r="M240" s="21" t="n"/>
      <c r="N240" s="27" t="n"/>
      <c r="O240" s="28">
        <f>IF($Q240=0,"",IF(C240&gt;=C$2,1,0)+IF(D240&gt;=D$2,1,0)+IF(E240&gt;=E$2,1,0)+IF(F240&gt;=F$2,1,0))</f>
        <v/>
      </c>
      <c r="P240" s="29" t="n"/>
      <c r="Q240" s="30">
        <f>IF(COUNT(C240:M240)&gt;0,1,0)</f>
        <v/>
      </c>
    </row>
    <row r="241">
      <c r="A241" s="25">
        <f>A240+1</f>
        <v/>
      </c>
      <c r="B241" s="26">
        <f>IF(A241="","",TEXT(A241,"ddd"))</f>
        <v/>
      </c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1" t="n"/>
      <c r="M241" s="21" t="n"/>
      <c r="N241" s="27" t="n"/>
      <c r="O241" s="28">
        <f>IF($Q241=0,"",IF(C241&gt;=C$2,1,0)+IF(D241&gt;=D$2,1,0)+IF(E241&gt;=E$2,1,0)+IF(F241&gt;=F$2,1,0))</f>
        <v/>
      </c>
      <c r="P241" s="29" t="n"/>
      <c r="Q241" s="30">
        <f>IF(COUNT(C241:M241)&gt;0,1,0)</f>
        <v/>
      </c>
    </row>
    <row r="242">
      <c r="A242" s="25">
        <f>A241+1</f>
        <v/>
      </c>
      <c r="B242" s="26">
        <f>IF(A242="","",TEXT(A242,"ddd"))</f>
        <v/>
      </c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1" t="n"/>
      <c r="M242" s="21" t="n"/>
      <c r="N242" s="27" t="n"/>
      <c r="O242" s="28">
        <f>IF($Q242=0,"",IF(C242&gt;=C$2,1,0)+IF(D242&gt;=D$2,1,0)+IF(E242&gt;=E$2,1,0)+IF(F242&gt;=F$2,1,0))</f>
        <v/>
      </c>
      <c r="P242" s="29" t="n"/>
      <c r="Q242" s="30">
        <f>IF(COUNT(C242:M242)&gt;0,1,0)</f>
        <v/>
      </c>
    </row>
    <row r="243">
      <c r="A243" s="25">
        <f>A242+1</f>
        <v/>
      </c>
      <c r="B243" s="26">
        <f>IF(A243="","",TEXT(A243,"ddd"))</f>
        <v/>
      </c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1" t="n"/>
      <c r="M243" s="21" t="n"/>
      <c r="N243" s="27" t="n"/>
      <c r="O243" s="28">
        <f>IF($Q243=0,"",IF(C243&gt;=C$2,1,0)+IF(D243&gt;=D$2,1,0)+IF(E243&gt;=E$2,1,0)+IF(F243&gt;=F$2,1,0))</f>
        <v/>
      </c>
      <c r="P243" s="29" t="n"/>
      <c r="Q243" s="30">
        <f>IF(COUNT(C243:M243)&gt;0,1,0)</f>
        <v/>
      </c>
    </row>
    <row r="244">
      <c r="A244" s="25">
        <f>A243+1</f>
        <v/>
      </c>
      <c r="B244" s="26">
        <f>IF(A244="","",TEXT(A244,"ddd"))</f>
        <v/>
      </c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1" t="n"/>
      <c r="M244" s="21" t="n"/>
      <c r="N244" s="27" t="n"/>
      <c r="O244" s="28">
        <f>IF($Q244=0,"",IF(C244&gt;=C$2,1,0)+IF(D244&gt;=D$2,1,0)+IF(E244&gt;=E$2,1,0)+IF(F244&gt;=F$2,1,0))</f>
        <v/>
      </c>
      <c r="P244" s="29" t="n"/>
      <c r="Q244" s="30">
        <f>IF(COUNT(C244:M244)&gt;0,1,0)</f>
        <v/>
      </c>
    </row>
    <row r="245">
      <c r="A245" s="25">
        <f>A244+1</f>
        <v/>
      </c>
      <c r="B245" s="26">
        <f>IF(A245="","",TEXT(A245,"ddd"))</f>
        <v/>
      </c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1" t="n"/>
      <c r="M245" s="21" t="n"/>
      <c r="N245" s="27" t="n"/>
      <c r="O245" s="28">
        <f>IF($Q245=0,"",IF(C245&gt;=C$2,1,0)+IF(D245&gt;=D$2,1,0)+IF(E245&gt;=E$2,1,0)+IF(F245&gt;=F$2,1,0))</f>
        <v/>
      </c>
      <c r="P245" s="29" t="n"/>
      <c r="Q245" s="30">
        <f>IF(COUNT(C245:M245)&gt;0,1,0)</f>
        <v/>
      </c>
    </row>
    <row r="246">
      <c r="A246" s="25">
        <f>A245+1</f>
        <v/>
      </c>
      <c r="B246" s="26">
        <f>IF(A246="","",TEXT(A246,"ddd"))</f>
        <v/>
      </c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1" t="n"/>
      <c r="M246" s="21" t="n"/>
      <c r="N246" s="27" t="n"/>
      <c r="O246" s="28">
        <f>IF($Q246=0,"",IF(C246&gt;=C$2,1,0)+IF(D246&gt;=D$2,1,0)+IF(E246&gt;=E$2,1,0)+IF(F246&gt;=F$2,1,0))</f>
        <v/>
      </c>
      <c r="P246" s="29" t="n"/>
      <c r="Q246" s="30">
        <f>IF(COUNT(C246:M246)&gt;0,1,0)</f>
        <v/>
      </c>
    </row>
    <row r="247">
      <c r="A247" s="25">
        <f>A246+1</f>
        <v/>
      </c>
      <c r="B247" s="26">
        <f>IF(A247="","",TEXT(A247,"ddd"))</f>
        <v/>
      </c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1" t="n"/>
      <c r="M247" s="21" t="n"/>
      <c r="N247" s="27" t="n"/>
      <c r="O247" s="28">
        <f>IF($Q247=0,"",IF(C247&gt;=C$2,1,0)+IF(D247&gt;=D$2,1,0)+IF(E247&gt;=E$2,1,0)+IF(F247&gt;=F$2,1,0))</f>
        <v/>
      </c>
      <c r="P247" s="29" t="n"/>
      <c r="Q247" s="30">
        <f>IF(COUNT(C247:M247)&gt;0,1,0)</f>
        <v/>
      </c>
    </row>
    <row r="248">
      <c r="A248" s="25">
        <f>A247+1</f>
        <v/>
      </c>
      <c r="B248" s="26">
        <f>IF(A248="","",TEXT(A248,"ddd"))</f>
        <v/>
      </c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1" t="n"/>
      <c r="M248" s="21" t="n"/>
      <c r="N248" s="27" t="n"/>
      <c r="O248" s="28">
        <f>IF($Q248=0,"",IF(C248&gt;=C$2,1,0)+IF(D248&gt;=D$2,1,0)+IF(E248&gt;=E$2,1,0)+IF(F248&gt;=F$2,1,0))</f>
        <v/>
      </c>
      <c r="P248" s="29" t="n"/>
      <c r="Q248" s="30">
        <f>IF(COUNT(C248:M248)&gt;0,1,0)</f>
        <v/>
      </c>
    </row>
    <row r="249">
      <c r="A249" s="25">
        <f>A248+1</f>
        <v/>
      </c>
      <c r="B249" s="26">
        <f>IF(A249="","",TEXT(A249,"ddd"))</f>
        <v/>
      </c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1" t="n"/>
      <c r="M249" s="21" t="n"/>
      <c r="N249" s="27" t="n"/>
      <c r="O249" s="28">
        <f>IF($Q249=0,"",IF(C249&gt;=C$2,1,0)+IF(D249&gt;=D$2,1,0)+IF(E249&gt;=E$2,1,0)+IF(F249&gt;=F$2,1,0))</f>
        <v/>
      </c>
      <c r="P249" s="29" t="n"/>
      <c r="Q249" s="30">
        <f>IF(COUNT(C249:M249)&gt;0,1,0)</f>
        <v/>
      </c>
    </row>
    <row r="250">
      <c r="A250" s="25">
        <f>A249+1</f>
        <v/>
      </c>
      <c r="B250" s="26">
        <f>IF(A250="","",TEXT(A250,"ddd"))</f>
        <v/>
      </c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1" t="n"/>
      <c r="M250" s="21" t="n"/>
      <c r="N250" s="27" t="n"/>
      <c r="O250" s="28">
        <f>IF($Q250=0,"",IF(C250&gt;=C$2,1,0)+IF(D250&gt;=D$2,1,0)+IF(E250&gt;=E$2,1,0)+IF(F250&gt;=F$2,1,0))</f>
        <v/>
      </c>
      <c r="P250" s="29" t="n"/>
      <c r="Q250" s="30">
        <f>IF(COUNT(C250:M250)&gt;0,1,0)</f>
        <v/>
      </c>
    </row>
    <row r="251">
      <c r="A251" s="25">
        <f>A250+1</f>
        <v/>
      </c>
      <c r="B251" s="26">
        <f>IF(A251="","",TEXT(A251,"ddd"))</f>
        <v/>
      </c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1" t="n"/>
      <c r="M251" s="21" t="n"/>
      <c r="N251" s="27" t="n"/>
      <c r="O251" s="28">
        <f>IF($Q251=0,"",IF(C251&gt;=C$2,1,0)+IF(D251&gt;=D$2,1,0)+IF(E251&gt;=E$2,1,0)+IF(F251&gt;=F$2,1,0))</f>
        <v/>
      </c>
      <c r="P251" s="29" t="n"/>
      <c r="Q251" s="30">
        <f>IF(COUNT(C251:M251)&gt;0,1,0)</f>
        <v/>
      </c>
    </row>
    <row r="252">
      <c r="A252" s="25">
        <f>A251+1</f>
        <v/>
      </c>
      <c r="B252" s="26">
        <f>IF(A252="","",TEXT(A252,"ddd"))</f>
        <v/>
      </c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1" t="n"/>
      <c r="M252" s="21" t="n"/>
      <c r="N252" s="27" t="n"/>
      <c r="O252" s="28">
        <f>IF($Q252=0,"",IF(C252&gt;=C$2,1,0)+IF(D252&gt;=D$2,1,0)+IF(E252&gt;=E$2,1,0)+IF(F252&gt;=F$2,1,0))</f>
        <v/>
      </c>
      <c r="P252" s="29" t="n"/>
      <c r="Q252" s="30">
        <f>IF(COUNT(C252:M252)&gt;0,1,0)</f>
        <v/>
      </c>
    </row>
    <row r="253">
      <c r="A253" s="25">
        <f>A252+1</f>
        <v/>
      </c>
      <c r="B253" s="26">
        <f>IF(A253="","",TEXT(A253,"ddd"))</f>
        <v/>
      </c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1" t="n"/>
      <c r="M253" s="21" t="n"/>
      <c r="N253" s="27" t="n"/>
      <c r="O253" s="28">
        <f>IF($Q253=0,"",IF(C253&gt;=C$2,1,0)+IF(D253&gt;=D$2,1,0)+IF(E253&gt;=E$2,1,0)+IF(F253&gt;=F$2,1,0))</f>
        <v/>
      </c>
      <c r="P253" s="29" t="n"/>
      <c r="Q253" s="30">
        <f>IF(COUNT(C253:M253)&gt;0,1,0)</f>
        <v/>
      </c>
    </row>
    <row r="254">
      <c r="A254" s="25">
        <f>A253+1</f>
        <v/>
      </c>
      <c r="B254" s="26">
        <f>IF(A254="","",TEXT(A254,"ddd"))</f>
        <v/>
      </c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1" t="n"/>
      <c r="M254" s="21" t="n"/>
      <c r="N254" s="27" t="n"/>
      <c r="O254" s="28">
        <f>IF($Q254=0,"",IF(C254&gt;=C$2,1,0)+IF(D254&gt;=D$2,1,0)+IF(E254&gt;=E$2,1,0)+IF(F254&gt;=F$2,1,0))</f>
        <v/>
      </c>
      <c r="P254" s="29" t="n"/>
      <c r="Q254" s="30">
        <f>IF(COUNT(C254:M254)&gt;0,1,0)</f>
        <v/>
      </c>
    </row>
    <row r="255">
      <c r="A255" s="25">
        <f>A254+1</f>
        <v/>
      </c>
      <c r="B255" s="26">
        <f>IF(A255="","",TEXT(A255,"ddd"))</f>
        <v/>
      </c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1" t="n"/>
      <c r="M255" s="21" t="n"/>
      <c r="N255" s="27" t="n"/>
      <c r="O255" s="28">
        <f>IF($Q255=0,"",IF(C255&gt;=C$2,1,0)+IF(D255&gt;=D$2,1,0)+IF(E255&gt;=E$2,1,0)+IF(F255&gt;=F$2,1,0))</f>
        <v/>
      </c>
      <c r="P255" s="29" t="n"/>
      <c r="Q255" s="30">
        <f>IF(COUNT(C255:M255)&gt;0,1,0)</f>
        <v/>
      </c>
    </row>
    <row r="256">
      <c r="A256" s="25">
        <f>A255+1</f>
        <v/>
      </c>
      <c r="B256" s="26">
        <f>IF(A256="","",TEXT(A256,"ddd"))</f>
        <v/>
      </c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1" t="n"/>
      <c r="M256" s="21" t="n"/>
      <c r="N256" s="27" t="n"/>
      <c r="O256" s="28">
        <f>IF($Q256=0,"",IF(C256&gt;=C$2,1,0)+IF(D256&gt;=D$2,1,0)+IF(E256&gt;=E$2,1,0)+IF(F256&gt;=F$2,1,0))</f>
        <v/>
      </c>
      <c r="P256" s="29" t="n"/>
      <c r="Q256" s="30">
        <f>IF(COUNT(C256:M256)&gt;0,1,0)</f>
        <v/>
      </c>
    </row>
    <row r="257">
      <c r="A257" s="25">
        <f>A256+1</f>
        <v/>
      </c>
      <c r="B257" s="26">
        <f>IF(A257="","",TEXT(A257,"ddd"))</f>
        <v/>
      </c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1" t="n"/>
      <c r="M257" s="21" t="n"/>
      <c r="N257" s="27" t="n"/>
      <c r="O257" s="28">
        <f>IF($Q257=0,"",IF(C257&gt;=C$2,1,0)+IF(D257&gt;=D$2,1,0)+IF(E257&gt;=E$2,1,0)+IF(F257&gt;=F$2,1,0))</f>
        <v/>
      </c>
      <c r="P257" s="29" t="n"/>
      <c r="Q257" s="30">
        <f>IF(COUNT(C257:M257)&gt;0,1,0)</f>
        <v/>
      </c>
    </row>
    <row r="258">
      <c r="A258" s="25">
        <f>A257+1</f>
        <v/>
      </c>
      <c r="B258" s="26">
        <f>IF(A258="","",TEXT(A258,"ddd"))</f>
        <v/>
      </c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1" t="n"/>
      <c r="M258" s="21" t="n"/>
      <c r="N258" s="27" t="n"/>
      <c r="O258" s="28">
        <f>IF($Q258=0,"",IF(C258&gt;=C$2,1,0)+IF(D258&gt;=D$2,1,0)+IF(E258&gt;=E$2,1,0)+IF(F258&gt;=F$2,1,0))</f>
        <v/>
      </c>
      <c r="P258" s="29" t="n"/>
      <c r="Q258" s="30">
        <f>IF(COUNT(C258:M258)&gt;0,1,0)</f>
        <v/>
      </c>
    </row>
    <row r="259">
      <c r="A259" s="25">
        <f>A258+1</f>
        <v/>
      </c>
      <c r="B259" s="26">
        <f>IF(A259="","",TEXT(A259,"ddd"))</f>
        <v/>
      </c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1" t="n"/>
      <c r="M259" s="21" t="n"/>
      <c r="N259" s="27" t="n"/>
      <c r="O259" s="28">
        <f>IF($Q259=0,"",IF(C259&gt;=C$2,1,0)+IF(D259&gt;=D$2,1,0)+IF(E259&gt;=E$2,1,0)+IF(F259&gt;=F$2,1,0))</f>
        <v/>
      </c>
      <c r="P259" s="29" t="n"/>
      <c r="Q259" s="30">
        <f>IF(COUNT(C259:M259)&gt;0,1,0)</f>
        <v/>
      </c>
    </row>
    <row r="260">
      <c r="A260" s="25">
        <f>A259+1</f>
        <v/>
      </c>
      <c r="B260" s="26">
        <f>IF(A260="","",TEXT(A260,"ddd"))</f>
        <v/>
      </c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1" t="n"/>
      <c r="M260" s="21" t="n"/>
      <c r="N260" s="27" t="n"/>
      <c r="O260" s="28">
        <f>IF($Q260=0,"",IF(C260&gt;=C$2,1,0)+IF(D260&gt;=D$2,1,0)+IF(E260&gt;=E$2,1,0)+IF(F260&gt;=F$2,1,0))</f>
        <v/>
      </c>
      <c r="P260" s="29" t="n"/>
      <c r="Q260" s="30">
        <f>IF(COUNT(C260:M260)&gt;0,1,0)</f>
        <v/>
      </c>
    </row>
    <row r="261">
      <c r="A261" s="25">
        <f>A260+1</f>
        <v/>
      </c>
      <c r="B261" s="26">
        <f>IF(A261="","",TEXT(A261,"ddd"))</f>
        <v/>
      </c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1" t="n"/>
      <c r="M261" s="21" t="n"/>
      <c r="N261" s="27" t="n"/>
      <c r="O261" s="28">
        <f>IF($Q261=0,"",IF(C261&gt;=C$2,1,0)+IF(D261&gt;=D$2,1,0)+IF(E261&gt;=E$2,1,0)+IF(F261&gt;=F$2,1,0))</f>
        <v/>
      </c>
      <c r="P261" s="29" t="n"/>
      <c r="Q261" s="30">
        <f>IF(COUNT(C261:M261)&gt;0,1,0)</f>
        <v/>
      </c>
    </row>
    <row r="262">
      <c r="A262" s="25">
        <f>A261+1</f>
        <v/>
      </c>
      <c r="B262" s="26">
        <f>IF(A262="","",TEXT(A262,"ddd"))</f>
        <v/>
      </c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1" t="n"/>
      <c r="M262" s="21" t="n"/>
      <c r="N262" s="27" t="n"/>
      <c r="O262" s="28">
        <f>IF($Q262=0,"",IF(C262&gt;=C$2,1,0)+IF(D262&gt;=D$2,1,0)+IF(E262&gt;=E$2,1,0)+IF(F262&gt;=F$2,1,0))</f>
        <v/>
      </c>
      <c r="P262" s="29" t="n"/>
      <c r="Q262" s="30">
        <f>IF(COUNT(C262:M262)&gt;0,1,0)</f>
        <v/>
      </c>
    </row>
    <row r="263">
      <c r="A263" s="25">
        <f>A262+1</f>
        <v/>
      </c>
      <c r="B263" s="26">
        <f>IF(A263="","",TEXT(A263,"ddd"))</f>
        <v/>
      </c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1" t="n"/>
      <c r="M263" s="21" t="n"/>
      <c r="N263" s="27" t="n"/>
      <c r="O263" s="28">
        <f>IF($Q263=0,"",IF(C263&gt;=C$2,1,0)+IF(D263&gt;=D$2,1,0)+IF(E263&gt;=E$2,1,0)+IF(F263&gt;=F$2,1,0))</f>
        <v/>
      </c>
      <c r="P263" s="29" t="n"/>
      <c r="Q263" s="30">
        <f>IF(COUNT(C263:M263)&gt;0,1,0)</f>
        <v/>
      </c>
    </row>
    <row r="264">
      <c r="A264" s="25">
        <f>A263+1</f>
        <v/>
      </c>
      <c r="B264" s="26">
        <f>IF(A264="","",TEXT(A264,"ddd"))</f>
        <v/>
      </c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1" t="n"/>
      <c r="M264" s="21" t="n"/>
      <c r="N264" s="27" t="n"/>
      <c r="O264" s="28">
        <f>IF($Q264=0,"",IF(C264&gt;=C$2,1,0)+IF(D264&gt;=D$2,1,0)+IF(E264&gt;=E$2,1,0)+IF(F264&gt;=F$2,1,0))</f>
        <v/>
      </c>
      <c r="P264" s="29" t="n"/>
      <c r="Q264" s="30">
        <f>IF(COUNT(C264:M264)&gt;0,1,0)</f>
        <v/>
      </c>
    </row>
    <row r="265">
      <c r="A265" s="25">
        <f>A264+1</f>
        <v/>
      </c>
      <c r="B265" s="26">
        <f>IF(A265="","",TEXT(A265,"ddd"))</f>
        <v/>
      </c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1" t="n"/>
      <c r="M265" s="21" t="n"/>
      <c r="N265" s="27" t="n"/>
      <c r="O265" s="28">
        <f>IF($Q265=0,"",IF(C265&gt;=C$2,1,0)+IF(D265&gt;=D$2,1,0)+IF(E265&gt;=E$2,1,0)+IF(F265&gt;=F$2,1,0))</f>
        <v/>
      </c>
      <c r="P265" s="29" t="n"/>
      <c r="Q265" s="30">
        <f>IF(COUNT(C265:M265)&gt;0,1,0)</f>
        <v/>
      </c>
    </row>
    <row r="266">
      <c r="A266" s="25">
        <f>A265+1</f>
        <v/>
      </c>
      <c r="B266" s="26">
        <f>IF(A266="","",TEXT(A266,"ddd"))</f>
        <v/>
      </c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1" t="n"/>
      <c r="M266" s="21" t="n"/>
      <c r="N266" s="27" t="n"/>
      <c r="O266" s="28">
        <f>IF($Q266=0,"",IF(C266&gt;=C$2,1,0)+IF(D266&gt;=D$2,1,0)+IF(E266&gt;=E$2,1,0)+IF(F266&gt;=F$2,1,0))</f>
        <v/>
      </c>
      <c r="P266" s="29" t="n"/>
      <c r="Q266" s="30">
        <f>IF(COUNT(C266:M266)&gt;0,1,0)</f>
        <v/>
      </c>
    </row>
    <row r="267">
      <c r="A267" s="25">
        <f>A266+1</f>
        <v/>
      </c>
      <c r="B267" s="26">
        <f>IF(A267="","",TEXT(A267,"ddd"))</f>
        <v/>
      </c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1" t="n"/>
      <c r="M267" s="21" t="n"/>
      <c r="N267" s="27" t="n"/>
      <c r="O267" s="28">
        <f>IF($Q267=0,"",IF(C267&gt;=C$2,1,0)+IF(D267&gt;=D$2,1,0)+IF(E267&gt;=E$2,1,0)+IF(F267&gt;=F$2,1,0))</f>
        <v/>
      </c>
      <c r="P267" s="29" t="n"/>
      <c r="Q267" s="30">
        <f>IF(COUNT(C267:M267)&gt;0,1,0)</f>
        <v/>
      </c>
    </row>
    <row r="268">
      <c r="A268" s="25">
        <f>A267+1</f>
        <v/>
      </c>
      <c r="B268" s="26">
        <f>IF(A268="","",TEXT(A268,"ddd"))</f>
        <v/>
      </c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1" t="n"/>
      <c r="M268" s="21" t="n"/>
      <c r="N268" s="27" t="n"/>
      <c r="O268" s="28">
        <f>IF($Q268=0,"",IF(C268&gt;=C$2,1,0)+IF(D268&gt;=D$2,1,0)+IF(E268&gt;=E$2,1,0)+IF(F268&gt;=F$2,1,0))</f>
        <v/>
      </c>
      <c r="P268" s="29" t="n"/>
      <c r="Q268" s="30">
        <f>IF(COUNT(C268:M268)&gt;0,1,0)</f>
        <v/>
      </c>
    </row>
    <row r="269">
      <c r="A269" s="25">
        <f>A268+1</f>
        <v/>
      </c>
      <c r="B269" s="26">
        <f>IF(A269="","",TEXT(A269,"ddd"))</f>
        <v/>
      </c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1" t="n"/>
      <c r="M269" s="21" t="n"/>
      <c r="N269" s="27" t="n"/>
      <c r="O269" s="28">
        <f>IF($Q269=0,"",IF(C269&gt;=C$2,1,0)+IF(D269&gt;=D$2,1,0)+IF(E269&gt;=E$2,1,0)+IF(F269&gt;=F$2,1,0))</f>
        <v/>
      </c>
      <c r="P269" s="29" t="n"/>
      <c r="Q269" s="30">
        <f>IF(COUNT(C269:M269)&gt;0,1,0)</f>
        <v/>
      </c>
    </row>
    <row r="270">
      <c r="A270" s="25">
        <f>A269+1</f>
        <v/>
      </c>
      <c r="B270" s="26">
        <f>IF(A270="","",TEXT(A270,"ddd"))</f>
        <v/>
      </c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1" t="n"/>
      <c r="M270" s="21" t="n"/>
      <c r="N270" s="27" t="n"/>
      <c r="O270" s="28">
        <f>IF($Q270=0,"",IF(C270&gt;=C$2,1,0)+IF(D270&gt;=D$2,1,0)+IF(E270&gt;=E$2,1,0)+IF(F270&gt;=F$2,1,0))</f>
        <v/>
      </c>
      <c r="P270" s="29" t="n"/>
      <c r="Q270" s="30">
        <f>IF(COUNT(C270:M270)&gt;0,1,0)</f>
        <v/>
      </c>
    </row>
    <row r="271">
      <c r="A271" s="25">
        <f>A270+1</f>
        <v/>
      </c>
      <c r="B271" s="26">
        <f>IF(A271="","",TEXT(A271,"ddd"))</f>
        <v/>
      </c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1" t="n"/>
      <c r="M271" s="21" t="n"/>
      <c r="N271" s="27" t="n"/>
      <c r="O271" s="28">
        <f>IF($Q271=0,"",IF(C271&gt;=C$2,1,0)+IF(D271&gt;=D$2,1,0)+IF(E271&gt;=E$2,1,0)+IF(F271&gt;=F$2,1,0))</f>
        <v/>
      </c>
      <c r="P271" s="29" t="n"/>
      <c r="Q271" s="30">
        <f>IF(COUNT(C271:M271)&gt;0,1,0)</f>
        <v/>
      </c>
    </row>
    <row r="272">
      <c r="A272" s="25">
        <f>A271+1</f>
        <v/>
      </c>
      <c r="B272" s="26">
        <f>IF(A272="","",TEXT(A272,"ddd"))</f>
        <v/>
      </c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1" t="n"/>
      <c r="M272" s="21" t="n"/>
      <c r="N272" s="27" t="n"/>
      <c r="O272" s="28">
        <f>IF($Q272=0,"",IF(C272&gt;=C$2,1,0)+IF(D272&gt;=D$2,1,0)+IF(E272&gt;=E$2,1,0)+IF(F272&gt;=F$2,1,0))</f>
        <v/>
      </c>
      <c r="P272" s="29" t="n"/>
      <c r="Q272" s="30">
        <f>IF(COUNT(C272:M272)&gt;0,1,0)</f>
        <v/>
      </c>
    </row>
    <row r="273">
      <c r="A273" s="25">
        <f>A272+1</f>
        <v/>
      </c>
      <c r="B273" s="26">
        <f>IF(A273="","",TEXT(A273,"ddd"))</f>
        <v/>
      </c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1" t="n"/>
      <c r="M273" s="21" t="n"/>
      <c r="N273" s="27" t="n"/>
      <c r="O273" s="28">
        <f>IF($Q273=0,"",IF(C273&gt;=C$2,1,0)+IF(D273&gt;=D$2,1,0)+IF(E273&gt;=E$2,1,0)+IF(F273&gt;=F$2,1,0))</f>
        <v/>
      </c>
      <c r="P273" s="29" t="n"/>
      <c r="Q273" s="30">
        <f>IF(COUNT(C273:M273)&gt;0,1,0)</f>
        <v/>
      </c>
    </row>
    <row r="274">
      <c r="A274" s="25">
        <f>A273+1</f>
        <v/>
      </c>
      <c r="B274" s="26">
        <f>IF(A274="","",TEXT(A274,"ddd"))</f>
        <v/>
      </c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1" t="n"/>
      <c r="M274" s="21" t="n"/>
      <c r="N274" s="27" t="n"/>
      <c r="O274" s="28">
        <f>IF($Q274=0,"",IF(C274&gt;=C$2,1,0)+IF(D274&gt;=D$2,1,0)+IF(E274&gt;=E$2,1,0)+IF(F274&gt;=F$2,1,0))</f>
        <v/>
      </c>
      <c r="P274" s="29" t="n"/>
      <c r="Q274" s="30">
        <f>IF(COUNT(C274:M274)&gt;0,1,0)</f>
        <v/>
      </c>
    </row>
    <row r="275">
      <c r="A275" s="25">
        <f>A274+1</f>
        <v/>
      </c>
      <c r="B275" s="26">
        <f>IF(A275="","",TEXT(A275,"ddd"))</f>
        <v/>
      </c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1" t="n"/>
      <c r="M275" s="21" t="n"/>
      <c r="N275" s="27" t="n"/>
      <c r="O275" s="28">
        <f>IF($Q275=0,"",IF(C275&gt;=C$2,1,0)+IF(D275&gt;=D$2,1,0)+IF(E275&gt;=E$2,1,0)+IF(F275&gt;=F$2,1,0))</f>
        <v/>
      </c>
      <c r="P275" s="29" t="n"/>
      <c r="Q275" s="30">
        <f>IF(COUNT(C275:M275)&gt;0,1,0)</f>
        <v/>
      </c>
    </row>
    <row r="276">
      <c r="A276" s="25">
        <f>A275+1</f>
        <v/>
      </c>
      <c r="B276" s="26">
        <f>IF(A276="","",TEXT(A276,"ddd"))</f>
        <v/>
      </c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1" t="n"/>
      <c r="M276" s="21" t="n"/>
      <c r="N276" s="27" t="n"/>
      <c r="O276" s="28">
        <f>IF($Q276=0,"",IF(C276&gt;=C$2,1,0)+IF(D276&gt;=D$2,1,0)+IF(E276&gt;=E$2,1,0)+IF(F276&gt;=F$2,1,0))</f>
        <v/>
      </c>
      <c r="P276" s="29" t="n"/>
      <c r="Q276" s="30">
        <f>IF(COUNT(C276:M276)&gt;0,1,0)</f>
        <v/>
      </c>
    </row>
    <row r="277">
      <c r="A277" s="25">
        <f>A276+1</f>
        <v/>
      </c>
      <c r="B277" s="26">
        <f>IF(A277="","",TEXT(A277,"ddd"))</f>
        <v/>
      </c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1" t="n"/>
      <c r="M277" s="21" t="n"/>
      <c r="N277" s="27" t="n"/>
      <c r="O277" s="28">
        <f>IF($Q277=0,"",IF(C277&gt;=C$2,1,0)+IF(D277&gt;=D$2,1,0)+IF(E277&gt;=E$2,1,0)+IF(F277&gt;=F$2,1,0))</f>
        <v/>
      </c>
      <c r="P277" s="29" t="n"/>
      <c r="Q277" s="30">
        <f>IF(COUNT(C277:M277)&gt;0,1,0)</f>
        <v/>
      </c>
    </row>
    <row r="278">
      <c r="A278" s="25">
        <f>A277+1</f>
        <v/>
      </c>
      <c r="B278" s="26">
        <f>IF(A278="","",TEXT(A278,"ddd"))</f>
        <v/>
      </c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1" t="n"/>
      <c r="M278" s="21" t="n"/>
      <c r="N278" s="27" t="n"/>
      <c r="O278" s="28">
        <f>IF($Q278=0,"",IF(C278&gt;=C$2,1,0)+IF(D278&gt;=D$2,1,0)+IF(E278&gt;=E$2,1,0)+IF(F278&gt;=F$2,1,0))</f>
        <v/>
      </c>
      <c r="P278" s="29" t="n"/>
      <c r="Q278" s="30">
        <f>IF(COUNT(C278:M278)&gt;0,1,0)</f>
        <v/>
      </c>
    </row>
    <row r="279">
      <c r="A279" s="25">
        <f>A278+1</f>
        <v/>
      </c>
      <c r="B279" s="26">
        <f>IF(A279="","",TEXT(A279,"ddd"))</f>
        <v/>
      </c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1" t="n"/>
      <c r="M279" s="21" t="n"/>
      <c r="N279" s="27" t="n"/>
      <c r="O279" s="28">
        <f>IF($Q279=0,"",IF(C279&gt;=C$2,1,0)+IF(D279&gt;=D$2,1,0)+IF(E279&gt;=E$2,1,0)+IF(F279&gt;=F$2,1,0))</f>
        <v/>
      </c>
      <c r="P279" s="29" t="n"/>
      <c r="Q279" s="30">
        <f>IF(COUNT(C279:M279)&gt;0,1,0)</f>
        <v/>
      </c>
    </row>
    <row r="280">
      <c r="A280" s="25">
        <f>A279+1</f>
        <v/>
      </c>
      <c r="B280" s="26">
        <f>IF(A280="","",TEXT(A280,"ddd"))</f>
        <v/>
      </c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1" t="n"/>
      <c r="M280" s="21" t="n"/>
      <c r="N280" s="27" t="n"/>
      <c r="O280" s="28">
        <f>IF($Q280=0,"",IF(C280&gt;=C$2,1,0)+IF(D280&gt;=D$2,1,0)+IF(E280&gt;=E$2,1,0)+IF(F280&gt;=F$2,1,0))</f>
        <v/>
      </c>
      <c r="P280" s="29" t="n"/>
      <c r="Q280" s="30">
        <f>IF(COUNT(C280:M280)&gt;0,1,0)</f>
        <v/>
      </c>
    </row>
    <row r="281">
      <c r="A281" s="25">
        <f>A280+1</f>
        <v/>
      </c>
      <c r="B281" s="26">
        <f>IF(A281="","",TEXT(A281,"ddd"))</f>
        <v/>
      </c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1" t="n"/>
      <c r="M281" s="21" t="n"/>
      <c r="N281" s="27" t="n"/>
      <c r="O281" s="28">
        <f>IF($Q281=0,"",IF(C281&gt;=C$2,1,0)+IF(D281&gt;=D$2,1,0)+IF(E281&gt;=E$2,1,0)+IF(F281&gt;=F$2,1,0))</f>
        <v/>
      </c>
      <c r="P281" s="29" t="n"/>
      <c r="Q281" s="30">
        <f>IF(COUNT(C281:M281)&gt;0,1,0)</f>
        <v/>
      </c>
    </row>
    <row r="282">
      <c r="A282" s="25">
        <f>A281+1</f>
        <v/>
      </c>
      <c r="B282" s="26">
        <f>IF(A282="","",TEXT(A282,"ddd"))</f>
        <v/>
      </c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1" t="n"/>
      <c r="M282" s="21" t="n"/>
      <c r="N282" s="27" t="n"/>
      <c r="O282" s="28">
        <f>IF($Q282=0,"",IF(C282&gt;=C$2,1,0)+IF(D282&gt;=D$2,1,0)+IF(E282&gt;=E$2,1,0)+IF(F282&gt;=F$2,1,0))</f>
        <v/>
      </c>
      <c r="P282" s="29" t="n"/>
      <c r="Q282" s="30">
        <f>IF(COUNT(C282:M282)&gt;0,1,0)</f>
        <v/>
      </c>
    </row>
    <row r="283">
      <c r="A283" s="25">
        <f>A282+1</f>
        <v/>
      </c>
      <c r="B283" s="26">
        <f>IF(A283="","",TEXT(A283,"ddd"))</f>
        <v/>
      </c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1" t="n"/>
      <c r="M283" s="21" t="n"/>
      <c r="N283" s="27" t="n"/>
      <c r="O283" s="28">
        <f>IF($Q283=0,"",IF(C283&gt;=C$2,1,0)+IF(D283&gt;=D$2,1,0)+IF(E283&gt;=E$2,1,0)+IF(F283&gt;=F$2,1,0))</f>
        <v/>
      </c>
      <c r="P283" s="29" t="n"/>
      <c r="Q283" s="30">
        <f>IF(COUNT(C283:M283)&gt;0,1,0)</f>
        <v/>
      </c>
    </row>
    <row r="284">
      <c r="A284" s="25">
        <f>A283+1</f>
        <v/>
      </c>
      <c r="B284" s="26">
        <f>IF(A284="","",TEXT(A284,"ddd"))</f>
        <v/>
      </c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1" t="n"/>
      <c r="M284" s="21" t="n"/>
      <c r="N284" s="27" t="n"/>
      <c r="O284" s="28">
        <f>IF($Q284=0,"",IF(C284&gt;=C$2,1,0)+IF(D284&gt;=D$2,1,0)+IF(E284&gt;=E$2,1,0)+IF(F284&gt;=F$2,1,0))</f>
        <v/>
      </c>
      <c r="P284" s="29" t="n"/>
      <c r="Q284" s="30">
        <f>IF(COUNT(C284:M284)&gt;0,1,0)</f>
        <v/>
      </c>
    </row>
    <row r="285">
      <c r="A285" s="25">
        <f>A284+1</f>
        <v/>
      </c>
      <c r="B285" s="26">
        <f>IF(A285="","",TEXT(A285,"ddd"))</f>
        <v/>
      </c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1" t="n"/>
      <c r="M285" s="21" t="n"/>
      <c r="N285" s="27" t="n"/>
      <c r="O285" s="28">
        <f>IF($Q285=0,"",IF(C285&gt;=C$2,1,0)+IF(D285&gt;=D$2,1,0)+IF(E285&gt;=E$2,1,0)+IF(F285&gt;=F$2,1,0))</f>
        <v/>
      </c>
      <c r="P285" s="29" t="n"/>
      <c r="Q285" s="30">
        <f>IF(COUNT(C285:M285)&gt;0,1,0)</f>
        <v/>
      </c>
    </row>
    <row r="286">
      <c r="A286" s="25">
        <f>A285+1</f>
        <v/>
      </c>
      <c r="B286" s="26">
        <f>IF(A286="","",TEXT(A286,"ddd"))</f>
        <v/>
      </c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1" t="n"/>
      <c r="M286" s="21" t="n"/>
      <c r="N286" s="27" t="n"/>
      <c r="O286" s="28">
        <f>IF($Q286=0,"",IF(C286&gt;=C$2,1,0)+IF(D286&gt;=D$2,1,0)+IF(E286&gt;=E$2,1,0)+IF(F286&gt;=F$2,1,0))</f>
        <v/>
      </c>
      <c r="P286" s="29" t="n"/>
      <c r="Q286" s="30">
        <f>IF(COUNT(C286:M286)&gt;0,1,0)</f>
        <v/>
      </c>
    </row>
    <row r="287">
      <c r="A287" s="25">
        <f>A286+1</f>
        <v/>
      </c>
      <c r="B287" s="26">
        <f>IF(A287="","",TEXT(A287,"ddd"))</f>
        <v/>
      </c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1" t="n"/>
      <c r="M287" s="21" t="n"/>
      <c r="N287" s="27" t="n"/>
      <c r="O287" s="28">
        <f>IF($Q287=0,"",IF(C287&gt;=C$2,1,0)+IF(D287&gt;=D$2,1,0)+IF(E287&gt;=E$2,1,0)+IF(F287&gt;=F$2,1,0))</f>
        <v/>
      </c>
      <c r="P287" s="29" t="n"/>
      <c r="Q287" s="30">
        <f>IF(COUNT(C287:M287)&gt;0,1,0)</f>
        <v/>
      </c>
    </row>
    <row r="288">
      <c r="A288" s="25">
        <f>A287+1</f>
        <v/>
      </c>
      <c r="B288" s="26">
        <f>IF(A288="","",TEXT(A288,"ddd"))</f>
        <v/>
      </c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1" t="n"/>
      <c r="M288" s="21" t="n"/>
      <c r="N288" s="27" t="n"/>
      <c r="O288" s="28">
        <f>IF($Q288=0,"",IF(C288&gt;=C$2,1,0)+IF(D288&gt;=D$2,1,0)+IF(E288&gt;=E$2,1,0)+IF(F288&gt;=F$2,1,0))</f>
        <v/>
      </c>
      <c r="P288" s="29" t="n"/>
      <c r="Q288" s="30">
        <f>IF(COUNT(C288:M288)&gt;0,1,0)</f>
        <v/>
      </c>
    </row>
    <row r="289">
      <c r="A289" s="25">
        <f>A288+1</f>
        <v/>
      </c>
      <c r="B289" s="26">
        <f>IF(A289="","",TEXT(A289,"ddd"))</f>
        <v/>
      </c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1" t="n"/>
      <c r="M289" s="21" t="n"/>
      <c r="N289" s="27" t="n"/>
      <c r="O289" s="28">
        <f>IF($Q289=0,"",IF(C289&gt;=C$2,1,0)+IF(D289&gt;=D$2,1,0)+IF(E289&gt;=E$2,1,0)+IF(F289&gt;=F$2,1,0))</f>
        <v/>
      </c>
      <c r="P289" s="29" t="n"/>
      <c r="Q289" s="30">
        <f>IF(COUNT(C289:M289)&gt;0,1,0)</f>
        <v/>
      </c>
    </row>
    <row r="290">
      <c r="A290" s="25">
        <f>A289+1</f>
        <v/>
      </c>
      <c r="B290" s="26">
        <f>IF(A290="","",TEXT(A290,"ddd"))</f>
        <v/>
      </c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1" t="n"/>
      <c r="M290" s="21" t="n"/>
      <c r="N290" s="27" t="n"/>
      <c r="O290" s="28">
        <f>IF($Q290=0,"",IF(C290&gt;=C$2,1,0)+IF(D290&gt;=D$2,1,0)+IF(E290&gt;=E$2,1,0)+IF(F290&gt;=F$2,1,0))</f>
        <v/>
      </c>
      <c r="P290" s="29" t="n"/>
      <c r="Q290" s="30">
        <f>IF(COUNT(C290:M290)&gt;0,1,0)</f>
        <v/>
      </c>
    </row>
    <row r="291">
      <c r="A291" s="25">
        <f>A290+1</f>
        <v/>
      </c>
      <c r="B291" s="26">
        <f>IF(A291="","",TEXT(A291,"ddd"))</f>
        <v/>
      </c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1" t="n"/>
      <c r="M291" s="21" t="n"/>
      <c r="N291" s="27" t="n"/>
      <c r="O291" s="28">
        <f>IF($Q291=0,"",IF(C291&gt;=C$2,1,0)+IF(D291&gt;=D$2,1,0)+IF(E291&gt;=E$2,1,0)+IF(F291&gt;=F$2,1,0))</f>
        <v/>
      </c>
      <c r="P291" s="29" t="n"/>
      <c r="Q291" s="30">
        <f>IF(COUNT(C291:M291)&gt;0,1,0)</f>
        <v/>
      </c>
    </row>
    <row r="292">
      <c r="A292" s="25">
        <f>A291+1</f>
        <v/>
      </c>
      <c r="B292" s="26">
        <f>IF(A292="","",TEXT(A292,"ddd"))</f>
        <v/>
      </c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1" t="n"/>
      <c r="M292" s="21" t="n"/>
      <c r="N292" s="27" t="n"/>
      <c r="O292" s="28">
        <f>IF($Q292=0,"",IF(C292&gt;=C$2,1,0)+IF(D292&gt;=D$2,1,0)+IF(E292&gt;=E$2,1,0)+IF(F292&gt;=F$2,1,0))</f>
        <v/>
      </c>
      <c r="P292" s="29" t="n"/>
      <c r="Q292" s="30">
        <f>IF(COUNT(C292:M292)&gt;0,1,0)</f>
        <v/>
      </c>
    </row>
    <row r="293">
      <c r="A293" s="25">
        <f>A292+1</f>
        <v/>
      </c>
      <c r="B293" s="26">
        <f>IF(A293="","",TEXT(A293,"ddd"))</f>
        <v/>
      </c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1" t="n"/>
      <c r="M293" s="21" t="n"/>
      <c r="N293" s="27" t="n"/>
      <c r="O293" s="28">
        <f>IF($Q293=0,"",IF(C293&gt;=C$2,1,0)+IF(D293&gt;=D$2,1,0)+IF(E293&gt;=E$2,1,0)+IF(F293&gt;=F$2,1,0))</f>
        <v/>
      </c>
      <c r="P293" s="29" t="n"/>
      <c r="Q293" s="30">
        <f>IF(COUNT(C293:M293)&gt;0,1,0)</f>
        <v/>
      </c>
    </row>
    <row r="294">
      <c r="A294" s="25">
        <f>A293+1</f>
        <v/>
      </c>
      <c r="B294" s="26">
        <f>IF(A294="","",TEXT(A294,"ddd"))</f>
        <v/>
      </c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1" t="n"/>
      <c r="M294" s="21" t="n"/>
      <c r="N294" s="27" t="n"/>
      <c r="O294" s="28">
        <f>IF($Q294=0,"",IF(C294&gt;=C$2,1,0)+IF(D294&gt;=D$2,1,0)+IF(E294&gt;=E$2,1,0)+IF(F294&gt;=F$2,1,0))</f>
        <v/>
      </c>
      <c r="P294" s="29" t="n"/>
      <c r="Q294" s="30">
        <f>IF(COUNT(C294:M294)&gt;0,1,0)</f>
        <v/>
      </c>
    </row>
    <row r="295">
      <c r="A295" s="25">
        <f>A294+1</f>
        <v/>
      </c>
      <c r="B295" s="26">
        <f>IF(A295="","",TEXT(A295,"ddd"))</f>
        <v/>
      </c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1" t="n"/>
      <c r="M295" s="21" t="n"/>
      <c r="N295" s="27" t="n"/>
      <c r="O295" s="28">
        <f>IF($Q295=0,"",IF(C295&gt;=C$2,1,0)+IF(D295&gt;=D$2,1,0)+IF(E295&gt;=E$2,1,0)+IF(F295&gt;=F$2,1,0))</f>
        <v/>
      </c>
      <c r="P295" s="29" t="n"/>
      <c r="Q295" s="30">
        <f>IF(COUNT(C295:M295)&gt;0,1,0)</f>
        <v/>
      </c>
    </row>
    <row r="296">
      <c r="A296" s="25">
        <f>A295+1</f>
        <v/>
      </c>
      <c r="B296" s="26">
        <f>IF(A296="","",TEXT(A296,"ddd"))</f>
        <v/>
      </c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1" t="n"/>
      <c r="M296" s="21" t="n"/>
      <c r="N296" s="27" t="n"/>
      <c r="O296" s="28">
        <f>IF($Q296=0,"",IF(C296&gt;=C$2,1,0)+IF(D296&gt;=D$2,1,0)+IF(E296&gt;=E$2,1,0)+IF(F296&gt;=F$2,1,0))</f>
        <v/>
      </c>
      <c r="P296" s="29" t="n"/>
      <c r="Q296" s="30">
        <f>IF(COUNT(C296:M296)&gt;0,1,0)</f>
        <v/>
      </c>
    </row>
    <row r="297">
      <c r="A297" s="25">
        <f>A296+1</f>
        <v/>
      </c>
      <c r="B297" s="26">
        <f>IF(A297="","",TEXT(A297,"ddd"))</f>
        <v/>
      </c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1" t="n"/>
      <c r="M297" s="21" t="n"/>
      <c r="N297" s="27" t="n"/>
      <c r="O297" s="28">
        <f>IF($Q297=0,"",IF(C297&gt;=C$2,1,0)+IF(D297&gt;=D$2,1,0)+IF(E297&gt;=E$2,1,0)+IF(F297&gt;=F$2,1,0))</f>
        <v/>
      </c>
      <c r="P297" s="29" t="n"/>
      <c r="Q297" s="30">
        <f>IF(COUNT(C297:M297)&gt;0,1,0)</f>
        <v/>
      </c>
    </row>
    <row r="298">
      <c r="A298" s="25">
        <f>A297+1</f>
        <v/>
      </c>
      <c r="B298" s="26">
        <f>IF(A298="","",TEXT(A298,"ddd"))</f>
        <v/>
      </c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1" t="n"/>
      <c r="M298" s="21" t="n"/>
      <c r="N298" s="27" t="n"/>
      <c r="O298" s="28">
        <f>IF($Q298=0,"",IF(C298&gt;=C$2,1,0)+IF(D298&gt;=D$2,1,0)+IF(E298&gt;=E$2,1,0)+IF(F298&gt;=F$2,1,0))</f>
        <v/>
      </c>
      <c r="P298" s="29" t="n"/>
      <c r="Q298" s="30">
        <f>IF(COUNT(C298:M298)&gt;0,1,0)</f>
        <v/>
      </c>
    </row>
    <row r="299">
      <c r="A299" s="25">
        <f>A298+1</f>
        <v/>
      </c>
      <c r="B299" s="26">
        <f>IF(A299="","",TEXT(A299,"ddd"))</f>
        <v/>
      </c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1" t="n"/>
      <c r="M299" s="21" t="n"/>
      <c r="N299" s="27" t="n"/>
      <c r="O299" s="28">
        <f>IF($Q299=0,"",IF(C299&gt;=C$2,1,0)+IF(D299&gt;=D$2,1,0)+IF(E299&gt;=E$2,1,0)+IF(F299&gt;=F$2,1,0))</f>
        <v/>
      </c>
      <c r="P299" s="29" t="n"/>
      <c r="Q299" s="30">
        <f>IF(COUNT(C299:M299)&gt;0,1,0)</f>
        <v/>
      </c>
    </row>
    <row r="300">
      <c r="A300" s="25">
        <f>A299+1</f>
        <v/>
      </c>
      <c r="B300" s="26">
        <f>IF(A300="","",TEXT(A300,"ddd"))</f>
        <v/>
      </c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1" t="n"/>
      <c r="M300" s="21" t="n"/>
      <c r="N300" s="27" t="n"/>
      <c r="O300" s="28">
        <f>IF($Q300=0,"",IF(C300&gt;=C$2,1,0)+IF(D300&gt;=D$2,1,0)+IF(E300&gt;=E$2,1,0)+IF(F300&gt;=F$2,1,0))</f>
        <v/>
      </c>
      <c r="P300" s="29" t="n"/>
      <c r="Q300" s="30">
        <f>IF(COUNT(C300:M300)&gt;0,1,0)</f>
        <v/>
      </c>
    </row>
    <row r="301">
      <c r="A301" s="25">
        <f>A300+1</f>
        <v/>
      </c>
      <c r="B301" s="26">
        <f>IF(A301="","",TEXT(A301,"ddd"))</f>
        <v/>
      </c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1" t="n"/>
      <c r="M301" s="21" t="n"/>
      <c r="N301" s="27" t="n"/>
      <c r="O301" s="28">
        <f>IF($Q301=0,"",IF(C301&gt;=C$2,1,0)+IF(D301&gt;=D$2,1,0)+IF(E301&gt;=E$2,1,0)+IF(F301&gt;=F$2,1,0))</f>
        <v/>
      </c>
      <c r="P301" s="29" t="n"/>
      <c r="Q301" s="30">
        <f>IF(COUNT(C301:M301)&gt;0,1,0)</f>
        <v/>
      </c>
    </row>
    <row r="302">
      <c r="A302" s="25">
        <f>A301+1</f>
        <v/>
      </c>
      <c r="B302" s="26">
        <f>IF(A302="","",TEXT(A302,"ddd"))</f>
        <v/>
      </c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1" t="n"/>
      <c r="M302" s="21" t="n"/>
      <c r="N302" s="27" t="n"/>
      <c r="O302" s="28">
        <f>IF($Q302=0,"",IF(C302&gt;=C$2,1,0)+IF(D302&gt;=D$2,1,0)+IF(E302&gt;=E$2,1,0)+IF(F302&gt;=F$2,1,0))</f>
        <v/>
      </c>
      <c r="P302" s="29" t="n"/>
      <c r="Q302" s="30">
        <f>IF(COUNT(C302:M302)&gt;0,1,0)</f>
        <v/>
      </c>
    </row>
    <row r="303">
      <c r="A303" s="25">
        <f>A302+1</f>
        <v/>
      </c>
      <c r="B303" s="26">
        <f>IF(A303="","",TEXT(A303,"ddd"))</f>
        <v/>
      </c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1" t="n"/>
      <c r="M303" s="21" t="n"/>
      <c r="N303" s="27" t="n"/>
      <c r="O303" s="28">
        <f>IF($Q303=0,"",IF(C303&gt;=C$2,1,0)+IF(D303&gt;=D$2,1,0)+IF(E303&gt;=E$2,1,0)+IF(F303&gt;=F$2,1,0))</f>
        <v/>
      </c>
      <c r="P303" s="29" t="n"/>
      <c r="Q303" s="30">
        <f>IF(COUNT(C303:M303)&gt;0,1,0)</f>
        <v/>
      </c>
    </row>
    <row r="304">
      <c r="A304" s="25">
        <f>A303+1</f>
        <v/>
      </c>
      <c r="B304" s="26">
        <f>IF(A304="","",TEXT(A304,"ddd"))</f>
        <v/>
      </c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1" t="n"/>
      <c r="M304" s="21" t="n"/>
      <c r="N304" s="27" t="n"/>
      <c r="O304" s="28">
        <f>IF($Q304=0,"",IF(C304&gt;=C$2,1,0)+IF(D304&gt;=D$2,1,0)+IF(E304&gt;=E$2,1,0)+IF(F304&gt;=F$2,1,0))</f>
        <v/>
      </c>
      <c r="P304" s="29" t="n"/>
      <c r="Q304" s="30">
        <f>IF(COUNT(C304:M304)&gt;0,1,0)</f>
        <v/>
      </c>
    </row>
    <row r="305">
      <c r="A305" s="25">
        <f>A304+1</f>
        <v/>
      </c>
      <c r="B305" s="26">
        <f>IF(A305="","",TEXT(A305,"ddd"))</f>
        <v/>
      </c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1" t="n"/>
      <c r="M305" s="21" t="n"/>
      <c r="N305" s="27" t="n"/>
      <c r="O305" s="28">
        <f>IF($Q305=0,"",IF(C305&gt;=C$2,1,0)+IF(D305&gt;=D$2,1,0)+IF(E305&gt;=E$2,1,0)+IF(F305&gt;=F$2,1,0))</f>
        <v/>
      </c>
      <c r="P305" s="29" t="n"/>
      <c r="Q305" s="30">
        <f>IF(COUNT(C305:M305)&gt;0,1,0)</f>
        <v/>
      </c>
    </row>
    <row r="306">
      <c r="A306" s="25">
        <f>A305+1</f>
        <v/>
      </c>
      <c r="B306" s="26">
        <f>IF(A306="","",TEXT(A306,"ddd"))</f>
        <v/>
      </c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1" t="n"/>
      <c r="M306" s="21" t="n"/>
      <c r="N306" s="27" t="n"/>
      <c r="O306" s="28">
        <f>IF($Q306=0,"",IF(C306&gt;=C$2,1,0)+IF(D306&gt;=D$2,1,0)+IF(E306&gt;=E$2,1,0)+IF(F306&gt;=F$2,1,0))</f>
        <v/>
      </c>
      <c r="P306" s="29" t="n"/>
      <c r="Q306" s="30">
        <f>IF(COUNT(C306:M306)&gt;0,1,0)</f>
        <v/>
      </c>
    </row>
    <row r="307">
      <c r="A307" s="25">
        <f>A306+1</f>
        <v/>
      </c>
      <c r="B307" s="26">
        <f>IF(A307="","",TEXT(A307,"ddd"))</f>
        <v/>
      </c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1" t="n"/>
      <c r="M307" s="21" t="n"/>
      <c r="N307" s="27" t="n"/>
      <c r="O307" s="28">
        <f>IF($Q307=0,"",IF(C307&gt;=C$2,1,0)+IF(D307&gt;=D$2,1,0)+IF(E307&gt;=E$2,1,0)+IF(F307&gt;=F$2,1,0))</f>
        <v/>
      </c>
      <c r="P307" s="29" t="n"/>
      <c r="Q307" s="30">
        <f>IF(COUNT(C307:M307)&gt;0,1,0)</f>
        <v/>
      </c>
    </row>
    <row r="308">
      <c r="A308" s="25">
        <f>A307+1</f>
        <v/>
      </c>
      <c r="B308" s="26">
        <f>IF(A308="","",TEXT(A308,"ddd"))</f>
        <v/>
      </c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1" t="n"/>
      <c r="M308" s="21" t="n"/>
      <c r="N308" s="27" t="n"/>
      <c r="O308" s="28">
        <f>IF($Q308=0,"",IF(C308&gt;=C$2,1,0)+IF(D308&gt;=D$2,1,0)+IF(E308&gt;=E$2,1,0)+IF(F308&gt;=F$2,1,0))</f>
        <v/>
      </c>
      <c r="P308" s="29" t="n"/>
      <c r="Q308" s="30">
        <f>IF(COUNT(C308:M308)&gt;0,1,0)</f>
        <v/>
      </c>
    </row>
    <row r="309">
      <c r="A309" s="25">
        <f>A308+1</f>
        <v/>
      </c>
      <c r="B309" s="26">
        <f>IF(A309="","",TEXT(A309,"ddd"))</f>
        <v/>
      </c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1" t="n"/>
      <c r="M309" s="21" t="n"/>
      <c r="N309" s="27" t="n"/>
      <c r="O309" s="28">
        <f>IF($Q309=0,"",IF(C309&gt;=C$2,1,0)+IF(D309&gt;=D$2,1,0)+IF(E309&gt;=E$2,1,0)+IF(F309&gt;=F$2,1,0))</f>
        <v/>
      </c>
      <c r="P309" s="29" t="n"/>
      <c r="Q309" s="30">
        <f>IF(COUNT(C309:M309)&gt;0,1,0)</f>
        <v/>
      </c>
    </row>
    <row r="310">
      <c r="A310" s="25">
        <f>A309+1</f>
        <v/>
      </c>
      <c r="B310" s="26">
        <f>IF(A310="","",TEXT(A310,"ddd"))</f>
        <v/>
      </c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1" t="n"/>
      <c r="M310" s="21" t="n"/>
      <c r="N310" s="27" t="n"/>
      <c r="O310" s="28">
        <f>IF($Q310=0,"",IF(C310&gt;=C$2,1,0)+IF(D310&gt;=D$2,1,0)+IF(E310&gt;=E$2,1,0)+IF(F310&gt;=F$2,1,0))</f>
        <v/>
      </c>
      <c r="P310" s="29" t="n"/>
      <c r="Q310" s="30">
        <f>IF(COUNT(C310:M310)&gt;0,1,0)</f>
        <v/>
      </c>
    </row>
    <row r="311">
      <c r="A311" s="25">
        <f>A310+1</f>
        <v/>
      </c>
      <c r="B311" s="26">
        <f>IF(A311="","",TEXT(A311,"ddd"))</f>
        <v/>
      </c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1" t="n"/>
      <c r="M311" s="21" t="n"/>
      <c r="N311" s="27" t="n"/>
      <c r="O311" s="28">
        <f>IF($Q311=0,"",IF(C311&gt;=C$2,1,0)+IF(D311&gt;=D$2,1,0)+IF(E311&gt;=E$2,1,0)+IF(F311&gt;=F$2,1,0))</f>
        <v/>
      </c>
      <c r="P311" s="29" t="n"/>
      <c r="Q311" s="30">
        <f>IF(COUNT(C311:M311)&gt;0,1,0)</f>
        <v/>
      </c>
    </row>
    <row r="312">
      <c r="A312" s="25">
        <f>A311+1</f>
        <v/>
      </c>
      <c r="B312" s="26">
        <f>IF(A312="","",TEXT(A312,"ddd"))</f>
        <v/>
      </c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1" t="n"/>
      <c r="M312" s="21" t="n"/>
      <c r="N312" s="27" t="n"/>
      <c r="O312" s="28">
        <f>IF($Q312=0,"",IF(C312&gt;=C$2,1,0)+IF(D312&gt;=D$2,1,0)+IF(E312&gt;=E$2,1,0)+IF(F312&gt;=F$2,1,0))</f>
        <v/>
      </c>
      <c r="P312" s="29" t="n"/>
      <c r="Q312" s="30">
        <f>IF(COUNT(C312:M312)&gt;0,1,0)</f>
        <v/>
      </c>
    </row>
    <row r="313">
      <c r="A313" s="25">
        <f>A312+1</f>
        <v/>
      </c>
      <c r="B313" s="26">
        <f>IF(A313="","",TEXT(A313,"ddd"))</f>
        <v/>
      </c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1" t="n"/>
      <c r="M313" s="21" t="n"/>
      <c r="N313" s="27" t="n"/>
      <c r="O313" s="28">
        <f>IF($Q313=0,"",IF(C313&gt;=C$2,1,0)+IF(D313&gt;=D$2,1,0)+IF(E313&gt;=E$2,1,0)+IF(F313&gt;=F$2,1,0))</f>
        <v/>
      </c>
      <c r="P313" s="29" t="n"/>
      <c r="Q313" s="30">
        <f>IF(COUNT(C313:M313)&gt;0,1,0)</f>
        <v/>
      </c>
    </row>
    <row r="314">
      <c r="A314" s="25">
        <f>A313+1</f>
        <v/>
      </c>
      <c r="B314" s="26">
        <f>IF(A314="","",TEXT(A314,"ddd"))</f>
        <v/>
      </c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1" t="n"/>
      <c r="M314" s="21" t="n"/>
      <c r="N314" s="27" t="n"/>
      <c r="O314" s="28">
        <f>IF($Q314=0,"",IF(C314&gt;=C$2,1,0)+IF(D314&gt;=D$2,1,0)+IF(E314&gt;=E$2,1,0)+IF(F314&gt;=F$2,1,0))</f>
        <v/>
      </c>
      <c r="P314" s="29" t="n"/>
      <c r="Q314" s="30">
        <f>IF(COUNT(C314:M314)&gt;0,1,0)</f>
        <v/>
      </c>
    </row>
    <row r="315">
      <c r="A315" s="25">
        <f>A314+1</f>
        <v/>
      </c>
      <c r="B315" s="26">
        <f>IF(A315="","",TEXT(A315,"ddd"))</f>
        <v/>
      </c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1" t="n"/>
      <c r="M315" s="21" t="n"/>
      <c r="N315" s="27" t="n"/>
      <c r="O315" s="28">
        <f>IF($Q315=0,"",IF(C315&gt;=C$2,1,0)+IF(D315&gt;=D$2,1,0)+IF(E315&gt;=E$2,1,0)+IF(F315&gt;=F$2,1,0))</f>
        <v/>
      </c>
      <c r="P315" s="29" t="n"/>
      <c r="Q315" s="30">
        <f>IF(COUNT(C315:M315)&gt;0,1,0)</f>
        <v/>
      </c>
    </row>
    <row r="316">
      <c r="A316" s="25">
        <f>A315+1</f>
        <v/>
      </c>
      <c r="B316" s="26">
        <f>IF(A316="","",TEXT(A316,"ddd"))</f>
        <v/>
      </c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1" t="n"/>
      <c r="M316" s="21" t="n"/>
      <c r="N316" s="27" t="n"/>
      <c r="O316" s="28">
        <f>IF($Q316=0,"",IF(C316&gt;=C$2,1,0)+IF(D316&gt;=D$2,1,0)+IF(E316&gt;=E$2,1,0)+IF(F316&gt;=F$2,1,0))</f>
        <v/>
      </c>
      <c r="P316" s="29" t="n"/>
      <c r="Q316" s="30">
        <f>IF(COUNT(C316:M316)&gt;0,1,0)</f>
        <v/>
      </c>
    </row>
    <row r="317">
      <c r="A317" s="25">
        <f>A316+1</f>
        <v/>
      </c>
      <c r="B317" s="26">
        <f>IF(A317="","",TEXT(A317,"ddd"))</f>
        <v/>
      </c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1" t="n"/>
      <c r="M317" s="21" t="n"/>
      <c r="N317" s="27" t="n"/>
      <c r="O317" s="28">
        <f>IF($Q317=0,"",IF(C317&gt;=C$2,1,0)+IF(D317&gt;=D$2,1,0)+IF(E317&gt;=E$2,1,0)+IF(F317&gt;=F$2,1,0))</f>
        <v/>
      </c>
      <c r="P317" s="29" t="n"/>
      <c r="Q317" s="30">
        <f>IF(COUNT(C317:M317)&gt;0,1,0)</f>
        <v/>
      </c>
    </row>
    <row r="318">
      <c r="A318" s="25">
        <f>A317+1</f>
        <v/>
      </c>
      <c r="B318" s="26">
        <f>IF(A318="","",TEXT(A318,"ddd"))</f>
        <v/>
      </c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1" t="n"/>
      <c r="M318" s="21" t="n"/>
      <c r="N318" s="27" t="n"/>
      <c r="O318" s="28">
        <f>IF($Q318=0,"",IF(C318&gt;=C$2,1,0)+IF(D318&gt;=D$2,1,0)+IF(E318&gt;=E$2,1,0)+IF(F318&gt;=F$2,1,0))</f>
        <v/>
      </c>
      <c r="P318" s="29" t="n"/>
      <c r="Q318" s="30">
        <f>IF(COUNT(C318:M318)&gt;0,1,0)</f>
        <v/>
      </c>
    </row>
    <row r="319">
      <c r="A319" s="25">
        <f>A318+1</f>
        <v/>
      </c>
      <c r="B319" s="26">
        <f>IF(A319="","",TEXT(A319,"ddd"))</f>
        <v/>
      </c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1" t="n"/>
      <c r="M319" s="21" t="n"/>
      <c r="N319" s="27" t="n"/>
      <c r="O319" s="28">
        <f>IF($Q319=0,"",IF(C319&gt;=C$2,1,0)+IF(D319&gt;=D$2,1,0)+IF(E319&gt;=E$2,1,0)+IF(F319&gt;=F$2,1,0))</f>
        <v/>
      </c>
      <c r="P319" s="29" t="n"/>
      <c r="Q319" s="30">
        <f>IF(COUNT(C319:M319)&gt;0,1,0)</f>
        <v/>
      </c>
    </row>
    <row r="320">
      <c r="A320" s="25">
        <f>A319+1</f>
        <v/>
      </c>
      <c r="B320" s="26">
        <f>IF(A320="","",TEXT(A320,"ddd"))</f>
        <v/>
      </c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1" t="n"/>
      <c r="M320" s="21" t="n"/>
      <c r="N320" s="27" t="n"/>
      <c r="O320" s="28">
        <f>IF($Q320=0,"",IF(C320&gt;=C$2,1,0)+IF(D320&gt;=D$2,1,0)+IF(E320&gt;=E$2,1,0)+IF(F320&gt;=F$2,1,0))</f>
        <v/>
      </c>
      <c r="P320" s="29" t="n"/>
      <c r="Q320" s="30">
        <f>IF(COUNT(C320:M320)&gt;0,1,0)</f>
        <v/>
      </c>
    </row>
    <row r="321">
      <c r="A321" s="25">
        <f>A320+1</f>
        <v/>
      </c>
      <c r="B321" s="26">
        <f>IF(A321="","",TEXT(A321,"ddd"))</f>
        <v/>
      </c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1" t="n"/>
      <c r="M321" s="21" t="n"/>
      <c r="N321" s="27" t="n"/>
      <c r="O321" s="28">
        <f>IF($Q321=0,"",IF(C321&gt;=C$2,1,0)+IF(D321&gt;=D$2,1,0)+IF(E321&gt;=E$2,1,0)+IF(F321&gt;=F$2,1,0))</f>
        <v/>
      </c>
      <c r="P321" s="29" t="n"/>
      <c r="Q321" s="30">
        <f>IF(COUNT(C321:M321)&gt;0,1,0)</f>
        <v/>
      </c>
    </row>
    <row r="322">
      <c r="A322" s="25">
        <f>A321+1</f>
        <v/>
      </c>
      <c r="B322" s="26">
        <f>IF(A322="","",TEXT(A322,"ddd"))</f>
        <v/>
      </c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1" t="n"/>
      <c r="M322" s="21" t="n"/>
      <c r="N322" s="27" t="n"/>
      <c r="O322" s="28">
        <f>IF($Q322=0,"",IF(C322&gt;=C$2,1,0)+IF(D322&gt;=D$2,1,0)+IF(E322&gt;=E$2,1,0)+IF(F322&gt;=F$2,1,0))</f>
        <v/>
      </c>
      <c r="P322" s="29" t="n"/>
      <c r="Q322" s="30">
        <f>IF(COUNT(C322:M322)&gt;0,1,0)</f>
        <v/>
      </c>
    </row>
    <row r="323">
      <c r="A323" s="25">
        <f>A322+1</f>
        <v/>
      </c>
      <c r="B323" s="26">
        <f>IF(A323="","",TEXT(A323,"ddd"))</f>
        <v/>
      </c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1" t="n"/>
      <c r="M323" s="21" t="n"/>
      <c r="N323" s="27" t="n"/>
      <c r="O323" s="28">
        <f>IF($Q323=0,"",IF(C323&gt;=C$2,1,0)+IF(D323&gt;=D$2,1,0)+IF(E323&gt;=E$2,1,0)+IF(F323&gt;=F$2,1,0))</f>
        <v/>
      </c>
      <c r="P323" s="29" t="n"/>
      <c r="Q323" s="30">
        <f>IF(COUNT(C323:M323)&gt;0,1,0)</f>
        <v/>
      </c>
    </row>
    <row r="324">
      <c r="A324" s="25">
        <f>A323+1</f>
        <v/>
      </c>
      <c r="B324" s="26">
        <f>IF(A324="","",TEXT(A324,"ddd"))</f>
        <v/>
      </c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1" t="n"/>
      <c r="M324" s="21" t="n"/>
      <c r="N324" s="27" t="n"/>
      <c r="O324" s="28">
        <f>IF($Q324=0,"",IF(C324&gt;=C$2,1,0)+IF(D324&gt;=D$2,1,0)+IF(E324&gt;=E$2,1,0)+IF(F324&gt;=F$2,1,0))</f>
        <v/>
      </c>
      <c r="P324" s="29" t="n"/>
      <c r="Q324" s="30">
        <f>IF(COUNT(C324:M324)&gt;0,1,0)</f>
        <v/>
      </c>
    </row>
    <row r="325">
      <c r="A325" s="25">
        <f>A324+1</f>
        <v/>
      </c>
      <c r="B325" s="26">
        <f>IF(A325="","",TEXT(A325,"ddd"))</f>
        <v/>
      </c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1" t="n"/>
      <c r="M325" s="21" t="n"/>
      <c r="N325" s="27" t="n"/>
      <c r="O325" s="28">
        <f>IF($Q325=0,"",IF(C325&gt;=C$2,1,0)+IF(D325&gt;=D$2,1,0)+IF(E325&gt;=E$2,1,0)+IF(F325&gt;=F$2,1,0))</f>
        <v/>
      </c>
      <c r="P325" s="29" t="n"/>
      <c r="Q325" s="30">
        <f>IF(COUNT(C325:M325)&gt;0,1,0)</f>
        <v/>
      </c>
    </row>
    <row r="326">
      <c r="A326" s="25">
        <f>A325+1</f>
        <v/>
      </c>
      <c r="B326" s="26">
        <f>IF(A326="","",TEXT(A326,"ddd"))</f>
        <v/>
      </c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1" t="n"/>
      <c r="M326" s="21" t="n"/>
      <c r="N326" s="27" t="n"/>
      <c r="O326" s="28">
        <f>IF($Q326=0,"",IF(C326&gt;=C$2,1,0)+IF(D326&gt;=D$2,1,0)+IF(E326&gt;=E$2,1,0)+IF(F326&gt;=F$2,1,0))</f>
        <v/>
      </c>
      <c r="P326" s="29" t="n"/>
      <c r="Q326" s="30">
        <f>IF(COUNT(C326:M326)&gt;0,1,0)</f>
        <v/>
      </c>
    </row>
    <row r="327">
      <c r="A327" s="25">
        <f>A326+1</f>
        <v/>
      </c>
      <c r="B327" s="26">
        <f>IF(A327="","",TEXT(A327,"ddd"))</f>
        <v/>
      </c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1" t="n"/>
      <c r="M327" s="21" t="n"/>
      <c r="N327" s="27" t="n"/>
      <c r="O327" s="28">
        <f>IF($Q327=0,"",IF(C327&gt;=C$2,1,0)+IF(D327&gt;=D$2,1,0)+IF(E327&gt;=E$2,1,0)+IF(F327&gt;=F$2,1,0))</f>
        <v/>
      </c>
      <c r="P327" s="29" t="n"/>
      <c r="Q327" s="30">
        <f>IF(COUNT(C327:M327)&gt;0,1,0)</f>
        <v/>
      </c>
    </row>
    <row r="328">
      <c r="A328" s="25">
        <f>A327+1</f>
        <v/>
      </c>
      <c r="B328" s="26">
        <f>IF(A328="","",TEXT(A328,"ddd"))</f>
        <v/>
      </c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1" t="n"/>
      <c r="M328" s="21" t="n"/>
      <c r="N328" s="27" t="n"/>
      <c r="O328" s="28">
        <f>IF($Q328=0,"",IF(C328&gt;=C$2,1,0)+IF(D328&gt;=D$2,1,0)+IF(E328&gt;=E$2,1,0)+IF(F328&gt;=F$2,1,0))</f>
        <v/>
      </c>
      <c r="P328" s="29" t="n"/>
      <c r="Q328" s="30">
        <f>IF(COUNT(C328:M328)&gt;0,1,0)</f>
        <v/>
      </c>
    </row>
    <row r="329">
      <c r="A329" s="25">
        <f>A328+1</f>
        <v/>
      </c>
      <c r="B329" s="26">
        <f>IF(A329="","",TEXT(A329,"ddd"))</f>
        <v/>
      </c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1" t="n"/>
      <c r="M329" s="21" t="n"/>
      <c r="N329" s="27" t="n"/>
      <c r="O329" s="28">
        <f>IF($Q329=0,"",IF(C329&gt;=C$2,1,0)+IF(D329&gt;=D$2,1,0)+IF(E329&gt;=E$2,1,0)+IF(F329&gt;=F$2,1,0))</f>
        <v/>
      </c>
      <c r="P329" s="29" t="n"/>
      <c r="Q329" s="30">
        <f>IF(COUNT(C329:M329)&gt;0,1,0)</f>
        <v/>
      </c>
    </row>
    <row r="330">
      <c r="A330" s="25">
        <f>A329+1</f>
        <v/>
      </c>
      <c r="B330" s="26">
        <f>IF(A330="","",TEXT(A330,"ddd"))</f>
        <v/>
      </c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1" t="n"/>
      <c r="M330" s="21" t="n"/>
      <c r="N330" s="27" t="n"/>
      <c r="O330" s="28">
        <f>IF($Q330=0,"",IF(C330&gt;=C$2,1,0)+IF(D330&gt;=D$2,1,0)+IF(E330&gt;=E$2,1,0)+IF(F330&gt;=F$2,1,0))</f>
        <v/>
      </c>
      <c r="P330" s="29" t="n"/>
      <c r="Q330" s="30">
        <f>IF(COUNT(C330:M330)&gt;0,1,0)</f>
        <v/>
      </c>
    </row>
    <row r="331">
      <c r="A331" s="25">
        <f>A330+1</f>
        <v/>
      </c>
      <c r="B331" s="26">
        <f>IF(A331="","",TEXT(A331,"ddd"))</f>
        <v/>
      </c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1" t="n"/>
      <c r="M331" s="21" t="n"/>
      <c r="N331" s="27" t="n"/>
      <c r="O331" s="28">
        <f>IF($Q331=0,"",IF(C331&gt;=C$2,1,0)+IF(D331&gt;=D$2,1,0)+IF(E331&gt;=E$2,1,0)+IF(F331&gt;=F$2,1,0))</f>
        <v/>
      </c>
      <c r="P331" s="29" t="n"/>
      <c r="Q331" s="30">
        <f>IF(COUNT(C331:M331)&gt;0,1,0)</f>
        <v/>
      </c>
    </row>
    <row r="332">
      <c r="A332" s="25">
        <f>A331+1</f>
        <v/>
      </c>
      <c r="B332" s="26">
        <f>IF(A332="","",TEXT(A332,"ddd"))</f>
        <v/>
      </c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1" t="n"/>
      <c r="M332" s="21" t="n"/>
      <c r="N332" s="27" t="n"/>
      <c r="O332" s="28">
        <f>IF($Q332=0,"",IF(C332&gt;=C$2,1,0)+IF(D332&gt;=D$2,1,0)+IF(E332&gt;=E$2,1,0)+IF(F332&gt;=F$2,1,0))</f>
        <v/>
      </c>
      <c r="P332" s="29" t="n"/>
      <c r="Q332" s="30">
        <f>IF(COUNT(C332:M332)&gt;0,1,0)</f>
        <v/>
      </c>
    </row>
    <row r="333">
      <c r="A333" s="25">
        <f>A332+1</f>
        <v/>
      </c>
      <c r="B333" s="26">
        <f>IF(A333="","",TEXT(A333,"ddd"))</f>
        <v/>
      </c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1" t="n"/>
      <c r="M333" s="21" t="n"/>
      <c r="N333" s="27" t="n"/>
      <c r="O333" s="28">
        <f>IF($Q333=0,"",IF(C333&gt;=C$2,1,0)+IF(D333&gt;=D$2,1,0)+IF(E333&gt;=E$2,1,0)+IF(F333&gt;=F$2,1,0))</f>
        <v/>
      </c>
      <c r="P333" s="29" t="n"/>
      <c r="Q333" s="30">
        <f>IF(COUNT(C333:M333)&gt;0,1,0)</f>
        <v/>
      </c>
    </row>
    <row r="334">
      <c r="A334" s="25">
        <f>A333+1</f>
        <v/>
      </c>
      <c r="B334" s="26">
        <f>IF(A334="","",TEXT(A334,"ddd"))</f>
        <v/>
      </c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1" t="n"/>
      <c r="M334" s="21" t="n"/>
      <c r="N334" s="27" t="n"/>
      <c r="O334" s="28">
        <f>IF($Q334=0,"",IF(C334&gt;=C$2,1,0)+IF(D334&gt;=D$2,1,0)+IF(E334&gt;=E$2,1,0)+IF(F334&gt;=F$2,1,0))</f>
        <v/>
      </c>
      <c r="P334" s="29" t="n"/>
      <c r="Q334" s="30">
        <f>IF(COUNT(C334:M334)&gt;0,1,0)</f>
        <v/>
      </c>
    </row>
    <row r="335">
      <c r="A335" s="25">
        <f>A334+1</f>
        <v/>
      </c>
      <c r="B335" s="26">
        <f>IF(A335="","",TEXT(A335,"ddd"))</f>
        <v/>
      </c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1" t="n"/>
      <c r="M335" s="21" t="n"/>
      <c r="N335" s="27" t="n"/>
      <c r="O335" s="28">
        <f>IF($Q335=0,"",IF(C335&gt;=C$2,1,0)+IF(D335&gt;=D$2,1,0)+IF(E335&gt;=E$2,1,0)+IF(F335&gt;=F$2,1,0))</f>
        <v/>
      </c>
      <c r="P335" s="29" t="n"/>
      <c r="Q335" s="30">
        <f>IF(COUNT(C335:M335)&gt;0,1,0)</f>
        <v/>
      </c>
    </row>
    <row r="336">
      <c r="A336" s="25">
        <f>A335+1</f>
        <v/>
      </c>
      <c r="B336" s="26">
        <f>IF(A336="","",TEXT(A336,"ddd"))</f>
        <v/>
      </c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1" t="n"/>
      <c r="M336" s="21" t="n"/>
      <c r="N336" s="27" t="n"/>
      <c r="O336" s="28">
        <f>IF($Q336=0,"",IF(C336&gt;=C$2,1,0)+IF(D336&gt;=D$2,1,0)+IF(E336&gt;=E$2,1,0)+IF(F336&gt;=F$2,1,0))</f>
        <v/>
      </c>
      <c r="P336" s="29" t="n"/>
      <c r="Q336" s="30">
        <f>IF(COUNT(C336:M336)&gt;0,1,0)</f>
        <v/>
      </c>
    </row>
    <row r="337">
      <c r="A337" s="25">
        <f>A336+1</f>
        <v/>
      </c>
      <c r="B337" s="26">
        <f>IF(A337="","",TEXT(A337,"ddd"))</f>
        <v/>
      </c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1" t="n"/>
      <c r="M337" s="21" t="n"/>
      <c r="N337" s="27" t="n"/>
      <c r="O337" s="28">
        <f>IF($Q337=0,"",IF(C337&gt;=C$2,1,0)+IF(D337&gt;=D$2,1,0)+IF(E337&gt;=E$2,1,0)+IF(F337&gt;=F$2,1,0))</f>
        <v/>
      </c>
      <c r="P337" s="29" t="n"/>
      <c r="Q337" s="30">
        <f>IF(COUNT(C337:M337)&gt;0,1,0)</f>
        <v/>
      </c>
    </row>
    <row r="338">
      <c r="A338" s="25">
        <f>A337+1</f>
        <v/>
      </c>
      <c r="B338" s="26">
        <f>IF(A338="","",TEXT(A338,"ddd"))</f>
        <v/>
      </c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1" t="n"/>
      <c r="M338" s="21" t="n"/>
      <c r="N338" s="27" t="n"/>
      <c r="O338" s="28">
        <f>IF($Q338=0,"",IF(C338&gt;=C$2,1,0)+IF(D338&gt;=D$2,1,0)+IF(E338&gt;=E$2,1,0)+IF(F338&gt;=F$2,1,0))</f>
        <v/>
      </c>
      <c r="P338" s="29" t="n"/>
      <c r="Q338" s="30">
        <f>IF(COUNT(C338:M338)&gt;0,1,0)</f>
        <v/>
      </c>
    </row>
    <row r="339">
      <c r="A339" s="25">
        <f>A338+1</f>
        <v/>
      </c>
      <c r="B339" s="26">
        <f>IF(A339="","",TEXT(A339,"ddd"))</f>
        <v/>
      </c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1" t="n"/>
      <c r="M339" s="21" t="n"/>
      <c r="N339" s="27" t="n"/>
      <c r="O339" s="28">
        <f>IF($Q339=0,"",IF(C339&gt;=C$2,1,0)+IF(D339&gt;=D$2,1,0)+IF(E339&gt;=E$2,1,0)+IF(F339&gt;=F$2,1,0))</f>
        <v/>
      </c>
      <c r="P339" s="29" t="n"/>
      <c r="Q339" s="30">
        <f>IF(COUNT(C339:M339)&gt;0,1,0)</f>
        <v/>
      </c>
    </row>
    <row r="340">
      <c r="A340" s="25">
        <f>A339+1</f>
        <v/>
      </c>
      <c r="B340" s="26">
        <f>IF(A340="","",TEXT(A340,"ddd"))</f>
        <v/>
      </c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1" t="n"/>
      <c r="M340" s="21" t="n"/>
      <c r="N340" s="27" t="n"/>
      <c r="O340" s="28">
        <f>IF($Q340=0,"",IF(C340&gt;=C$2,1,0)+IF(D340&gt;=D$2,1,0)+IF(E340&gt;=E$2,1,0)+IF(F340&gt;=F$2,1,0))</f>
        <v/>
      </c>
      <c r="P340" s="29" t="n"/>
      <c r="Q340" s="30">
        <f>IF(COUNT(C340:M340)&gt;0,1,0)</f>
        <v/>
      </c>
    </row>
    <row r="341">
      <c r="A341" s="25">
        <f>A340+1</f>
        <v/>
      </c>
      <c r="B341" s="26">
        <f>IF(A341="","",TEXT(A341,"ddd"))</f>
        <v/>
      </c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1" t="n"/>
      <c r="M341" s="21" t="n"/>
      <c r="N341" s="27" t="n"/>
      <c r="O341" s="28">
        <f>IF($Q341=0,"",IF(C341&gt;=C$2,1,0)+IF(D341&gt;=D$2,1,0)+IF(E341&gt;=E$2,1,0)+IF(F341&gt;=F$2,1,0))</f>
        <v/>
      </c>
      <c r="P341" s="29" t="n"/>
      <c r="Q341" s="30">
        <f>IF(COUNT(C341:M341)&gt;0,1,0)</f>
        <v/>
      </c>
    </row>
    <row r="342">
      <c r="A342" s="25">
        <f>A341+1</f>
        <v/>
      </c>
      <c r="B342" s="26">
        <f>IF(A342="","",TEXT(A342,"ddd"))</f>
        <v/>
      </c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1" t="n"/>
      <c r="M342" s="21" t="n"/>
      <c r="N342" s="27" t="n"/>
      <c r="O342" s="28">
        <f>IF($Q342=0,"",IF(C342&gt;=C$2,1,0)+IF(D342&gt;=D$2,1,0)+IF(E342&gt;=E$2,1,0)+IF(F342&gt;=F$2,1,0))</f>
        <v/>
      </c>
      <c r="P342" s="29" t="n"/>
      <c r="Q342" s="30">
        <f>IF(COUNT(C342:M342)&gt;0,1,0)</f>
        <v/>
      </c>
    </row>
    <row r="343">
      <c r="A343" s="25">
        <f>A342+1</f>
        <v/>
      </c>
      <c r="B343" s="26">
        <f>IF(A343="","",TEXT(A343,"ddd"))</f>
        <v/>
      </c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1" t="n"/>
      <c r="M343" s="21" t="n"/>
      <c r="N343" s="27" t="n"/>
      <c r="O343" s="28">
        <f>IF($Q343=0,"",IF(C343&gt;=C$2,1,0)+IF(D343&gt;=D$2,1,0)+IF(E343&gt;=E$2,1,0)+IF(F343&gt;=F$2,1,0))</f>
        <v/>
      </c>
      <c r="P343" s="29" t="n"/>
      <c r="Q343" s="30">
        <f>IF(COUNT(C343:M343)&gt;0,1,0)</f>
        <v/>
      </c>
    </row>
    <row r="344">
      <c r="A344" s="25">
        <f>A343+1</f>
        <v/>
      </c>
      <c r="B344" s="26">
        <f>IF(A344="","",TEXT(A344,"ddd"))</f>
        <v/>
      </c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1" t="n"/>
      <c r="M344" s="21" t="n"/>
      <c r="N344" s="27" t="n"/>
      <c r="O344" s="28">
        <f>IF($Q344=0,"",IF(C344&gt;=C$2,1,0)+IF(D344&gt;=D$2,1,0)+IF(E344&gt;=E$2,1,0)+IF(F344&gt;=F$2,1,0))</f>
        <v/>
      </c>
      <c r="P344" s="29" t="n"/>
      <c r="Q344" s="30">
        <f>IF(COUNT(C344:M344)&gt;0,1,0)</f>
        <v/>
      </c>
    </row>
    <row r="345">
      <c r="A345" s="25">
        <f>A344+1</f>
        <v/>
      </c>
      <c r="B345" s="26">
        <f>IF(A345="","",TEXT(A345,"ddd"))</f>
        <v/>
      </c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1" t="n"/>
      <c r="M345" s="21" t="n"/>
      <c r="N345" s="27" t="n"/>
      <c r="O345" s="28">
        <f>IF($Q345=0,"",IF(C345&gt;=C$2,1,0)+IF(D345&gt;=D$2,1,0)+IF(E345&gt;=E$2,1,0)+IF(F345&gt;=F$2,1,0))</f>
        <v/>
      </c>
      <c r="P345" s="29" t="n"/>
      <c r="Q345" s="30">
        <f>IF(COUNT(C345:M345)&gt;0,1,0)</f>
        <v/>
      </c>
    </row>
    <row r="346">
      <c r="A346" s="25">
        <f>A345+1</f>
        <v/>
      </c>
      <c r="B346" s="26">
        <f>IF(A346="","",TEXT(A346,"ddd"))</f>
        <v/>
      </c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1" t="n"/>
      <c r="M346" s="21" t="n"/>
      <c r="N346" s="27" t="n"/>
      <c r="O346" s="28">
        <f>IF($Q346=0,"",IF(C346&gt;=C$2,1,0)+IF(D346&gt;=D$2,1,0)+IF(E346&gt;=E$2,1,0)+IF(F346&gt;=F$2,1,0))</f>
        <v/>
      </c>
      <c r="P346" s="29" t="n"/>
      <c r="Q346" s="30">
        <f>IF(COUNT(C346:M346)&gt;0,1,0)</f>
        <v/>
      </c>
    </row>
    <row r="347">
      <c r="A347" s="25">
        <f>A346+1</f>
        <v/>
      </c>
      <c r="B347" s="26">
        <f>IF(A347="","",TEXT(A347,"ddd"))</f>
        <v/>
      </c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1" t="n"/>
      <c r="M347" s="21" t="n"/>
      <c r="N347" s="27" t="n"/>
      <c r="O347" s="28">
        <f>IF($Q347=0,"",IF(C347&gt;=C$2,1,0)+IF(D347&gt;=D$2,1,0)+IF(E347&gt;=E$2,1,0)+IF(F347&gt;=F$2,1,0))</f>
        <v/>
      </c>
      <c r="P347" s="29" t="n"/>
      <c r="Q347" s="30">
        <f>IF(COUNT(C347:M347)&gt;0,1,0)</f>
        <v/>
      </c>
    </row>
    <row r="348">
      <c r="A348" s="25">
        <f>A347+1</f>
        <v/>
      </c>
      <c r="B348" s="26">
        <f>IF(A348="","",TEXT(A348,"ddd"))</f>
        <v/>
      </c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1" t="n"/>
      <c r="M348" s="21" t="n"/>
      <c r="N348" s="27" t="n"/>
      <c r="O348" s="28">
        <f>IF($Q348=0,"",IF(C348&gt;=C$2,1,0)+IF(D348&gt;=D$2,1,0)+IF(E348&gt;=E$2,1,0)+IF(F348&gt;=F$2,1,0))</f>
        <v/>
      </c>
      <c r="P348" s="29" t="n"/>
      <c r="Q348" s="30">
        <f>IF(COUNT(C348:M348)&gt;0,1,0)</f>
        <v/>
      </c>
    </row>
    <row r="349">
      <c r="A349" s="25">
        <f>A348+1</f>
        <v/>
      </c>
      <c r="B349" s="26">
        <f>IF(A349="","",TEXT(A349,"ddd"))</f>
        <v/>
      </c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1" t="n"/>
      <c r="M349" s="21" t="n"/>
      <c r="N349" s="27" t="n"/>
      <c r="O349" s="28">
        <f>IF($Q349=0,"",IF(C349&gt;=C$2,1,0)+IF(D349&gt;=D$2,1,0)+IF(E349&gt;=E$2,1,0)+IF(F349&gt;=F$2,1,0))</f>
        <v/>
      </c>
      <c r="P349" s="29" t="n"/>
      <c r="Q349" s="30">
        <f>IF(COUNT(C349:M349)&gt;0,1,0)</f>
        <v/>
      </c>
    </row>
    <row r="350">
      <c r="A350" s="25">
        <f>A349+1</f>
        <v/>
      </c>
      <c r="B350" s="26">
        <f>IF(A350="","",TEXT(A350,"ddd"))</f>
        <v/>
      </c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1" t="n"/>
      <c r="M350" s="21" t="n"/>
      <c r="N350" s="27" t="n"/>
      <c r="O350" s="28">
        <f>IF($Q350=0,"",IF(C350&gt;=C$2,1,0)+IF(D350&gt;=D$2,1,0)+IF(E350&gt;=E$2,1,0)+IF(F350&gt;=F$2,1,0))</f>
        <v/>
      </c>
      <c r="P350" s="29" t="n"/>
      <c r="Q350" s="30">
        <f>IF(COUNT(C350:M350)&gt;0,1,0)</f>
        <v/>
      </c>
    </row>
    <row r="351">
      <c r="A351" s="25">
        <f>A350+1</f>
        <v/>
      </c>
      <c r="B351" s="26">
        <f>IF(A351="","",TEXT(A351,"ddd"))</f>
        <v/>
      </c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1" t="n"/>
      <c r="M351" s="21" t="n"/>
      <c r="N351" s="27" t="n"/>
      <c r="O351" s="28">
        <f>IF($Q351=0,"",IF(C351&gt;=C$2,1,0)+IF(D351&gt;=D$2,1,0)+IF(E351&gt;=E$2,1,0)+IF(F351&gt;=F$2,1,0))</f>
        <v/>
      </c>
      <c r="P351" s="29" t="n"/>
      <c r="Q351" s="30">
        <f>IF(COUNT(C351:M351)&gt;0,1,0)</f>
        <v/>
      </c>
    </row>
    <row r="352">
      <c r="A352" s="25">
        <f>A351+1</f>
        <v/>
      </c>
      <c r="B352" s="26">
        <f>IF(A352="","",TEXT(A352,"ddd"))</f>
        <v/>
      </c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1" t="n"/>
      <c r="M352" s="21" t="n"/>
      <c r="N352" s="27" t="n"/>
      <c r="O352" s="28">
        <f>IF($Q352=0,"",IF(C352&gt;=C$2,1,0)+IF(D352&gt;=D$2,1,0)+IF(E352&gt;=E$2,1,0)+IF(F352&gt;=F$2,1,0))</f>
        <v/>
      </c>
      <c r="P352" s="29" t="n"/>
      <c r="Q352" s="30">
        <f>IF(COUNT(C352:M352)&gt;0,1,0)</f>
        <v/>
      </c>
    </row>
    <row r="353">
      <c r="A353" s="25">
        <f>A352+1</f>
        <v/>
      </c>
      <c r="B353" s="26">
        <f>IF(A353="","",TEXT(A353,"ddd"))</f>
        <v/>
      </c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1" t="n"/>
      <c r="M353" s="21" t="n"/>
      <c r="N353" s="27" t="n"/>
      <c r="O353" s="28">
        <f>IF($Q353=0,"",IF(C353&gt;=C$2,1,0)+IF(D353&gt;=D$2,1,0)+IF(E353&gt;=E$2,1,0)+IF(F353&gt;=F$2,1,0))</f>
        <v/>
      </c>
      <c r="P353" s="29" t="n"/>
      <c r="Q353" s="30">
        <f>IF(COUNT(C353:M353)&gt;0,1,0)</f>
        <v/>
      </c>
    </row>
    <row r="354">
      <c r="A354" s="25">
        <f>A353+1</f>
        <v/>
      </c>
      <c r="B354" s="26">
        <f>IF(A354="","",TEXT(A354,"ddd"))</f>
        <v/>
      </c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1" t="n"/>
      <c r="M354" s="21" t="n"/>
      <c r="N354" s="27" t="n"/>
      <c r="O354" s="28">
        <f>IF($Q354=0,"",IF(C354&gt;=C$2,1,0)+IF(D354&gt;=D$2,1,0)+IF(E354&gt;=E$2,1,0)+IF(F354&gt;=F$2,1,0))</f>
        <v/>
      </c>
      <c r="P354" s="29" t="n"/>
      <c r="Q354" s="30">
        <f>IF(COUNT(C354:M354)&gt;0,1,0)</f>
        <v/>
      </c>
    </row>
    <row r="355">
      <c r="A355" s="25">
        <f>A354+1</f>
        <v/>
      </c>
      <c r="B355" s="26">
        <f>IF(A355="","",TEXT(A355,"ddd"))</f>
        <v/>
      </c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1" t="n"/>
      <c r="M355" s="21" t="n"/>
      <c r="N355" s="27" t="n"/>
      <c r="O355" s="28">
        <f>IF($Q355=0,"",IF(C355&gt;=C$2,1,0)+IF(D355&gt;=D$2,1,0)+IF(E355&gt;=E$2,1,0)+IF(F355&gt;=F$2,1,0))</f>
        <v/>
      </c>
      <c r="P355" s="29" t="n"/>
      <c r="Q355" s="30">
        <f>IF(COUNT(C355:M355)&gt;0,1,0)</f>
        <v/>
      </c>
    </row>
    <row r="356">
      <c r="A356" s="25">
        <f>A355+1</f>
        <v/>
      </c>
      <c r="B356" s="26">
        <f>IF(A356="","",TEXT(A356,"ddd"))</f>
        <v/>
      </c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1" t="n"/>
      <c r="M356" s="21" t="n"/>
      <c r="N356" s="27" t="n"/>
      <c r="O356" s="28">
        <f>IF($Q356=0,"",IF(C356&gt;=C$2,1,0)+IF(D356&gt;=D$2,1,0)+IF(E356&gt;=E$2,1,0)+IF(F356&gt;=F$2,1,0))</f>
        <v/>
      </c>
      <c r="P356" s="29" t="n"/>
      <c r="Q356" s="30">
        <f>IF(COUNT(C356:M356)&gt;0,1,0)</f>
        <v/>
      </c>
    </row>
    <row r="357">
      <c r="A357" s="25">
        <f>A356+1</f>
        <v/>
      </c>
      <c r="B357" s="26">
        <f>IF(A357="","",TEXT(A357,"ddd"))</f>
        <v/>
      </c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1" t="n"/>
      <c r="M357" s="21" t="n"/>
      <c r="N357" s="27" t="n"/>
      <c r="O357" s="28">
        <f>IF($Q357=0,"",IF(C357&gt;=C$2,1,0)+IF(D357&gt;=D$2,1,0)+IF(E357&gt;=E$2,1,0)+IF(F357&gt;=F$2,1,0))</f>
        <v/>
      </c>
      <c r="P357" s="29" t="n"/>
      <c r="Q357" s="30">
        <f>IF(COUNT(C357:M357)&gt;0,1,0)</f>
        <v/>
      </c>
    </row>
    <row r="358">
      <c r="A358" s="25">
        <f>A357+1</f>
        <v/>
      </c>
      <c r="B358" s="26">
        <f>IF(A358="","",TEXT(A358,"ddd"))</f>
        <v/>
      </c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1" t="n"/>
      <c r="M358" s="21" t="n"/>
      <c r="N358" s="27" t="n"/>
      <c r="O358" s="28">
        <f>IF($Q358=0,"",IF(C358&gt;=C$2,1,0)+IF(D358&gt;=D$2,1,0)+IF(E358&gt;=E$2,1,0)+IF(F358&gt;=F$2,1,0))</f>
        <v/>
      </c>
      <c r="P358" s="29" t="n"/>
      <c r="Q358" s="30">
        <f>IF(COUNT(C358:M358)&gt;0,1,0)</f>
        <v/>
      </c>
    </row>
    <row r="359">
      <c r="A359" s="25">
        <f>A358+1</f>
        <v/>
      </c>
      <c r="B359" s="26">
        <f>IF(A359="","",TEXT(A359,"ddd"))</f>
        <v/>
      </c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1" t="n"/>
      <c r="M359" s="21" t="n"/>
      <c r="N359" s="27" t="n"/>
      <c r="O359" s="28">
        <f>IF($Q359=0,"",IF(C359&gt;=C$2,1,0)+IF(D359&gt;=D$2,1,0)+IF(E359&gt;=E$2,1,0)+IF(F359&gt;=F$2,1,0))</f>
        <v/>
      </c>
      <c r="P359" s="29" t="n"/>
      <c r="Q359" s="30">
        <f>IF(COUNT(C359:M359)&gt;0,1,0)</f>
        <v/>
      </c>
    </row>
    <row r="360">
      <c r="A360" s="25">
        <f>A359+1</f>
        <v/>
      </c>
      <c r="B360" s="26">
        <f>IF(A360="","",TEXT(A360,"ddd"))</f>
        <v/>
      </c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1" t="n"/>
      <c r="M360" s="21" t="n"/>
      <c r="N360" s="27" t="n"/>
      <c r="O360" s="28">
        <f>IF($Q360=0,"",IF(C360&gt;=C$2,1,0)+IF(D360&gt;=D$2,1,0)+IF(E360&gt;=E$2,1,0)+IF(F360&gt;=F$2,1,0))</f>
        <v/>
      </c>
      <c r="P360" s="29" t="n"/>
      <c r="Q360" s="30">
        <f>IF(COUNT(C360:M360)&gt;0,1,0)</f>
        <v/>
      </c>
    </row>
    <row r="361">
      <c r="A361" s="25">
        <f>A360+1</f>
        <v/>
      </c>
      <c r="B361" s="26">
        <f>IF(A361="","",TEXT(A361,"ddd"))</f>
        <v/>
      </c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1" t="n"/>
      <c r="M361" s="21" t="n"/>
      <c r="N361" s="27" t="n"/>
      <c r="O361" s="28">
        <f>IF($Q361=0,"",IF(C361&gt;=C$2,1,0)+IF(D361&gt;=D$2,1,0)+IF(E361&gt;=E$2,1,0)+IF(F361&gt;=F$2,1,0))</f>
        <v/>
      </c>
      <c r="P361" s="29" t="n"/>
      <c r="Q361" s="30">
        <f>IF(COUNT(C361:M361)&gt;0,1,0)</f>
        <v/>
      </c>
    </row>
    <row r="362">
      <c r="A362" s="25">
        <f>A361+1</f>
        <v/>
      </c>
      <c r="B362" s="26">
        <f>IF(A362="","",TEXT(A362,"ddd"))</f>
        <v/>
      </c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1" t="n"/>
      <c r="M362" s="21" t="n"/>
      <c r="N362" s="27" t="n"/>
      <c r="O362" s="28">
        <f>IF($Q362=0,"",IF(C362&gt;=C$2,1,0)+IF(D362&gt;=D$2,1,0)+IF(E362&gt;=E$2,1,0)+IF(F362&gt;=F$2,1,0))</f>
        <v/>
      </c>
      <c r="P362" s="29" t="n"/>
      <c r="Q362" s="30">
        <f>IF(COUNT(C362:M362)&gt;0,1,0)</f>
        <v/>
      </c>
    </row>
    <row r="363">
      <c r="A363" s="25">
        <f>A362+1</f>
        <v/>
      </c>
      <c r="B363" s="26">
        <f>IF(A363="","",TEXT(A363,"ddd"))</f>
        <v/>
      </c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1" t="n"/>
      <c r="M363" s="21" t="n"/>
      <c r="N363" s="27" t="n"/>
      <c r="O363" s="28">
        <f>IF($Q363=0,"",IF(C363&gt;=C$2,1,0)+IF(D363&gt;=D$2,1,0)+IF(E363&gt;=E$2,1,0)+IF(F363&gt;=F$2,1,0))</f>
        <v/>
      </c>
      <c r="P363" s="29" t="n"/>
      <c r="Q363" s="30">
        <f>IF(COUNT(C363:M363)&gt;0,1,0)</f>
        <v/>
      </c>
    </row>
    <row r="364">
      <c r="A364" s="25">
        <f>A363+1</f>
        <v/>
      </c>
      <c r="B364" s="26">
        <f>IF(A364="","",TEXT(A364,"ddd"))</f>
        <v/>
      </c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1" t="n"/>
      <c r="M364" s="21" t="n"/>
      <c r="N364" s="27" t="n"/>
      <c r="O364" s="28">
        <f>IF($Q364=0,"",IF(C364&gt;=C$2,1,0)+IF(D364&gt;=D$2,1,0)+IF(E364&gt;=E$2,1,0)+IF(F364&gt;=F$2,1,0))</f>
        <v/>
      </c>
      <c r="P364" s="29" t="n"/>
      <c r="Q364" s="30">
        <f>IF(COUNT(C364:M364)&gt;0,1,0)</f>
        <v/>
      </c>
    </row>
    <row r="365">
      <c r="A365" s="25">
        <f>A364+1</f>
        <v/>
      </c>
      <c r="B365" s="26">
        <f>IF(A365="","",TEXT(A365,"ddd"))</f>
        <v/>
      </c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1" t="n"/>
      <c r="M365" s="21" t="n"/>
      <c r="N365" s="27" t="n"/>
      <c r="O365" s="28">
        <f>IF($Q365=0,"",IF(C365&gt;=C$2,1,0)+IF(D365&gt;=D$2,1,0)+IF(E365&gt;=E$2,1,0)+IF(F365&gt;=F$2,1,0))</f>
        <v/>
      </c>
      <c r="P365" s="29" t="n"/>
      <c r="Q365" s="30">
        <f>IF(COUNT(C365:M365)&gt;0,1,0)</f>
        <v/>
      </c>
    </row>
    <row r="366">
      <c r="A366" s="25">
        <f>A365+1</f>
        <v/>
      </c>
      <c r="B366" s="26">
        <f>IF(A366="","",TEXT(A366,"ddd"))</f>
        <v/>
      </c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1" t="n"/>
      <c r="M366" s="21" t="n"/>
      <c r="N366" s="27" t="n"/>
      <c r="O366" s="28">
        <f>IF($Q366=0,"",IF(C366&gt;=C$2,1,0)+IF(D366&gt;=D$2,1,0)+IF(E366&gt;=E$2,1,0)+IF(F366&gt;=F$2,1,0))</f>
        <v/>
      </c>
      <c r="P366" s="29" t="n"/>
      <c r="Q366" s="30">
        <f>IF(COUNT(C366:M366)&gt;0,1,0)</f>
        <v/>
      </c>
    </row>
    <row r="367">
      <c r="A367" s="25">
        <f>A366+1</f>
        <v/>
      </c>
      <c r="B367" s="26">
        <f>IF(A367="","",TEXT(A367,"ddd"))</f>
        <v/>
      </c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1" t="n"/>
      <c r="M367" s="21" t="n"/>
      <c r="N367" s="27" t="n"/>
      <c r="O367" s="28">
        <f>IF($Q367=0,"",IF(C367&gt;=C$2,1,0)+IF(D367&gt;=D$2,1,0)+IF(E367&gt;=E$2,1,0)+IF(F367&gt;=F$2,1,0))</f>
        <v/>
      </c>
      <c r="P367" s="29" t="n"/>
      <c r="Q367" s="30">
        <f>IF(COUNT(C367:M367)&gt;0,1,0)</f>
        <v/>
      </c>
    </row>
    <row r="368">
      <c r="A368" s="25">
        <f>A367+1</f>
        <v/>
      </c>
      <c r="B368" s="26">
        <f>IF(A368="","",TEXT(A368,"ddd"))</f>
        <v/>
      </c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1" t="n"/>
      <c r="M368" s="21" t="n"/>
      <c r="N368" s="27" t="n"/>
      <c r="O368" s="28">
        <f>IF($Q368=0,"",IF(C368&gt;=C$2,1,0)+IF(D368&gt;=D$2,1,0)+IF(E368&gt;=E$2,1,0)+IF(F368&gt;=F$2,1,0))</f>
        <v/>
      </c>
      <c r="P368" s="29" t="n"/>
      <c r="Q368" s="30">
        <f>IF(COUNT(C368:M368)&gt;0,1,0)</f>
        <v/>
      </c>
    </row>
    <row r="369">
      <c r="A369" s="25">
        <f>A368+1</f>
        <v/>
      </c>
      <c r="B369" s="26">
        <f>IF(A369="","",TEXT(A369,"ddd"))</f>
        <v/>
      </c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1" t="n"/>
      <c r="M369" s="21" t="n"/>
      <c r="N369" s="27" t="n"/>
      <c r="O369" s="28">
        <f>IF($Q369=0,"",IF(C369&gt;=C$2,1,0)+IF(D369&gt;=D$2,1,0)+IF(E369&gt;=E$2,1,0)+IF(F369&gt;=F$2,1,0))</f>
        <v/>
      </c>
      <c r="P369" s="29" t="n"/>
      <c r="Q369" s="30">
        <f>IF(COUNT(C369:M369)&gt;0,1,0)</f>
        <v/>
      </c>
    </row>
  </sheetData>
  <mergeCells count="2">
    <mergeCell ref="A1:Q1"/>
    <mergeCell ref="H2:P2"/>
  </mergeCells>
  <conditionalFormatting sqref="C4:F369">
    <cfRule type="expression" priority="1" dxfId="0" stopIfTrue="0">
      <formula>AND($Q4=1,C4&gt;=C$2)</formula>
    </cfRule>
    <cfRule type="expression" priority="2" dxfId="1" stopIfTrue="0">
      <formula>AND($Q4=1,C4&lt;C$2)</formula>
    </cfRule>
  </conditionalFormatting>
  <conditionalFormatting sqref="O4:O369">
    <cfRule type="expression" priority="3" dxfId="2" stopIfTrue="0">
      <formula>$O4=4</formula>
    </cfRule>
    <cfRule type="expression" priority="4" dxfId="3" stopIfTrue="0">
      <formula>AND($Q4=1,$O4&lt;2)</formula>
    </cfRule>
  </conditionalFormatting>
  <dataValidations count="2">
    <dataValidation sqref="C4:C369 D4:D369 E4:E369 F4:F369 G4:G369 H4:H369 I4:I369 J4:J369 K4:K369 N4:N369" showDropDown="0" showInputMessage="0" showErrorMessage="1" allowBlank="1" errorTitle="Whole numbers only" error="Enter a whole number of 0 or more." type="whole" operator="greaterThanOrEqual">
      <formula1>0</formula1>
    </dataValidation>
    <dataValidation sqref="L4:L369 M4:M369" showDropDown="0" showInputMessage="0" showErrorMessage="1" allowBlank="1" errorTitle="Amount only" error="Enter a dollar amount of 0 or more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B1916"/>
    <outlinePr summaryBelow="1" summaryRight="1"/>
    <pageSetUpPr/>
  </sheetPr>
  <dimension ref="A1:J4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6" customWidth="1" min="8" max="8"/>
    <col width="6" customWidth="1" min="9" max="9"/>
    <col width="13" customWidth="1" min="10" max="10"/>
  </cols>
  <sheetData>
    <row r="1" ht="30" customHeight="1">
      <c r="A1" s="1" t="inlineStr">
        <is>
          <t>KPI DASHBOARD</t>
        </is>
      </c>
    </row>
    <row r="2" ht="18" customHeight="1">
      <c r="A2" s="2" t="inlineStr">
        <is>
          <t>100% automatic — it reads your Daily Log. If a number looks wrong, the fix is in the Daily Log.</t>
        </is>
      </c>
    </row>
    <row r="4" ht="20" customHeight="1">
      <c r="B4" s="31" t="inlineStr">
        <is>
          <t>This Week</t>
        </is>
      </c>
      <c r="C4" s="31" t="inlineStr">
        <is>
          <t>Last Week</t>
        </is>
      </c>
      <c r="D4" s="31" t="inlineStr">
        <is>
          <t>This Month</t>
        </is>
      </c>
      <c r="E4" s="31" t="inlineStr">
        <is>
          <t>Last Month</t>
        </is>
      </c>
      <c r="F4" s="31" t="inlineStr">
        <is>
          <t>All Time</t>
        </is>
      </c>
      <c r="H4" s="31" t="inlineStr">
        <is>
          <t>THIS MONTH vs GOAL</t>
        </is>
      </c>
    </row>
    <row r="5">
      <c r="B5" s="32">
        <f>TEXT(B6,"d mmm")&amp;" – "&amp;TEXT(B7,"d mmm")</f>
        <v/>
      </c>
      <c r="C5" s="32">
        <f>TEXT(C6,"d mmm")&amp;" – "&amp;TEXT(C7,"d mmm")</f>
        <v/>
      </c>
      <c r="D5" s="32">
        <f>TEXT(D6,"d mmm")&amp;" – "&amp;TEXT(D7,"d mmm")</f>
        <v/>
      </c>
      <c r="E5" s="32">
        <f>TEXT(E6,"d mmm")&amp;" – "&amp;TEXT(E7,"d mmm")</f>
        <v/>
      </c>
      <c r="F5" s="32">
        <f>TEXT(F6,"d mmm")&amp;" – "&amp;TEXT(F7,"d mmm")</f>
        <v/>
      </c>
      <c r="H5" s="33" t="inlineStr">
        <is>
          <t>Cash goal</t>
        </is>
      </c>
      <c r="J5" s="34">
        <f>Setup!$C$18</f>
        <v/>
      </c>
    </row>
    <row r="6">
      <c r="A6" s="35" t="inlineStr">
        <is>
          <t>Period start</t>
        </is>
      </c>
      <c r="B6" s="36">
        <f>TODAY()-WEEKDAY(TODAY(),2)+1</f>
        <v/>
      </c>
      <c r="C6" s="36">
        <f>B6-7</f>
        <v/>
      </c>
      <c r="D6" s="36">
        <f>DATE(YEAR(TODAY()),MONTH(TODAY()),1)</f>
        <v/>
      </c>
      <c r="E6" s="36">
        <f>EOMONTH(TODAY(),-2)+1</f>
        <v/>
      </c>
      <c r="F6" s="36">
        <f>Setup!$C$8</f>
        <v/>
      </c>
      <c r="H6" s="33" t="inlineStr">
        <is>
          <t>Collected so far</t>
        </is>
      </c>
      <c r="J6" s="34">
        <f>D23</f>
        <v/>
      </c>
    </row>
    <row r="7">
      <c r="A7" s="35" t="inlineStr">
        <is>
          <t>Period end</t>
        </is>
      </c>
      <c r="B7" s="36">
        <f>TODAY()</f>
        <v/>
      </c>
      <c r="C7" s="36">
        <f>B6-1</f>
        <v/>
      </c>
      <c r="D7" s="36">
        <f>TODAY()</f>
        <v/>
      </c>
      <c r="E7" s="36">
        <f>EOMONTH(TODAY(),-1)</f>
        <v/>
      </c>
      <c r="F7" s="36">
        <f>TODAY()</f>
        <v/>
      </c>
      <c r="H7" s="33" t="inlineStr">
        <is>
          <t>% of goal</t>
        </is>
      </c>
      <c r="J7" s="37">
        <f>IFERROR(D23/Setup!$C$18,"")</f>
        <v/>
      </c>
    </row>
    <row r="8">
      <c r="H8" s="33" t="inlineStr">
        <is>
          <t>Days left in month</t>
        </is>
      </c>
      <c r="J8" s="38">
        <f>EOMONTH(TODAY(),0)-TODAY()</f>
        <v/>
      </c>
    </row>
    <row r="9">
      <c r="A9" s="5" t="inlineStr">
        <is>
          <t>ACTIVITY — what you put in</t>
        </is>
      </c>
    </row>
    <row r="10">
      <c r="A10" s="39" t="inlineStr">
        <is>
          <t>Days Logged</t>
        </is>
      </c>
      <c r="B10" s="40">
        <f>SUMIFS('Daily Log'!$Q$4:$Q$369,'Daily Log'!$A$4:$A$369,"&gt;="&amp;B$6,'Daily Log'!$A$4:$A$369,"&lt;="&amp;B$7)</f>
        <v/>
      </c>
      <c r="C10" s="40">
        <f>SUMIFS('Daily Log'!$Q$4:$Q$369,'Daily Log'!$A$4:$A$369,"&gt;="&amp;C$6,'Daily Log'!$A$4:$A$369,"&lt;="&amp;C$7)</f>
        <v/>
      </c>
      <c r="D10" s="40">
        <f>SUMIFS('Daily Log'!$Q$4:$Q$369,'Daily Log'!$A$4:$A$369,"&gt;="&amp;D$6,'Daily Log'!$A$4:$A$369,"&lt;="&amp;D$7)</f>
        <v/>
      </c>
      <c r="E10" s="40">
        <f>SUMIFS('Daily Log'!$Q$4:$Q$369,'Daily Log'!$A$4:$A$369,"&gt;="&amp;E$6,'Daily Log'!$A$4:$A$369,"&lt;="&amp;E$7)</f>
        <v/>
      </c>
      <c r="F10" s="40">
        <f>SUMIFS('Daily Log'!$Q$4:$Q$369,'Daily Log'!$A$4:$A$369,"&gt;="&amp;F$6,'Daily Log'!$A$4:$A$369,"&lt;="&amp;F$7)</f>
        <v/>
      </c>
    </row>
    <row r="11">
      <c r="A11" s="39" t="inlineStr">
        <is>
          <t>Reels / Posts</t>
        </is>
      </c>
      <c r="B11" s="40">
        <f>SUMIFS('Daily Log'!$C$4:$C$369,'Daily Log'!$A$4:$A$369,"&gt;="&amp;B$6,'Daily Log'!$A$4:$A$369,"&lt;="&amp;B$7)</f>
        <v/>
      </c>
      <c r="C11" s="40">
        <f>SUMIFS('Daily Log'!$C$4:$C$369,'Daily Log'!$A$4:$A$369,"&gt;="&amp;C$6,'Daily Log'!$A$4:$A$369,"&lt;="&amp;C$7)</f>
        <v/>
      </c>
      <c r="D11" s="40">
        <f>SUMIFS('Daily Log'!$C$4:$C$369,'Daily Log'!$A$4:$A$369,"&gt;="&amp;D$6,'Daily Log'!$A$4:$A$369,"&lt;="&amp;D$7)</f>
        <v/>
      </c>
      <c r="E11" s="40">
        <f>SUMIFS('Daily Log'!$C$4:$C$369,'Daily Log'!$A$4:$A$369,"&gt;="&amp;E$6,'Daily Log'!$A$4:$A$369,"&lt;="&amp;E$7)</f>
        <v/>
      </c>
      <c r="F11" s="40">
        <f>SUMIFS('Daily Log'!$C$4:$C$369,'Daily Log'!$A$4:$A$369,"&gt;="&amp;F$6,'Daily Log'!$A$4:$A$369,"&lt;="&amp;F$7)</f>
        <v/>
      </c>
    </row>
    <row r="12">
      <c r="A12" s="39" t="inlineStr">
        <is>
          <t>Stories</t>
        </is>
      </c>
      <c r="B12" s="40">
        <f>SUMIFS('Daily Log'!$D$4:$D$369,'Daily Log'!$A$4:$A$369,"&gt;="&amp;B$6,'Daily Log'!$A$4:$A$369,"&lt;="&amp;B$7)</f>
        <v/>
      </c>
      <c r="C12" s="40">
        <f>SUMIFS('Daily Log'!$D$4:$D$369,'Daily Log'!$A$4:$A$369,"&gt;="&amp;C$6,'Daily Log'!$A$4:$A$369,"&lt;="&amp;C$7)</f>
        <v/>
      </c>
      <c r="D12" s="40">
        <f>SUMIFS('Daily Log'!$D$4:$D$369,'Daily Log'!$A$4:$A$369,"&gt;="&amp;D$6,'Daily Log'!$A$4:$A$369,"&lt;="&amp;D$7)</f>
        <v/>
      </c>
      <c r="E12" s="40">
        <f>SUMIFS('Daily Log'!$D$4:$D$369,'Daily Log'!$A$4:$A$369,"&gt;="&amp;E$6,'Daily Log'!$A$4:$A$369,"&lt;="&amp;E$7)</f>
        <v/>
      </c>
      <c r="F12" s="40">
        <f>SUMIFS('Daily Log'!$D$4:$D$369,'Daily Log'!$A$4:$A$369,"&gt;="&amp;F$6,'Daily Log'!$A$4:$A$369,"&lt;="&amp;F$7)</f>
        <v/>
      </c>
    </row>
    <row r="13">
      <c r="A13" s="39" t="inlineStr">
        <is>
          <t>Opener DMs Sent</t>
        </is>
      </c>
      <c r="B13" s="40">
        <f>SUMIFS('Daily Log'!$E$4:$E$369,'Daily Log'!$A$4:$A$369,"&gt;="&amp;B$6,'Daily Log'!$A$4:$A$369,"&lt;="&amp;B$7)</f>
        <v/>
      </c>
      <c r="C13" s="40">
        <f>SUMIFS('Daily Log'!$E$4:$E$369,'Daily Log'!$A$4:$A$369,"&gt;="&amp;C$6,'Daily Log'!$A$4:$A$369,"&lt;="&amp;C$7)</f>
        <v/>
      </c>
      <c r="D13" s="40">
        <f>SUMIFS('Daily Log'!$E$4:$E$369,'Daily Log'!$A$4:$A$369,"&gt;="&amp;D$6,'Daily Log'!$A$4:$A$369,"&lt;="&amp;D$7)</f>
        <v/>
      </c>
      <c r="E13" s="40">
        <f>SUMIFS('Daily Log'!$E$4:$E$369,'Daily Log'!$A$4:$A$369,"&gt;="&amp;E$6,'Daily Log'!$A$4:$A$369,"&lt;="&amp;E$7)</f>
        <v/>
      </c>
      <c r="F13" s="40">
        <f>SUMIFS('Daily Log'!$E$4:$E$369,'Daily Log'!$A$4:$A$369,"&gt;="&amp;F$6,'Daily Log'!$A$4:$A$369,"&lt;="&amp;F$7)</f>
        <v/>
      </c>
    </row>
    <row r="14">
      <c r="A14" s="39" t="inlineStr">
        <is>
          <t>Follow-Up DMs Sent</t>
        </is>
      </c>
      <c r="B14" s="40">
        <f>SUMIFS('Daily Log'!$F$4:$F$369,'Daily Log'!$A$4:$A$369,"&gt;="&amp;B$6,'Daily Log'!$A$4:$A$369,"&lt;="&amp;B$7)</f>
        <v/>
      </c>
      <c r="C14" s="40">
        <f>SUMIFS('Daily Log'!$F$4:$F$369,'Daily Log'!$A$4:$A$369,"&gt;="&amp;C$6,'Daily Log'!$A$4:$A$369,"&lt;="&amp;C$7)</f>
        <v/>
      </c>
      <c r="D14" s="40">
        <f>SUMIFS('Daily Log'!$F$4:$F$369,'Daily Log'!$A$4:$A$369,"&gt;="&amp;D$6,'Daily Log'!$A$4:$A$369,"&lt;="&amp;D$7)</f>
        <v/>
      </c>
      <c r="E14" s="40">
        <f>SUMIFS('Daily Log'!$F$4:$F$369,'Daily Log'!$A$4:$A$369,"&gt;="&amp;E$6,'Daily Log'!$A$4:$A$369,"&lt;="&amp;E$7)</f>
        <v/>
      </c>
      <c r="F14" s="40">
        <f>SUMIFS('Daily Log'!$F$4:$F$369,'Daily Log'!$A$4:$A$369,"&gt;="&amp;F$6,'Daily Log'!$A$4:$A$369,"&lt;="&amp;F$7)</f>
        <v/>
      </c>
    </row>
    <row r="15">
      <c r="A15" s="41" t="inlineStr">
        <is>
          <t>Total DMs Sent</t>
        </is>
      </c>
      <c r="B15" s="42">
        <f>B13+B14</f>
        <v/>
      </c>
      <c r="C15" s="42">
        <f>C13+C14</f>
        <v/>
      </c>
      <c r="D15" s="42">
        <f>D13+D14</f>
        <v/>
      </c>
      <c r="E15" s="42">
        <f>E13+E14</f>
        <v/>
      </c>
      <c r="F15" s="42">
        <f>F13+F14</f>
        <v/>
      </c>
    </row>
    <row r="16">
      <c r="A16" s="39" t="inlineStr">
        <is>
          <t>Replies</t>
        </is>
      </c>
      <c r="B16" s="40">
        <f>SUMIFS('Daily Log'!$G$4:$G$369,'Daily Log'!$A$4:$A$369,"&gt;="&amp;B$6,'Daily Log'!$A$4:$A$369,"&lt;="&amp;B$7)</f>
        <v/>
      </c>
      <c r="C16" s="40">
        <f>SUMIFS('Daily Log'!$G$4:$G$369,'Daily Log'!$A$4:$A$369,"&gt;="&amp;C$6,'Daily Log'!$A$4:$A$369,"&lt;="&amp;C$7)</f>
        <v/>
      </c>
      <c r="D16" s="40">
        <f>SUMIFS('Daily Log'!$G$4:$G$369,'Daily Log'!$A$4:$A$369,"&gt;="&amp;D$6,'Daily Log'!$A$4:$A$369,"&lt;="&amp;D$7)</f>
        <v/>
      </c>
      <c r="E16" s="40">
        <f>SUMIFS('Daily Log'!$G$4:$G$369,'Daily Log'!$A$4:$A$369,"&gt;="&amp;E$6,'Daily Log'!$A$4:$A$369,"&lt;="&amp;E$7)</f>
        <v/>
      </c>
      <c r="F16" s="40">
        <f>SUMIFS('Daily Log'!$G$4:$G$369,'Daily Log'!$A$4:$A$369,"&gt;="&amp;F$6,'Daily Log'!$A$4:$A$369,"&lt;="&amp;F$7)</f>
        <v/>
      </c>
    </row>
    <row r="18">
      <c r="A18" s="5" t="inlineStr">
        <is>
          <t>SALES — what it turned into</t>
        </is>
      </c>
    </row>
    <row r="19">
      <c r="A19" s="39" t="inlineStr">
        <is>
          <t>Calls Pitched</t>
        </is>
      </c>
      <c r="B19" s="40">
        <f>SUMIFS('Daily Log'!$H$4:$H$369,'Daily Log'!$A$4:$A$369,"&gt;="&amp;B$6,'Daily Log'!$A$4:$A$369,"&lt;="&amp;B$7)</f>
        <v/>
      </c>
      <c r="C19" s="40">
        <f>SUMIFS('Daily Log'!$H$4:$H$369,'Daily Log'!$A$4:$A$369,"&gt;="&amp;C$6,'Daily Log'!$A$4:$A$369,"&lt;="&amp;C$7)</f>
        <v/>
      </c>
      <c r="D19" s="40">
        <f>SUMIFS('Daily Log'!$H$4:$H$369,'Daily Log'!$A$4:$A$369,"&gt;="&amp;D$6,'Daily Log'!$A$4:$A$369,"&lt;="&amp;D$7)</f>
        <v/>
      </c>
      <c r="E19" s="40">
        <f>SUMIFS('Daily Log'!$H$4:$H$369,'Daily Log'!$A$4:$A$369,"&gt;="&amp;E$6,'Daily Log'!$A$4:$A$369,"&lt;="&amp;E$7)</f>
        <v/>
      </c>
      <c r="F19" s="40">
        <f>SUMIFS('Daily Log'!$H$4:$H$369,'Daily Log'!$A$4:$A$369,"&gt;="&amp;F$6,'Daily Log'!$A$4:$A$369,"&lt;="&amp;F$7)</f>
        <v/>
      </c>
    </row>
    <row r="20">
      <c r="A20" s="39" t="inlineStr">
        <is>
          <t>Calls Booked</t>
        </is>
      </c>
      <c r="B20" s="40">
        <f>SUMIFS('Daily Log'!$I$4:$I$369,'Daily Log'!$A$4:$A$369,"&gt;="&amp;B$6,'Daily Log'!$A$4:$A$369,"&lt;="&amp;B$7)</f>
        <v/>
      </c>
      <c r="C20" s="40">
        <f>SUMIFS('Daily Log'!$I$4:$I$369,'Daily Log'!$A$4:$A$369,"&gt;="&amp;C$6,'Daily Log'!$A$4:$A$369,"&lt;="&amp;C$7)</f>
        <v/>
      </c>
      <c r="D20" s="40">
        <f>SUMIFS('Daily Log'!$I$4:$I$369,'Daily Log'!$A$4:$A$369,"&gt;="&amp;D$6,'Daily Log'!$A$4:$A$369,"&lt;="&amp;D$7)</f>
        <v/>
      </c>
      <c r="E20" s="40">
        <f>SUMIFS('Daily Log'!$I$4:$I$369,'Daily Log'!$A$4:$A$369,"&gt;="&amp;E$6,'Daily Log'!$A$4:$A$369,"&lt;="&amp;E$7)</f>
        <v/>
      </c>
      <c r="F20" s="40">
        <f>SUMIFS('Daily Log'!$I$4:$I$369,'Daily Log'!$A$4:$A$369,"&gt;="&amp;F$6,'Daily Log'!$A$4:$A$369,"&lt;="&amp;F$7)</f>
        <v/>
      </c>
    </row>
    <row r="21">
      <c r="A21" s="39" t="inlineStr">
        <is>
          <t>Calls Showed</t>
        </is>
      </c>
      <c r="B21" s="40">
        <f>SUMIFS('Daily Log'!$J$4:$J$369,'Daily Log'!$A$4:$A$369,"&gt;="&amp;B$6,'Daily Log'!$A$4:$A$369,"&lt;="&amp;B$7)</f>
        <v/>
      </c>
      <c r="C21" s="40">
        <f>SUMIFS('Daily Log'!$J$4:$J$369,'Daily Log'!$A$4:$A$369,"&gt;="&amp;C$6,'Daily Log'!$A$4:$A$369,"&lt;="&amp;C$7)</f>
        <v/>
      </c>
      <c r="D21" s="40">
        <f>SUMIFS('Daily Log'!$J$4:$J$369,'Daily Log'!$A$4:$A$369,"&gt;="&amp;D$6,'Daily Log'!$A$4:$A$369,"&lt;="&amp;D$7)</f>
        <v/>
      </c>
      <c r="E21" s="40">
        <f>SUMIFS('Daily Log'!$J$4:$J$369,'Daily Log'!$A$4:$A$369,"&gt;="&amp;E$6,'Daily Log'!$A$4:$A$369,"&lt;="&amp;E$7)</f>
        <v/>
      </c>
      <c r="F21" s="40">
        <f>SUMIFS('Daily Log'!$J$4:$J$369,'Daily Log'!$A$4:$A$369,"&gt;="&amp;F$6,'Daily Log'!$A$4:$A$369,"&lt;="&amp;F$7)</f>
        <v/>
      </c>
    </row>
    <row r="22">
      <c r="A22" s="39" t="inlineStr">
        <is>
          <t>Closes</t>
        </is>
      </c>
      <c r="B22" s="40">
        <f>SUMIFS('Daily Log'!$K$4:$K$369,'Daily Log'!$A$4:$A$369,"&gt;="&amp;B$6,'Daily Log'!$A$4:$A$369,"&lt;="&amp;B$7)</f>
        <v/>
      </c>
      <c r="C22" s="40">
        <f>SUMIFS('Daily Log'!$K$4:$K$369,'Daily Log'!$A$4:$A$369,"&gt;="&amp;C$6,'Daily Log'!$A$4:$A$369,"&lt;="&amp;C$7)</f>
        <v/>
      </c>
      <c r="D22" s="40">
        <f>SUMIFS('Daily Log'!$K$4:$K$369,'Daily Log'!$A$4:$A$369,"&gt;="&amp;D$6,'Daily Log'!$A$4:$A$369,"&lt;="&amp;D$7)</f>
        <v/>
      </c>
      <c r="E22" s="40">
        <f>SUMIFS('Daily Log'!$K$4:$K$369,'Daily Log'!$A$4:$A$369,"&gt;="&amp;E$6,'Daily Log'!$A$4:$A$369,"&lt;="&amp;E$7)</f>
        <v/>
      </c>
      <c r="F22" s="40">
        <f>SUMIFS('Daily Log'!$K$4:$K$369,'Daily Log'!$A$4:$A$369,"&gt;="&amp;F$6,'Daily Log'!$A$4:$A$369,"&lt;="&amp;F$7)</f>
        <v/>
      </c>
    </row>
    <row r="23">
      <c r="A23" s="41" t="inlineStr">
        <is>
          <t>Cash Collected</t>
        </is>
      </c>
      <c r="B23" s="43">
        <f>SUMIFS('Daily Log'!$L$4:$L$369,'Daily Log'!$A$4:$A$369,"&gt;="&amp;B$6,'Daily Log'!$A$4:$A$369,"&lt;="&amp;B$7)</f>
        <v/>
      </c>
      <c r="C23" s="43">
        <f>SUMIFS('Daily Log'!$L$4:$L$369,'Daily Log'!$A$4:$A$369,"&gt;="&amp;C$6,'Daily Log'!$A$4:$A$369,"&lt;="&amp;C$7)</f>
        <v/>
      </c>
      <c r="D23" s="43">
        <f>SUMIFS('Daily Log'!$L$4:$L$369,'Daily Log'!$A$4:$A$369,"&gt;="&amp;D$6,'Daily Log'!$A$4:$A$369,"&lt;="&amp;D$7)</f>
        <v/>
      </c>
      <c r="E23" s="43">
        <f>SUMIFS('Daily Log'!$L$4:$L$369,'Daily Log'!$A$4:$A$369,"&gt;="&amp;E$6,'Daily Log'!$A$4:$A$369,"&lt;="&amp;E$7)</f>
        <v/>
      </c>
      <c r="F23" s="43">
        <f>SUMIFS('Daily Log'!$L$4:$L$369,'Daily Log'!$A$4:$A$369,"&gt;="&amp;F$6,'Daily Log'!$A$4:$A$369,"&lt;="&amp;F$7)</f>
        <v/>
      </c>
    </row>
    <row r="24">
      <c r="A24" s="39" t="inlineStr">
        <is>
          <t>Revenue Generated</t>
        </is>
      </c>
      <c r="B24" s="44">
        <f>SUMIFS('Daily Log'!$M$4:$M$369,'Daily Log'!$A$4:$A$369,"&gt;="&amp;B$6,'Daily Log'!$A$4:$A$369,"&lt;="&amp;B$7)</f>
        <v/>
      </c>
      <c r="C24" s="44">
        <f>SUMIFS('Daily Log'!$M$4:$M$369,'Daily Log'!$A$4:$A$369,"&gt;="&amp;C$6,'Daily Log'!$A$4:$A$369,"&lt;="&amp;C$7)</f>
        <v/>
      </c>
      <c r="D24" s="44">
        <f>SUMIFS('Daily Log'!$M$4:$M$369,'Daily Log'!$A$4:$A$369,"&gt;="&amp;D$6,'Daily Log'!$A$4:$A$369,"&lt;="&amp;D$7)</f>
        <v/>
      </c>
      <c r="E24" s="44">
        <f>SUMIFS('Daily Log'!$M$4:$M$369,'Daily Log'!$A$4:$A$369,"&gt;="&amp;E$6,'Daily Log'!$A$4:$A$369,"&lt;="&amp;E$7)</f>
        <v/>
      </c>
      <c r="F24" s="44">
        <f>SUMIFS('Daily Log'!$M$4:$M$369,'Daily Log'!$A$4:$A$369,"&gt;="&amp;F$6,'Daily Log'!$A$4:$A$369,"&lt;="&amp;F$7)</f>
        <v/>
      </c>
    </row>
    <row r="26">
      <c r="A26" s="5" t="inlineStr">
        <is>
          <t>CONVERSION RATES — where you're actually leaking</t>
        </is>
      </c>
    </row>
    <row r="27">
      <c r="A27" s="39" t="inlineStr">
        <is>
          <t>Reply Rate (replies ÷ DMs sent)</t>
        </is>
      </c>
      <c r="B27" s="45">
        <f>IFERROR(B16/B15,"")</f>
        <v/>
      </c>
      <c r="C27" s="45">
        <f>IFERROR(C16/C15,"")</f>
        <v/>
      </c>
      <c r="D27" s="45">
        <f>IFERROR(D16/D15,"")</f>
        <v/>
      </c>
      <c r="E27" s="45">
        <f>IFERROR(E16/E15,"")</f>
        <v/>
      </c>
      <c r="F27" s="45">
        <f>IFERROR(F16/F15,"")</f>
        <v/>
      </c>
    </row>
    <row r="28">
      <c r="A28" s="39" t="inlineStr">
        <is>
          <t>Pitch Rate (pitched ÷ replies)</t>
        </is>
      </c>
      <c r="B28" s="45">
        <f>IFERROR(B19/B16,"")</f>
        <v/>
      </c>
      <c r="C28" s="45">
        <f>IFERROR(C19/C16,"")</f>
        <v/>
      </c>
      <c r="D28" s="45">
        <f>IFERROR(D19/D16,"")</f>
        <v/>
      </c>
      <c r="E28" s="45">
        <f>IFERROR(E19/E16,"")</f>
        <v/>
      </c>
      <c r="F28" s="45">
        <f>IFERROR(F19/F16,"")</f>
        <v/>
      </c>
    </row>
    <row r="29">
      <c r="A29" s="39" t="inlineStr">
        <is>
          <t>Book Rate (booked ÷ pitched)</t>
        </is>
      </c>
      <c r="B29" s="45">
        <f>IFERROR(B20/B19,"")</f>
        <v/>
      </c>
      <c r="C29" s="45">
        <f>IFERROR(C20/C19,"")</f>
        <v/>
      </c>
      <c r="D29" s="45">
        <f>IFERROR(D20/D19,"")</f>
        <v/>
      </c>
      <c r="E29" s="45">
        <f>IFERROR(E20/E19,"")</f>
        <v/>
      </c>
      <c r="F29" s="45">
        <f>IFERROR(F20/F19,"")</f>
        <v/>
      </c>
    </row>
    <row r="30">
      <c r="A30" s="39" t="inlineStr">
        <is>
          <t>Show Rate (showed ÷ booked)</t>
        </is>
      </c>
      <c r="B30" s="45">
        <f>IFERROR(B21/B20,"")</f>
        <v/>
      </c>
      <c r="C30" s="45">
        <f>IFERROR(C21/C20,"")</f>
        <v/>
      </c>
      <c r="D30" s="45">
        <f>IFERROR(D21/D20,"")</f>
        <v/>
      </c>
      <c r="E30" s="45">
        <f>IFERROR(E21/E20,"")</f>
        <v/>
      </c>
      <c r="F30" s="45">
        <f>IFERROR(F21/F20,"")</f>
        <v/>
      </c>
    </row>
    <row r="31">
      <c r="A31" s="39" t="inlineStr">
        <is>
          <t>Close Rate (closes ÷ showed)</t>
        </is>
      </c>
      <c r="B31" s="45">
        <f>IFERROR(B22/B21,"")</f>
        <v/>
      </c>
      <c r="C31" s="45">
        <f>IFERROR(C22/C21,"")</f>
        <v/>
      </c>
      <c r="D31" s="45">
        <f>IFERROR(D22/D21,"")</f>
        <v/>
      </c>
      <c r="E31" s="45">
        <f>IFERROR(E22/E21,"")</f>
        <v/>
      </c>
      <c r="F31" s="45">
        <f>IFERROR(F22/F21,"")</f>
        <v/>
      </c>
    </row>
    <row r="32">
      <c r="A32" s="39" t="inlineStr">
        <is>
          <t>DMs per Call Booked</t>
        </is>
      </c>
      <c r="B32" s="46">
        <f>IFERROR(B15/B20,"")</f>
        <v/>
      </c>
      <c r="C32" s="46">
        <f>IFERROR(C15/C20,"")</f>
        <v/>
      </c>
      <c r="D32" s="46">
        <f>IFERROR(D15/D20,"")</f>
        <v/>
      </c>
      <c r="E32" s="46">
        <f>IFERROR(E15/E20,"")</f>
        <v/>
      </c>
      <c r="F32" s="46">
        <f>IFERROR(F15/F20,"")</f>
        <v/>
      </c>
    </row>
    <row r="33">
      <c r="A33" s="39" t="inlineStr">
        <is>
          <t>Cash per Call Booked</t>
        </is>
      </c>
      <c r="B33" s="44">
        <f>IFERROR(B23/B20,"")</f>
        <v/>
      </c>
      <c r="C33" s="44">
        <f>IFERROR(C23/C20,"")</f>
        <v/>
      </c>
      <c r="D33" s="44">
        <f>IFERROR(D23/D20,"")</f>
        <v/>
      </c>
      <c r="E33" s="44">
        <f>IFERROR(E23/E20,"")</f>
        <v/>
      </c>
      <c r="F33" s="44">
        <f>IFERROR(F23/F20,"")</f>
        <v/>
      </c>
    </row>
    <row r="34">
      <c r="A34" s="41" t="inlineStr">
        <is>
          <t>Cash per 100 DMs Sent</t>
        </is>
      </c>
      <c r="B34" s="43">
        <f>IFERROR(B23/B15*100,"")</f>
        <v/>
      </c>
      <c r="C34" s="43">
        <f>IFERROR(C23/C15*100,"")</f>
        <v/>
      </c>
      <c r="D34" s="43">
        <f>IFERROR(D23/D15*100,"")</f>
        <v/>
      </c>
      <c r="E34" s="43">
        <f>IFERROR(E23/E15*100,"")</f>
        <v/>
      </c>
      <c r="F34" s="43">
        <f>IFERROR(F23/F15*100,"")</f>
        <v/>
      </c>
    </row>
    <row r="36">
      <c r="A36" s="5" t="inlineStr">
        <is>
          <t>DAILY STANDARDS — are you holding the line?</t>
        </is>
      </c>
      <c r="G36" s="14" t="inlineStr">
        <is>
          <t>Target</t>
        </is>
      </c>
    </row>
    <row r="37">
      <c r="A37" s="39" t="inlineStr">
        <is>
          <t>Avg Reels / day</t>
        </is>
      </c>
      <c r="B37" s="46">
        <f>IFERROR(B11/B10,"")</f>
        <v/>
      </c>
      <c r="C37" s="46">
        <f>IFERROR(C11/C10,"")</f>
        <v/>
      </c>
      <c r="D37" s="46">
        <f>IFERROR(D11/D10,"")</f>
        <v/>
      </c>
      <c r="E37" s="46">
        <f>IFERROR(E11/E10,"")</f>
        <v/>
      </c>
      <c r="F37" s="46">
        <f>IFERROR(F11/F10,"")</f>
        <v/>
      </c>
      <c r="G37" s="47">
        <f>Setup!$C$12</f>
        <v/>
      </c>
    </row>
    <row r="38">
      <c r="A38" s="39" t="inlineStr">
        <is>
          <t>Avg Stories / day</t>
        </is>
      </c>
      <c r="B38" s="46">
        <f>IFERROR(B12/B10,"")</f>
        <v/>
      </c>
      <c r="C38" s="46">
        <f>IFERROR(C12/C10,"")</f>
        <v/>
      </c>
      <c r="D38" s="46">
        <f>IFERROR(D12/D10,"")</f>
        <v/>
      </c>
      <c r="E38" s="46">
        <f>IFERROR(E12/E10,"")</f>
        <v/>
      </c>
      <c r="F38" s="46">
        <f>IFERROR(F12/F10,"")</f>
        <v/>
      </c>
      <c r="G38" s="47">
        <f>Setup!$C$13</f>
        <v/>
      </c>
    </row>
    <row r="39">
      <c r="A39" s="39" t="inlineStr">
        <is>
          <t>Avg Opener DMs / day</t>
        </is>
      </c>
      <c r="B39" s="46">
        <f>IFERROR(B13/B10,"")</f>
        <v/>
      </c>
      <c r="C39" s="46">
        <f>IFERROR(C13/C10,"")</f>
        <v/>
      </c>
      <c r="D39" s="46">
        <f>IFERROR(D13/D10,"")</f>
        <v/>
      </c>
      <c r="E39" s="46">
        <f>IFERROR(E13/E10,"")</f>
        <v/>
      </c>
      <c r="F39" s="46">
        <f>IFERROR(F13/F10,"")</f>
        <v/>
      </c>
      <c r="G39" s="47">
        <f>Setup!$C$14</f>
        <v/>
      </c>
    </row>
    <row r="40">
      <c r="A40" s="39" t="inlineStr">
        <is>
          <t>Avg Follow-Up DMs / day</t>
        </is>
      </c>
      <c r="B40" s="46">
        <f>IFERROR(B14/B10,"")</f>
        <v/>
      </c>
      <c r="C40" s="46">
        <f>IFERROR(C14/C10,"")</f>
        <v/>
      </c>
      <c r="D40" s="46">
        <f>IFERROR(D14/D10,"")</f>
        <v/>
      </c>
      <c r="E40" s="46">
        <f>IFERROR(E14/E10,"")</f>
        <v/>
      </c>
      <c r="F40" s="46">
        <f>IFERROR(F14/F10,"")</f>
        <v/>
      </c>
      <c r="G40" s="47">
        <f>Setup!$C$15</f>
        <v/>
      </c>
    </row>
    <row r="41">
      <c r="A41" s="39" t="inlineStr">
        <is>
          <t>Perfect Days (all 4 standards hit)</t>
        </is>
      </c>
      <c r="B41" s="40">
        <f>COUNTIFS('Daily Log'!$A$4:$A$369,"&gt;="&amp;B$6,'Daily Log'!$A$4:$A$369,"&lt;="&amp;B$7,'Daily Log'!$O$4:$O$369,4)</f>
        <v/>
      </c>
      <c r="C41" s="40">
        <f>COUNTIFS('Daily Log'!$A$4:$A$369,"&gt;="&amp;C$6,'Daily Log'!$A$4:$A$369,"&lt;="&amp;C$7,'Daily Log'!$O$4:$O$369,4)</f>
        <v/>
      </c>
      <c r="D41" s="40">
        <f>COUNTIFS('Daily Log'!$A$4:$A$369,"&gt;="&amp;D$6,'Daily Log'!$A$4:$A$369,"&lt;="&amp;D$7,'Daily Log'!$O$4:$O$369,4)</f>
        <v/>
      </c>
      <c r="E41" s="40">
        <f>COUNTIFS('Daily Log'!$A$4:$A$369,"&gt;="&amp;E$6,'Daily Log'!$A$4:$A$369,"&lt;="&amp;E$7,'Daily Log'!$O$4:$O$369,4)</f>
        <v/>
      </c>
      <c r="F41" s="40">
        <f>COUNTIFS('Daily Log'!$A$4:$A$369,"&gt;="&amp;F$6,'Daily Log'!$A$4:$A$369,"&lt;="&amp;F$7,'Daily Log'!$O$4:$O$369,4)</f>
        <v/>
      </c>
    </row>
    <row r="42">
      <c r="A42" s="41" t="inlineStr">
        <is>
          <t>Standards Hit Rate</t>
        </is>
      </c>
      <c r="B42" s="48">
        <f>IFERROR(B41/B10,"")</f>
        <v/>
      </c>
      <c r="C42" s="48">
        <f>IFERROR(C41/C10,"")</f>
        <v/>
      </c>
      <c r="D42" s="48">
        <f>IFERROR(D41/D10,"")</f>
        <v/>
      </c>
      <c r="E42" s="48">
        <f>IFERROR(E41/E10,"")</f>
        <v/>
      </c>
      <c r="F42" s="48">
        <f>IFERROR(F41/F10,"")</f>
        <v/>
      </c>
    </row>
    <row r="44">
      <c r="A44" s="5" t="inlineStr">
        <is>
          <t>TRENDS — last 13 weeks</t>
        </is>
      </c>
    </row>
  </sheetData>
  <mergeCells count="12">
    <mergeCell ref="A44:J44"/>
    <mergeCell ref="A1:J1"/>
    <mergeCell ref="H8:I8"/>
    <mergeCell ref="H6:I6"/>
    <mergeCell ref="A36:F36"/>
    <mergeCell ref="H7:I7"/>
    <mergeCell ref="A9:F9"/>
    <mergeCell ref="H4:J4"/>
    <mergeCell ref="H5:I5"/>
    <mergeCell ref="A18:F18"/>
    <mergeCell ref="A2:J2"/>
    <mergeCell ref="A26:F26"/>
  </mergeCells>
  <conditionalFormatting sqref="B37:F40">
    <cfRule type="expression" priority="1" dxfId="2" stopIfTrue="0">
      <formula>AND(B37&lt;&gt;"",B37&gt;=$G37)</formula>
    </cfRule>
    <cfRule type="expression" priority="2" dxfId="4" stopIfTrue="0">
      <formula>AND(B37&lt;&gt;"",B37&lt;$G37)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8E8A82"/>
    <outlinePr summaryBelow="1" summaryRight="1"/>
    <pageSetUpPr/>
  </sheetPr>
  <dimension ref="A1:N72"/>
  <sheetViews>
    <sheetView showGridLines="0" workbookViewId="0">
      <pane xSplit="1" ySplit="19" topLeftCell="B2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9" customWidth="1" min="4" max="4"/>
    <col width="13" customWidth="1" min="5" max="5"/>
    <col width="11" customWidth="1" min="6" max="6"/>
    <col width="11" customWidth="1" min="7" max="7"/>
    <col width="11" customWidth="1" min="8" max="8"/>
    <col width="10" customWidth="1" min="9" max="9"/>
    <col width="9" customWidth="1" min="10" max="10"/>
    <col width="9" customWidth="1" min="11" max="11"/>
    <col width="10" customWidth="1" min="12" max="12"/>
    <col width="12" customWidth="1" min="13" max="13"/>
    <col width="30" customWidth="1" min="14" max="14"/>
  </cols>
  <sheetData>
    <row r="1" ht="30" customHeight="1">
      <c r="A1" s="1" t="inlineStr">
        <is>
          <t>INSTAGRAM TRACKER</t>
        </is>
      </c>
    </row>
    <row r="2" ht="18" customHeight="1">
      <c r="A2" s="2" t="inlineStr">
        <is>
          <t>Weekly numbers off your Professional Dashboard, plus a monthly screenshot so your coach can audit the page.</t>
        </is>
      </c>
    </row>
    <row r="4">
      <c r="A4" s="5" t="inlineStr">
        <is>
          <t>MONTHLY PROFILE CHECK — first Sunday of the month</t>
        </is>
      </c>
    </row>
    <row r="5">
      <c r="A5" s="49" t="inlineStr">
        <is>
          <t>1.  Screenshot your profile — bio, follower count and the top of your grid.</t>
        </is>
      </c>
    </row>
    <row r="6">
      <c r="A6" s="49" t="inlineStr">
        <is>
          <t>2.  Screenshot Professional Dashboard → Insights (last 30 days).</t>
        </is>
      </c>
    </row>
    <row r="7">
      <c r="A7" s="49" t="inlineStr">
        <is>
          <t>3.  Click the box below, then Insert → Image → Image in cell, and upload.</t>
        </is>
      </c>
    </row>
    <row r="9">
      <c r="A9" s="50" t="inlineStr">
        <is>
          <t>PROFILE SCREENSHOT</t>
        </is>
      </c>
      <c r="G9" s="50" t="inlineStr">
        <is>
          <t>INSIGHTS SCREENSHOT</t>
        </is>
      </c>
    </row>
    <row r="10">
      <c r="A10" s="51" t="inlineStr">
        <is>
          <t>drop image here</t>
        </is>
      </c>
      <c r="B10" s="52" t="n"/>
      <c r="C10" s="52" t="n"/>
      <c r="D10" s="52" t="n"/>
      <c r="E10" s="52" t="n"/>
      <c r="G10" s="51" t="inlineStr">
        <is>
          <t>drop image here</t>
        </is>
      </c>
      <c r="H10" s="52" t="n"/>
      <c r="I10" s="52" t="n"/>
      <c r="J10" s="52" t="n"/>
      <c r="K10" s="52" t="n"/>
    </row>
    <row r="11">
      <c r="A11" s="52" t="n"/>
      <c r="B11" s="52" t="n"/>
      <c r="C11" s="52" t="n"/>
      <c r="D11" s="52" t="n"/>
      <c r="E11" s="52" t="n"/>
      <c r="G11" s="52" t="n"/>
      <c r="H11" s="52" t="n"/>
      <c r="I11" s="52" t="n"/>
      <c r="J11" s="52" t="n"/>
      <c r="K11" s="52" t="n"/>
    </row>
    <row r="12">
      <c r="A12" s="52" t="n"/>
      <c r="B12" s="52" t="n"/>
      <c r="C12" s="52" t="n"/>
      <c r="D12" s="52" t="n"/>
      <c r="E12" s="52" t="n"/>
      <c r="G12" s="52" t="n"/>
      <c r="H12" s="52" t="n"/>
      <c r="I12" s="52" t="n"/>
      <c r="J12" s="52" t="n"/>
      <c r="K12" s="52" t="n"/>
    </row>
    <row r="13">
      <c r="A13" s="52" t="n"/>
      <c r="B13" s="52" t="n"/>
      <c r="C13" s="52" t="n"/>
      <c r="D13" s="52" t="n"/>
      <c r="E13" s="52" t="n"/>
      <c r="G13" s="52" t="n"/>
      <c r="H13" s="52" t="n"/>
      <c r="I13" s="52" t="n"/>
      <c r="J13" s="52" t="n"/>
      <c r="K13" s="52" t="n"/>
    </row>
    <row r="14">
      <c r="A14" s="52" t="n"/>
      <c r="B14" s="52" t="n"/>
      <c r="C14" s="52" t="n"/>
      <c r="D14" s="52" t="n"/>
      <c r="E14" s="52" t="n"/>
      <c r="G14" s="52" t="n"/>
      <c r="H14" s="52" t="n"/>
      <c r="I14" s="52" t="n"/>
      <c r="J14" s="52" t="n"/>
      <c r="K14" s="52" t="n"/>
    </row>
    <row r="15">
      <c r="A15" s="52" t="n"/>
      <c r="B15" s="52" t="n"/>
      <c r="C15" s="52" t="n"/>
      <c r="D15" s="52" t="n"/>
      <c r="E15" s="52" t="n"/>
      <c r="G15" s="52" t="n"/>
      <c r="H15" s="52" t="n"/>
      <c r="I15" s="52" t="n"/>
      <c r="J15" s="52" t="n"/>
      <c r="K15" s="52" t="n"/>
    </row>
    <row r="16">
      <c r="A16" s="52" t="n"/>
      <c r="B16" s="52" t="n"/>
      <c r="C16" s="52" t="n"/>
      <c r="D16" s="52" t="n"/>
      <c r="E16" s="52" t="n"/>
      <c r="G16" s="52" t="n"/>
      <c r="H16" s="52" t="n"/>
      <c r="I16" s="52" t="n"/>
      <c r="J16" s="52" t="n"/>
      <c r="K16" s="52" t="n"/>
    </row>
    <row r="18">
      <c r="A18" s="5" t="inlineStr">
        <is>
          <t>WEEKLY NUMBERS — log every Sunday night</t>
        </is>
      </c>
    </row>
    <row r="19" ht="32" customHeight="1">
      <c r="A19" s="8" t="inlineStr">
        <is>
          <t>Week Starting</t>
        </is>
      </c>
      <c r="B19" s="8" t="inlineStr">
        <is>
          <t>Followers
(end of week)</t>
        </is>
      </c>
      <c r="C19" s="8" t="inlineStr">
        <is>
          <t>Growth
(+/-)</t>
        </is>
      </c>
      <c r="D19" s="8" t="inlineStr">
        <is>
          <t>Growth
%</t>
        </is>
      </c>
      <c r="E19" s="8" t="inlineStr">
        <is>
          <t>Accounts
Reached</t>
        </is>
      </c>
      <c r="F19" s="8" t="inlineStr">
        <is>
          <t>Interactions</t>
        </is>
      </c>
      <c r="G19" s="8" t="inlineStr">
        <is>
          <t>Profile
Visits</t>
        </is>
      </c>
      <c r="H19" s="8" t="inlineStr">
        <is>
          <t>New
Followers</t>
        </is>
      </c>
      <c r="I19" s="8" t="inlineStr">
        <is>
          <t>Link
Clicks</t>
        </is>
      </c>
      <c r="J19" s="8" t="inlineStr">
        <is>
          <t>Posts
(auto)</t>
        </is>
      </c>
      <c r="K19" s="8" t="inlineStr">
        <is>
          <t>Stories
(auto)</t>
        </is>
      </c>
      <c r="L19" s="8" t="inlineStr">
        <is>
          <t>Reach
per Post</t>
        </is>
      </c>
      <c r="M19" s="8" t="inlineStr">
        <is>
          <t>New Followers
per 1k Reached</t>
        </is>
      </c>
      <c r="N19" s="8" t="inlineStr">
        <is>
          <t>Notes</t>
        </is>
      </c>
    </row>
    <row r="20">
      <c r="A20" s="53">
        <f>Setup!$C$9</f>
        <v/>
      </c>
      <c r="B20" s="27" t="n">
        <v>3180</v>
      </c>
      <c r="C20" s="54" t="n"/>
      <c r="D20" s="45" t="n"/>
      <c r="E20" s="27" t="n">
        <v>9800</v>
      </c>
      <c r="F20" s="27" t="n">
        <v>480</v>
      </c>
      <c r="G20" s="27" t="n">
        <v>310</v>
      </c>
      <c r="H20" s="27" t="n">
        <v>78</v>
      </c>
      <c r="I20" s="27" t="n">
        <v>22</v>
      </c>
      <c r="J20" s="40">
        <f>IF($A20&gt;TODAY(),"",SUMIFS('Daily Log'!$C$4:$C$369,'Daily Log'!$A$4:$A$369,"&gt;="&amp;$A20,'Daily Log'!$A$4:$A$369,"&lt;="&amp;$A20+6))</f>
        <v/>
      </c>
      <c r="K20" s="40">
        <f>IF($A20&gt;TODAY(),"",SUMIFS('Daily Log'!$D$4:$D$369,'Daily Log'!$A$4:$A$369,"&gt;="&amp;$A20,'Daily Log'!$A$4:$A$369,"&lt;="&amp;$A20+6))</f>
        <v/>
      </c>
      <c r="L20" s="46">
        <f>IFERROR(E20/J20,"")</f>
        <v/>
      </c>
      <c r="M20" s="46">
        <f>IFERROR(H20/E20*1000,"")</f>
        <v/>
      </c>
      <c r="N20" s="55" t="n"/>
    </row>
    <row r="21">
      <c r="A21" s="53">
        <f>A20+7</f>
        <v/>
      </c>
      <c r="B21" s="27" t="n">
        <v>3268</v>
      </c>
      <c r="C21" s="54">
        <f>IF(OR(B21="",B20=""),"",B21-B20)</f>
        <v/>
      </c>
      <c r="D21" s="45">
        <f>IF(OR(B21="",B20=""),"",IFERROR((B21-B20)/B20,""))</f>
        <v/>
      </c>
      <c r="E21" s="27" t="n">
        <v>12400</v>
      </c>
      <c r="F21" s="27" t="n">
        <v>620</v>
      </c>
      <c r="G21" s="27" t="n">
        <v>395</v>
      </c>
      <c r="H21" s="27" t="n">
        <v>95</v>
      </c>
      <c r="I21" s="27" t="n">
        <v>31</v>
      </c>
      <c r="J21" s="40">
        <f>IF($A21&gt;TODAY(),"",SUMIFS('Daily Log'!$C$4:$C$369,'Daily Log'!$A$4:$A$369,"&gt;="&amp;$A21,'Daily Log'!$A$4:$A$369,"&lt;="&amp;$A21+6))</f>
        <v/>
      </c>
      <c r="K21" s="40">
        <f>IF($A21&gt;TODAY(),"",SUMIFS('Daily Log'!$D$4:$D$369,'Daily Log'!$A$4:$A$369,"&gt;="&amp;$A21,'Daily Log'!$A$4:$A$369,"&lt;="&amp;$A21+6))</f>
        <v/>
      </c>
      <c r="L21" s="46">
        <f>IFERROR(E21/J21,"")</f>
        <v/>
      </c>
      <c r="M21" s="46">
        <f>IFERROR(H21/E21*1000,"")</f>
        <v/>
      </c>
      <c r="N21" s="55" t="n"/>
    </row>
    <row r="22">
      <c r="A22" s="53">
        <f>A21+7</f>
        <v/>
      </c>
      <c r="B22" s="27" t="n">
        <v>3351</v>
      </c>
      <c r="C22" s="54">
        <f>IF(OR(B22="",B21=""),"",B22-B21)</f>
        <v/>
      </c>
      <c r="D22" s="45">
        <f>IF(OR(B22="",B21=""),"",IFERROR((B22-B21)/B21,""))</f>
        <v/>
      </c>
      <c r="E22" s="27" t="n">
        <v>11100</v>
      </c>
      <c r="F22" s="27" t="n">
        <v>540</v>
      </c>
      <c r="G22" s="27" t="n">
        <v>350</v>
      </c>
      <c r="H22" s="27" t="n">
        <v>88</v>
      </c>
      <c r="I22" s="27" t="n">
        <v>26</v>
      </c>
      <c r="J22" s="40">
        <f>IF($A22&gt;TODAY(),"",SUMIFS('Daily Log'!$C$4:$C$369,'Daily Log'!$A$4:$A$369,"&gt;="&amp;$A22,'Daily Log'!$A$4:$A$369,"&lt;="&amp;$A22+6))</f>
        <v/>
      </c>
      <c r="K22" s="40">
        <f>IF($A22&gt;TODAY(),"",SUMIFS('Daily Log'!$D$4:$D$369,'Daily Log'!$A$4:$A$369,"&gt;="&amp;$A22,'Daily Log'!$A$4:$A$369,"&lt;="&amp;$A22+6))</f>
        <v/>
      </c>
      <c r="L22" s="46">
        <f>IFERROR(E22/J22,"")</f>
        <v/>
      </c>
      <c r="M22" s="46">
        <f>IFERROR(H22/E22*1000,"")</f>
        <v/>
      </c>
      <c r="N22" s="55" t="n"/>
    </row>
    <row r="23">
      <c r="A23" s="53">
        <f>A22+7</f>
        <v/>
      </c>
      <c r="B23" s="27" t="n">
        <v>3452</v>
      </c>
      <c r="C23" s="54">
        <f>IF(OR(B23="",B22=""),"",B23-B22)</f>
        <v/>
      </c>
      <c r="D23" s="45">
        <f>IF(OR(B23="",B22=""),"",IFERROR((B23-B22)/B22,""))</f>
        <v/>
      </c>
      <c r="E23" s="27" t="n">
        <v>14600</v>
      </c>
      <c r="F23" s="27" t="n">
        <v>710</v>
      </c>
      <c r="G23" s="27" t="n">
        <v>430</v>
      </c>
      <c r="H23" s="27" t="n">
        <v>112</v>
      </c>
      <c r="I23" s="27" t="n">
        <v>38</v>
      </c>
      <c r="J23" s="40">
        <f>IF($A23&gt;TODAY(),"",SUMIFS('Daily Log'!$C$4:$C$369,'Daily Log'!$A$4:$A$369,"&gt;="&amp;$A23,'Daily Log'!$A$4:$A$369,"&lt;="&amp;$A23+6))</f>
        <v/>
      </c>
      <c r="K23" s="40">
        <f>IF($A23&gt;TODAY(),"",SUMIFS('Daily Log'!$D$4:$D$369,'Daily Log'!$A$4:$A$369,"&gt;="&amp;$A23,'Daily Log'!$A$4:$A$369,"&lt;="&amp;$A23+6))</f>
        <v/>
      </c>
      <c r="L23" s="46">
        <f>IFERROR(E23/J23,"")</f>
        <v/>
      </c>
      <c r="M23" s="46">
        <f>IFERROR(H23/E23*1000,"")</f>
        <v/>
      </c>
      <c r="N23" s="55" t="n"/>
    </row>
    <row r="24">
      <c r="A24" s="53">
        <f>A23+7</f>
        <v/>
      </c>
      <c r="B24" s="27" t="n">
        <v>3530</v>
      </c>
      <c r="C24" s="54">
        <f>IF(OR(B24="",B23=""),"",B24-B23)</f>
        <v/>
      </c>
      <c r="D24" s="45">
        <f>IF(OR(B24="",B23=""),"",IFERROR((B24-B23)/B23,""))</f>
        <v/>
      </c>
      <c r="E24" s="27" t="n">
        <v>10250</v>
      </c>
      <c r="F24" s="27" t="n">
        <v>505</v>
      </c>
      <c r="G24" s="27" t="n">
        <v>322</v>
      </c>
      <c r="H24" s="27" t="n">
        <v>81</v>
      </c>
      <c r="I24" s="27" t="n">
        <v>24</v>
      </c>
      <c r="J24" s="40">
        <f>IF($A24&gt;TODAY(),"",SUMIFS('Daily Log'!$C$4:$C$369,'Daily Log'!$A$4:$A$369,"&gt;="&amp;$A24,'Daily Log'!$A$4:$A$369,"&lt;="&amp;$A24+6))</f>
        <v/>
      </c>
      <c r="K24" s="40">
        <f>IF($A24&gt;TODAY(),"",SUMIFS('Daily Log'!$D$4:$D$369,'Daily Log'!$A$4:$A$369,"&gt;="&amp;$A24,'Daily Log'!$A$4:$A$369,"&lt;="&amp;$A24+6))</f>
        <v/>
      </c>
      <c r="L24" s="46">
        <f>IFERROR(E24/J24,"")</f>
        <v/>
      </c>
      <c r="M24" s="46">
        <f>IFERROR(H24/E24*1000,"")</f>
        <v/>
      </c>
      <c r="N24" s="55" t="inlineStr">
        <is>
          <t>Posted less — reach dropped with it</t>
        </is>
      </c>
    </row>
    <row r="25">
      <c r="A25" s="53">
        <f>A24+7</f>
        <v/>
      </c>
      <c r="B25" s="27" t="n">
        <v>3641</v>
      </c>
      <c r="C25" s="54">
        <f>IF(OR(B25="",B24=""),"",B25-B24)</f>
        <v/>
      </c>
      <c r="D25" s="45">
        <f>IF(OR(B25="",B24=""),"",IFERROR((B25-B24)/B24,""))</f>
        <v/>
      </c>
      <c r="E25" s="27" t="n">
        <v>15800</v>
      </c>
      <c r="F25" s="27" t="n">
        <v>780</v>
      </c>
      <c r="G25" s="27" t="n">
        <v>468</v>
      </c>
      <c r="H25" s="27" t="n">
        <v>124</v>
      </c>
      <c r="I25" s="27" t="n">
        <v>41</v>
      </c>
      <c r="J25" s="40">
        <f>IF($A25&gt;TODAY(),"",SUMIFS('Daily Log'!$C$4:$C$369,'Daily Log'!$A$4:$A$369,"&gt;="&amp;$A25,'Daily Log'!$A$4:$A$369,"&lt;="&amp;$A25+6))</f>
        <v/>
      </c>
      <c r="K25" s="40">
        <f>IF($A25&gt;TODAY(),"",SUMIFS('Daily Log'!$D$4:$D$369,'Daily Log'!$A$4:$A$369,"&gt;="&amp;$A25,'Daily Log'!$A$4:$A$369,"&lt;="&amp;$A25+6))</f>
        <v/>
      </c>
      <c r="L25" s="46">
        <f>IFERROR(E25/J25,"")</f>
        <v/>
      </c>
      <c r="M25" s="46">
        <f>IFERROR(H25/E25*1000,"")</f>
        <v/>
      </c>
      <c r="N25" s="55" t="n"/>
    </row>
    <row r="26">
      <c r="A26" s="53">
        <f>A25+7</f>
        <v/>
      </c>
      <c r="B26" s="27" t="n"/>
      <c r="C26" s="54">
        <f>IF(OR(B26="",B25=""),"",B26-B25)</f>
        <v/>
      </c>
      <c r="D26" s="45">
        <f>IF(OR(B26="",B25=""),"",IFERROR((B26-B25)/B25,""))</f>
        <v/>
      </c>
      <c r="E26" s="27" t="n"/>
      <c r="F26" s="27" t="n"/>
      <c r="G26" s="27" t="n"/>
      <c r="H26" s="27" t="n"/>
      <c r="I26" s="27" t="n"/>
      <c r="J26" s="40">
        <f>IF($A26&gt;TODAY(),"",SUMIFS('Daily Log'!$C$4:$C$369,'Daily Log'!$A$4:$A$369,"&gt;="&amp;$A26,'Daily Log'!$A$4:$A$369,"&lt;="&amp;$A26+6))</f>
        <v/>
      </c>
      <c r="K26" s="40">
        <f>IF($A26&gt;TODAY(),"",SUMIFS('Daily Log'!$D$4:$D$369,'Daily Log'!$A$4:$A$369,"&gt;="&amp;$A26,'Daily Log'!$A$4:$A$369,"&lt;="&amp;$A26+6))</f>
        <v/>
      </c>
      <c r="L26" s="46">
        <f>IFERROR(E26/J26,"")</f>
        <v/>
      </c>
      <c r="M26" s="46">
        <f>IFERROR(H26/E26*1000,"")</f>
        <v/>
      </c>
      <c r="N26" s="55" t="n"/>
    </row>
    <row r="27">
      <c r="A27" s="53">
        <f>A26+7</f>
        <v/>
      </c>
      <c r="B27" s="27" t="n"/>
      <c r="C27" s="54">
        <f>IF(OR(B27="",B26=""),"",B27-B26)</f>
        <v/>
      </c>
      <c r="D27" s="45">
        <f>IF(OR(B27="",B26=""),"",IFERROR((B27-B26)/B26,""))</f>
        <v/>
      </c>
      <c r="E27" s="27" t="n"/>
      <c r="F27" s="27" t="n"/>
      <c r="G27" s="27" t="n"/>
      <c r="H27" s="27" t="n"/>
      <c r="I27" s="27" t="n"/>
      <c r="J27" s="40">
        <f>IF($A27&gt;TODAY(),"",SUMIFS('Daily Log'!$C$4:$C$369,'Daily Log'!$A$4:$A$369,"&gt;="&amp;$A27,'Daily Log'!$A$4:$A$369,"&lt;="&amp;$A27+6))</f>
        <v/>
      </c>
      <c r="K27" s="40">
        <f>IF($A27&gt;TODAY(),"",SUMIFS('Daily Log'!$D$4:$D$369,'Daily Log'!$A$4:$A$369,"&gt;="&amp;$A27,'Daily Log'!$A$4:$A$369,"&lt;="&amp;$A27+6))</f>
        <v/>
      </c>
      <c r="L27" s="46">
        <f>IFERROR(E27/J27,"")</f>
        <v/>
      </c>
      <c r="M27" s="46">
        <f>IFERROR(H27/E27*1000,"")</f>
        <v/>
      </c>
      <c r="N27" s="55" t="n"/>
    </row>
    <row r="28">
      <c r="A28" s="53">
        <f>A27+7</f>
        <v/>
      </c>
      <c r="B28" s="27" t="n"/>
      <c r="C28" s="54">
        <f>IF(OR(B28="",B27=""),"",B28-B27)</f>
        <v/>
      </c>
      <c r="D28" s="45">
        <f>IF(OR(B28="",B27=""),"",IFERROR((B28-B27)/B27,""))</f>
        <v/>
      </c>
      <c r="E28" s="27" t="n"/>
      <c r="F28" s="27" t="n"/>
      <c r="G28" s="27" t="n"/>
      <c r="H28" s="27" t="n"/>
      <c r="I28" s="27" t="n"/>
      <c r="J28" s="40">
        <f>IF($A28&gt;TODAY(),"",SUMIFS('Daily Log'!$C$4:$C$369,'Daily Log'!$A$4:$A$369,"&gt;="&amp;$A28,'Daily Log'!$A$4:$A$369,"&lt;="&amp;$A28+6))</f>
        <v/>
      </c>
      <c r="K28" s="40">
        <f>IF($A28&gt;TODAY(),"",SUMIFS('Daily Log'!$D$4:$D$369,'Daily Log'!$A$4:$A$369,"&gt;="&amp;$A28,'Daily Log'!$A$4:$A$369,"&lt;="&amp;$A28+6))</f>
        <v/>
      </c>
      <c r="L28" s="46">
        <f>IFERROR(E28/J28,"")</f>
        <v/>
      </c>
      <c r="M28" s="46">
        <f>IFERROR(H28/E28*1000,"")</f>
        <v/>
      </c>
      <c r="N28" s="55" t="n"/>
    </row>
    <row r="29">
      <c r="A29" s="53">
        <f>A28+7</f>
        <v/>
      </c>
      <c r="B29" s="27" t="n"/>
      <c r="C29" s="54">
        <f>IF(OR(B29="",B28=""),"",B29-B28)</f>
        <v/>
      </c>
      <c r="D29" s="45">
        <f>IF(OR(B29="",B28=""),"",IFERROR((B29-B28)/B28,""))</f>
        <v/>
      </c>
      <c r="E29" s="27" t="n"/>
      <c r="F29" s="27" t="n"/>
      <c r="G29" s="27" t="n"/>
      <c r="H29" s="27" t="n"/>
      <c r="I29" s="27" t="n"/>
      <c r="J29" s="40">
        <f>IF($A29&gt;TODAY(),"",SUMIFS('Daily Log'!$C$4:$C$369,'Daily Log'!$A$4:$A$369,"&gt;="&amp;$A29,'Daily Log'!$A$4:$A$369,"&lt;="&amp;$A29+6))</f>
        <v/>
      </c>
      <c r="K29" s="40">
        <f>IF($A29&gt;TODAY(),"",SUMIFS('Daily Log'!$D$4:$D$369,'Daily Log'!$A$4:$A$369,"&gt;="&amp;$A29,'Daily Log'!$A$4:$A$369,"&lt;="&amp;$A29+6))</f>
        <v/>
      </c>
      <c r="L29" s="46">
        <f>IFERROR(E29/J29,"")</f>
        <v/>
      </c>
      <c r="M29" s="46">
        <f>IFERROR(H29/E29*1000,"")</f>
        <v/>
      </c>
      <c r="N29" s="55" t="n"/>
    </row>
    <row r="30">
      <c r="A30" s="53">
        <f>A29+7</f>
        <v/>
      </c>
      <c r="B30" s="27" t="n"/>
      <c r="C30" s="54">
        <f>IF(OR(B30="",B29=""),"",B30-B29)</f>
        <v/>
      </c>
      <c r="D30" s="45">
        <f>IF(OR(B30="",B29=""),"",IFERROR((B30-B29)/B29,""))</f>
        <v/>
      </c>
      <c r="E30" s="27" t="n"/>
      <c r="F30" s="27" t="n"/>
      <c r="G30" s="27" t="n"/>
      <c r="H30" s="27" t="n"/>
      <c r="I30" s="27" t="n"/>
      <c r="J30" s="40">
        <f>IF($A30&gt;TODAY(),"",SUMIFS('Daily Log'!$C$4:$C$369,'Daily Log'!$A$4:$A$369,"&gt;="&amp;$A30,'Daily Log'!$A$4:$A$369,"&lt;="&amp;$A30+6))</f>
        <v/>
      </c>
      <c r="K30" s="40">
        <f>IF($A30&gt;TODAY(),"",SUMIFS('Daily Log'!$D$4:$D$369,'Daily Log'!$A$4:$A$369,"&gt;="&amp;$A30,'Daily Log'!$A$4:$A$369,"&lt;="&amp;$A30+6))</f>
        <v/>
      </c>
      <c r="L30" s="46">
        <f>IFERROR(E30/J30,"")</f>
        <v/>
      </c>
      <c r="M30" s="46">
        <f>IFERROR(H30/E30*1000,"")</f>
        <v/>
      </c>
      <c r="N30" s="55" t="n"/>
    </row>
    <row r="31">
      <c r="A31" s="53">
        <f>A30+7</f>
        <v/>
      </c>
      <c r="B31" s="27" t="n"/>
      <c r="C31" s="54">
        <f>IF(OR(B31="",B30=""),"",B31-B30)</f>
        <v/>
      </c>
      <c r="D31" s="45">
        <f>IF(OR(B31="",B30=""),"",IFERROR((B31-B30)/B30,""))</f>
        <v/>
      </c>
      <c r="E31" s="27" t="n"/>
      <c r="F31" s="27" t="n"/>
      <c r="G31" s="27" t="n"/>
      <c r="H31" s="27" t="n"/>
      <c r="I31" s="27" t="n"/>
      <c r="J31" s="40">
        <f>IF($A31&gt;TODAY(),"",SUMIFS('Daily Log'!$C$4:$C$369,'Daily Log'!$A$4:$A$369,"&gt;="&amp;$A31,'Daily Log'!$A$4:$A$369,"&lt;="&amp;$A31+6))</f>
        <v/>
      </c>
      <c r="K31" s="40">
        <f>IF($A31&gt;TODAY(),"",SUMIFS('Daily Log'!$D$4:$D$369,'Daily Log'!$A$4:$A$369,"&gt;="&amp;$A31,'Daily Log'!$A$4:$A$369,"&lt;="&amp;$A31+6))</f>
        <v/>
      </c>
      <c r="L31" s="46">
        <f>IFERROR(E31/J31,"")</f>
        <v/>
      </c>
      <c r="M31" s="46">
        <f>IFERROR(H31/E31*1000,"")</f>
        <v/>
      </c>
      <c r="N31" s="55" t="n"/>
    </row>
    <row r="32">
      <c r="A32" s="53">
        <f>A31+7</f>
        <v/>
      </c>
      <c r="B32" s="27" t="n"/>
      <c r="C32" s="54">
        <f>IF(OR(B32="",B31=""),"",B32-B31)</f>
        <v/>
      </c>
      <c r="D32" s="45">
        <f>IF(OR(B32="",B31=""),"",IFERROR((B32-B31)/B31,""))</f>
        <v/>
      </c>
      <c r="E32" s="27" t="n"/>
      <c r="F32" s="27" t="n"/>
      <c r="G32" s="27" t="n"/>
      <c r="H32" s="27" t="n"/>
      <c r="I32" s="27" t="n"/>
      <c r="J32" s="40">
        <f>IF($A32&gt;TODAY(),"",SUMIFS('Daily Log'!$C$4:$C$369,'Daily Log'!$A$4:$A$369,"&gt;="&amp;$A32,'Daily Log'!$A$4:$A$369,"&lt;="&amp;$A32+6))</f>
        <v/>
      </c>
      <c r="K32" s="40">
        <f>IF($A32&gt;TODAY(),"",SUMIFS('Daily Log'!$D$4:$D$369,'Daily Log'!$A$4:$A$369,"&gt;="&amp;$A32,'Daily Log'!$A$4:$A$369,"&lt;="&amp;$A32+6))</f>
        <v/>
      </c>
      <c r="L32" s="46">
        <f>IFERROR(E32/J32,"")</f>
        <v/>
      </c>
      <c r="M32" s="46">
        <f>IFERROR(H32/E32*1000,"")</f>
        <v/>
      </c>
      <c r="N32" s="55" t="n"/>
    </row>
    <row r="33">
      <c r="A33" s="53">
        <f>A32+7</f>
        <v/>
      </c>
      <c r="B33" s="27" t="n"/>
      <c r="C33" s="54">
        <f>IF(OR(B33="",B32=""),"",B33-B32)</f>
        <v/>
      </c>
      <c r="D33" s="45">
        <f>IF(OR(B33="",B32=""),"",IFERROR((B33-B32)/B32,""))</f>
        <v/>
      </c>
      <c r="E33" s="27" t="n"/>
      <c r="F33" s="27" t="n"/>
      <c r="G33" s="27" t="n"/>
      <c r="H33" s="27" t="n"/>
      <c r="I33" s="27" t="n"/>
      <c r="J33" s="40">
        <f>IF($A33&gt;TODAY(),"",SUMIFS('Daily Log'!$C$4:$C$369,'Daily Log'!$A$4:$A$369,"&gt;="&amp;$A33,'Daily Log'!$A$4:$A$369,"&lt;="&amp;$A33+6))</f>
        <v/>
      </c>
      <c r="K33" s="40">
        <f>IF($A33&gt;TODAY(),"",SUMIFS('Daily Log'!$D$4:$D$369,'Daily Log'!$A$4:$A$369,"&gt;="&amp;$A33,'Daily Log'!$A$4:$A$369,"&lt;="&amp;$A33+6))</f>
        <v/>
      </c>
      <c r="L33" s="46">
        <f>IFERROR(E33/J33,"")</f>
        <v/>
      </c>
      <c r="M33" s="46">
        <f>IFERROR(H33/E33*1000,"")</f>
        <v/>
      </c>
      <c r="N33" s="55" t="n"/>
    </row>
    <row r="34">
      <c r="A34" s="53">
        <f>A33+7</f>
        <v/>
      </c>
      <c r="B34" s="27" t="n"/>
      <c r="C34" s="54">
        <f>IF(OR(B34="",B33=""),"",B34-B33)</f>
        <v/>
      </c>
      <c r="D34" s="45">
        <f>IF(OR(B34="",B33=""),"",IFERROR((B34-B33)/B33,""))</f>
        <v/>
      </c>
      <c r="E34" s="27" t="n"/>
      <c r="F34" s="27" t="n"/>
      <c r="G34" s="27" t="n"/>
      <c r="H34" s="27" t="n"/>
      <c r="I34" s="27" t="n"/>
      <c r="J34" s="40">
        <f>IF($A34&gt;TODAY(),"",SUMIFS('Daily Log'!$C$4:$C$369,'Daily Log'!$A$4:$A$369,"&gt;="&amp;$A34,'Daily Log'!$A$4:$A$369,"&lt;="&amp;$A34+6))</f>
        <v/>
      </c>
      <c r="K34" s="40">
        <f>IF($A34&gt;TODAY(),"",SUMIFS('Daily Log'!$D$4:$D$369,'Daily Log'!$A$4:$A$369,"&gt;="&amp;$A34,'Daily Log'!$A$4:$A$369,"&lt;="&amp;$A34+6))</f>
        <v/>
      </c>
      <c r="L34" s="46">
        <f>IFERROR(E34/J34,"")</f>
        <v/>
      </c>
      <c r="M34" s="46">
        <f>IFERROR(H34/E34*1000,"")</f>
        <v/>
      </c>
      <c r="N34" s="55" t="n"/>
    </row>
    <row r="35">
      <c r="A35" s="53">
        <f>A34+7</f>
        <v/>
      </c>
      <c r="B35" s="27" t="n"/>
      <c r="C35" s="54">
        <f>IF(OR(B35="",B34=""),"",B35-B34)</f>
        <v/>
      </c>
      <c r="D35" s="45">
        <f>IF(OR(B35="",B34=""),"",IFERROR((B35-B34)/B34,""))</f>
        <v/>
      </c>
      <c r="E35" s="27" t="n"/>
      <c r="F35" s="27" t="n"/>
      <c r="G35" s="27" t="n"/>
      <c r="H35" s="27" t="n"/>
      <c r="I35" s="27" t="n"/>
      <c r="J35" s="40">
        <f>IF($A35&gt;TODAY(),"",SUMIFS('Daily Log'!$C$4:$C$369,'Daily Log'!$A$4:$A$369,"&gt;="&amp;$A35,'Daily Log'!$A$4:$A$369,"&lt;="&amp;$A35+6))</f>
        <v/>
      </c>
      <c r="K35" s="40">
        <f>IF($A35&gt;TODAY(),"",SUMIFS('Daily Log'!$D$4:$D$369,'Daily Log'!$A$4:$A$369,"&gt;="&amp;$A35,'Daily Log'!$A$4:$A$369,"&lt;="&amp;$A35+6))</f>
        <v/>
      </c>
      <c r="L35" s="46">
        <f>IFERROR(E35/J35,"")</f>
        <v/>
      </c>
      <c r="M35" s="46">
        <f>IFERROR(H35/E35*1000,"")</f>
        <v/>
      </c>
      <c r="N35" s="55" t="n"/>
    </row>
    <row r="36">
      <c r="A36" s="53">
        <f>A35+7</f>
        <v/>
      </c>
      <c r="B36" s="27" t="n"/>
      <c r="C36" s="54">
        <f>IF(OR(B36="",B35=""),"",B36-B35)</f>
        <v/>
      </c>
      <c r="D36" s="45">
        <f>IF(OR(B36="",B35=""),"",IFERROR((B36-B35)/B35,""))</f>
        <v/>
      </c>
      <c r="E36" s="27" t="n"/>
      <c r="F36" s="27" t="n"/>
      <c r="G36" s="27" t="n"/>
      <c r="H36" s="27" t="n"/>
      <c r="I36" s="27" t="n"/>
      <c r="J36" s="40">
        <f>IF($A36&gt;TODAY(),"",SUMIFS('Daily Log'!$C$4:$C$369,'Daily Log'!$A$4:$A$369,"&gt;="&amp;$A36,'Daily Log'!$A$4:$A$369,"&lt;="&amp;$A36+6))</f>
        <v/>
      </c>
      <c r="K36" s="40">
        <f>IF($A36&gt;TODAY(),"",SUMIFS('Daily Log'!$D$4:$D$369,'Daily Log'!$A$4:$A$369,"&gt;="&amp;$A36,'Daily Log'!$A$4:$A$369,"&lt;="&amp;$A36+6))</f>
        <v/>
      </c>
      <c r="L36" s="46">
        <f>IFERROR(E36/J36,"")</f>
        <v/>
      </c>
      <c r="M36" s="46">
        <f>IFERROR(H36/E36*1000,"")</f>
        <v/>
      </c>
      <c r="N36" s="55" t="n"/>
    </row>
    <row r="37">
      <c r="A37" s="53">
        <f>A36+7</f>
        <v/>
      </c>
      <c r="B37" s="27" t="n"/>
      <c r="C37" s="54">
        <f>IF(OR(B37="",B36=""),"",B37-B36)</f>
        <v/>
      </c>
      <c r="D37" s="45">
        <f>IF(OR(B37="",B36=""),"",IFERROR((B37-B36)/B36,""))</f>
        <v/>
      </c>
      <c r="E37" s="27" t="n"/>
      <c r="F37" s="27" t="n"/>
      <c r="G37" s="27" t="n"/>
      <c r="H37" s="27" t="n"/>
      <c r="I37" s="27" t="n"/>
      <c r="J37" s="40">
        <f>IF($A37&gt;TODAY(),"",SUMIFS('Daily Log'!$C$4:$C$369,'Daily Log'!$A$4:$A$369,"&gt;="&amp;$A37,'Daily Log'!$A$4:$A$369,"&lt;="&amp;$A37+6))</f>
        <v/>
      </c>
      <c r="K37" s="40">
        <f>IF($A37&gt;TODAY(),"",SUMIFS('Daily Log'!$D$4:$D$369,'Daily Log'!$A$4:$A$369,"&gt;="&amp;$A37,'Daily Log'!$A$4:$A$369,"&lt;="&amp;$A37+6))</f>
        <v/>
      </c>
      <c r="L37" s="46">
        <f>IFERROR(E37/J37,"")</f>
        <v/>
      </c>
      <c r="M37" s="46">
        <f>IFERROR(H37/E37*1000,"")</f>
        <v/>
      </c>
      <c r="N37" s="55" t="n"/>
    </row>
    <row r="38">
      <c r="A38" s="53">
        <f>A37+7</f>
        <v/>
      </c>
      <c r="B38" s="27" t="n"/>
      <c r="C38" s="54">
        <f>IF(OR(B38="",B37=""),"",B38-B37)</f>
        <v/>
      </c>
      <c r="D38" s="45">
        <f>IF(OR(B38="",B37=""),"",IFERROR((B38-B37)/B37,""))</f>
        <v/>
      </c>
      <c r="E38" s="27" t="n"/>
      <c r="F38" s="27" t="n"/>
      <c r="G38" s="27" t="n"/>
      <c r="H38" s="27" t="n"/>
      <c r="I38" s="27" t="n"/>
      <c r="J38" s="40">
        <f>IF($A38&gt;TODAY(),"",SUMIFS('Daily Log'!$C$4:$C$369,'Daily Log'!$A$4:$A$369,"&gt;="&amp;$A38,'Daily Log'!$A$4:$A$369,"&lt;="&amp;$A38+6))</f>
        <v/>
      </c>
      <c r="K38" s="40">
        <f>IF($A38&gt;TODAY(),"",SUMIFS('Daily Log'!$D$4:$D$369,'Daily Log'!$A$4:$A$369,"&gt;="&amp;$A38,'Daily Log'!$A$4:$A$369,"&lt;="&amp;$A38+6))</f>
        <v/>
      </c>
      <c r="L38" s="46">
        <f>IFERROR(E38/J38,"")</f>
        <v/>
      </c>
      <c r="M38" s="46">
        <f>IFERROR(H38/E38*1000,"")</f>
        <v/>
      </c>
      <c r="N38" s="55" t="n"/>
    </row>
    <row r="39">
      <c r="A39" s="53">
        <f>A38+7</f>
        <v/>
      </c>
      <c r="B39" s="27" t="n"/>
      <c r="C39" s="54">
        <f>IF(OR(B39="",B38=""),"",B39-B38)</f>
        <v/>
      </c>
      <c r="D39" s="45">
        <f>IF(OR(B39="",B38=""),"",IFERROR((B39-B38)/B38,""))</f>
        <v/>
      </c>
      <c r="E39" s="27" t="n"/>
      <c r="F39" s="27" t="n"/>
      <c r="G39" s="27" t="n"/>
      <c r="H39" s="27" t="n"/>
      <c r="I39" s="27" t="n"/>
      <c r="J39" s="40">
        <f>IF($A39&gt;TODAY(),"",SUMIFS('Daily Log'!$C$4:$C$369,'Daily Log'!$A$4:$A$369,"&gt;="&amp;$A39,'Daily Log'!$A$4:$A$369,"&lt;="&amp;$A39+6))</f>
        <v/>
      </c>
      <c r="K39" s="40">
        <f>IF($A39&gt;TODAY(),"",SUMIFS('Daily Log'!$D$4:$D$369,'Daily Log'!$A$4:$A$369,"&gt;="&amp;$A39,'Daily Log'!$A$4:$A$369,"&lt;="&amp;$A39+6))</f>
        <v/>
      </c>
      <c r="L39" s="46">
        <f>IFERROR(E39/J39,"")</f>
        <v/>
      </c>
      <c r="M39" s="46">
        <f>IFERROR(H39/E39*1000,"")</f>
        <v/>
      </c>
      <c r="N39" s="55" t="n"/>
    </row>
    <row r="40">
      <c r="A40" s="53">
        <f>A39+7</f>
        <v/>
      </c>
      <c r="B40" s="27" t="n"/>
      <c r="C40" s="54">
        <f>IF(OR(B40="",B39=""),"",B40-B39)</f>
        <v/>
      </c>
      <c r="D40" s="45">
        <f>IF(OR(B40="",B39=""),"",IFERROR((B40-B39)/B39,""))</f>
        <v/>
      </c>
      <c r="E40" s="27" t="n"/>
      <c r="F40" s="27" t="n"/>
      <c r="G40" s="27" t="n"/>
      <c r="H40" s="27" t="n"/>
      <c r="I40" s="27" t="n"/>
      <c r="J40" s="40">
        <f>IF($A40&gt;TODAY(),"",SUMIFS('Daily Log'!$C$4:$C$369,'Daily Log'!$A$4:$A$369,"&gt;="&amp;$A40,'Daily Log'!$A$4:$A$369,"&lt;="&amp;$A40+6))</f>
        <v/>
      </c>
      <c r="K40" s="40">
        <f>IF($A40&gt;TODAY(),"",SUMIFS('Daily Log'!$D$4:$D$369,'Daily Log'!$A$4:$A$369,"&gt;="&amp;$A40,'Daily Log'!$A$4:$A$369,"&lt;="&amp;$A40+6))</f>
        <v/>
      </c>
      <c r="L40" s="46">
        <f>IFERROR(E40/J40,"")</f>
        <v/>
      </c>
      <c r="M40" s="46">
        <f>IFERROR(H40/E40*1000,"")</f>
        <v/>
      </c>
      <c r="N40" s="55" t="n"/>
    </row>
    <row r="41">
      <c r="A41" s="53">
        <f>A40+7</f>
        <v/>
      </c>
      <c r="B41" s="27" t="n"/>
      <c r="C41" s="54">
        <f>IF(OR(B41="",B40=""),"",B41-B40)</f>
        <v/>
      </c>
      <c r="D41" s="45">
        <f>IF(OR(B41="",B40=""),"",IFERROR((B41-B40)/B40,""))</f>
        <v/>
      </c>
      <c r="E41" s="27" t="n"/>
      <c r="F41" s="27" t="n"/>
      <c r="G41" s="27" t="n"/>
      <c r="H41" s="27" t="n"/>
      <c r="I41" s="27" t="n"/>
      <c r="J41" s="40">
        <f>IF($A41&gt;TODAY(),"",SUMIFS('Daily Log'!$C$4:$C$369,'Daily Log'!$A$4:$A$369,"&gt;="&amp;$A41,'Daily Log'!$A$4:$A$369,"&lt;="&amp;$A41+6))</f>
        <v/>
      </c>
      <c r="K41" s="40">
        <f>IF($A41&gt;TODAY(),"",SUMIFS('Daily Log'!$D$4:$D$369,'Daily Log'!$A$4:$A$369,"&gt;="&amp;$A41,'Daily Log'!$A$4:$A$369,"&lt;="&amp;$A41+6))</f>
        <v/>
      </c>
      <c r="L41" s="46">
        <f>IFERROR(E41/J41,"")</f>
        <v/>
      </c>
      <c r="M41" s="46">
        <f>IFERROR(H41/E41*1000,"")</f>
        <v/>
      </c>
      <c r="N41" s="55" t="n"/>
    </row>
    <row r="42">
      <c r="A42" s="53">
        <f>A41+7</f>
        <v/>
      </c>
      <c r="B42" s="27" t="n"/>
      <c r="C42" s="54">
        <f>IF(OR(B42="",B41=""),"",B42-B41)</f>
        <v/>
      </c>
      <c r="D42" s="45">
        <f>IF(OR(B42="",B41=""),"",IFERROR((B42-B41)/B41,""))</f>
        <v/>
      </c>
      <c r="E42" s="27" t="n"/>
      <c r="F42" s="27" t="n"/>
      <c r="G42" s="27" t="n"/>
      <c r="H42" s="27" t="n"/>
      <c r="I42" s="27" t="n"/>
      <c r="J42" s="40">
        <f>IF($A42&gt;TODAY(),"",SUMIFS('Daily Log'!$C$4:$C$369,'Daily Log'!$A$4:$A$369,"&gt;="&amp;$A42,'Daily Log'!$A$4:$A$369,"&lt;="&amp;$A42+6))</f>
        <v/>
      </c>
      <c r="K42" s="40">
        <f>IF($A42&gt;TODAY(),"",SUMIFS('Daily Log'!$D$4:$D$369,'Daily Log'!$A$4:$A$369,"&gt;="&amp;$A42,'Daily Log'!$A$4:$A$369,"&lt;="&amp;$A42+6))</f>
        <v/>
      </c>
      <c r="L42" s="46">
        <f>IFERROR(E42/J42,"")</f>
        <v/>
      </c>
      <c r="M42" s="46">
        <f>IFERROR(H42/E42*1000,"")</f>
        <v/>
      </c>
      <c r="N42" s="55" t="n"/>
    </row>
    <row r="43">
      <c r="A43" s="53">
        <f>A42+7</f>
        <v/>
      </c>
      <c r="B43" s="27" t="n"/>
      <c r="C43" s="54">
        <f>IF(OR(B43="",B42=""),"",B43-B42)</f>
        <v/>
      </c>
      <c r="D43" s="45">
        <f>IF(OR(B43="",B42=""),"",IFERROR((B43-B42)/B42,""))</f>
        <v/>
      </c>
      <c r="E43" s="27" t="n"/>
      <c r="F43" s="27" t="n"/>
      <c r="G43" s="27" t="n"/>
      <c r="H43" s="27" t="n"/>
      <c r="I43" s="27" t="n"/>
      <c r="J43" s="40">
        <f>IF($A43&gt;TODAY(),"",SUMIFS('Daily Log'!$C$4:$C$369,'Daily Log'!$A$4:$A$369,"&gt;="&amp;$A43,'Daily Log'!$A$4:$A$369,"&lt;="&amp;$A43+6))</f>
        <v/>
      </c>
      <c r="K43" s="40">
        <f>IF($A43&gt;TODAY(),"",SUMIFS('Daily Log'!$D$4:$D$369,'Daily Log'!$A$4:$A$369,"&gt;="&amp;$A43,'Daily Log'!$A$4:$A$369,"&lt;="&amp;$A43+6))</f>
        <v/>
      </c>
      <c r="L43" s="46">
        <f>IFERROR(E43/J43,"")</f>
        <v/>
      </c>
      <c r="M43" s="46">
        <f>IFERROR(H43/E43*1000,"")</f>
        <v/>
      </c>
      <c r="N43" s="55" t="n"/>
    </row>
    <row r="44">
      <c r="A44" s="53">
        <f>A43+7</f>
        <v/>
      </c>
      <c r="B44" s="27" t="n"/>
      <c r="C44" s="54">
        <f>IF(OR(B44="",B43=""),"",B44-B43)</f>
        <v/>
      </c>
      <c r="D44" s="45">
        <f>IF(OR(B44="",B43=""),"",IFERROR((B44-B43)/B43,""))</f>
        <v/>
      </c>
      <c r="E44" s="27" t="n"/>
      <c r="F44" s="27" t="n"/>
      <c r="G44" s="27" t="n"/>
      <c r="H44" s="27" t="n"/>
      <c r="I44" s="27" t="n"/>
      <c r="J44" s="40">
        <f>IF($A44&gt;TODAY(),"",SUMIFS('Daily Log'!$C$4:$C$369,'Daily Log'!$A$4:$A$369,"&gt;="&amp;$A44,'Daily Log'!$A$4:$A$369,"&lt;="&amp;$A44+6))</f>
        <v/>
      </c>
      <c r="K44" s="40">
        <f>IF($A44&gt;TODAY(),"",SUMIFS('Daily Log'!$D$4:$D$369,'Daily Log'!$A$4:$A$369,"&gt;="&amp;$A44,'Daily Log'!$A$4:$A$369,"&lt;="&amp;$A44+6))</f>
        <v/>
      </c>
      <c r="L44" s="46">
        <f>IFERROR(E44/J44,"")</f>
        <v/>
      </c>
      <c r="M44" s="46">
        <f>IFERROR(H44/E44*1000,"")</f>
        <v/>
      </c>
      <c r="N44" s="55" t="n"/>
    </row>
    <row r="45">
      <c r="A45" s="53">
        <f>A44+7</f>
        <v/>
      </c>
      <c r="B45" s="27" t="n"/>
      <c r="C45" s="54">
        <f>IF(OR(B45="",B44=""),"",B45-B44)</f>
        <v/>
      </c>
      <c r="D45" s="45">
        <f>IF(OR(B45="",B44=""),"",IFERROR((B45-B44)/B44,""))</f>
        <v/>
      </c>
      <c r="E45" s="27" t="n"/>
      <c r="F45" s="27" t="n"/>
      <c r="G45" s="27" t="n"/>
      <c r="H45" s="27" t="n"/>
      <c r="I45" s="27" t="n"/>
      <c r="J45" s="40">
        <f>IF($A45&gt;TODAY(),"",SUMIFS('Daily Log'!$C$4:$C$369,'Daily Log'!$A$4:$A$369,"&gt;="&amp;$A45,'Daily Log'!$A$4:$A$369,"&lt;="&amp;$A45+6))</f>
        <v/>
      </c>
      <c r="K45" s="40">
        <f>IF($A45&gt;TODAY(),"",SUMIFS('Daily Log'!$D$4:$D$369,'Daily Log'!$A$4:$A$369,"&gt;="&amp;$A45,'Daily Log'!$A$4:$A$369,"&lt;="&amp;$A45+6))</f>
        <v/>
      </c>
      <c r="L45" s="46">
        <f>IFERROR(E45/J45,"")</f>
        <v/>
      </c>
      <c r="M45" s="46">
        <f>IFERROR(H45/E45*1000,"")</f>
        <v/>
      </c>
      <c r="N45" s="55" t="n"/>
    </row>
    <row r="46">
      <c r="A46" s="53">
        <f>A45+7</f>
        <v/>
      </c>
      <c r="B46" s="27" t="n"/>
      <c r="C46" s="54">
        <f>IF(OR(B46="",B45=""),"",B46-B45)</f>
        <v/>
      </c>
      <c r="D46" s="45">
        <f>IF(OR(B46="",B45=""),"",IFERROR((B46-B45)/B45,""))</f>
        <v/>
      </c>
      <c r="E46" s="27" t="n"/>
      <c r="F46" s="27" t="n"/>
      <c r="G46" s="27" t="n"/>
      <c r="H46" s="27" t="n"/>
      <c r="I46" s="27" t="n"/>
      <c r="J46" s="40">
        <f>IF($A46&gt;TODAY(),"",SUMIFS('Daily Log'!$C$4:$C$369,'Daily Log'!$A$4:$A$369,"&gt;="&amp;$A46,'Daily Log'!$A$4:$A$369,"&lt;="&amp;$A46+6))</f>
        <v/>
      </c>
      <c r="K46" s="40">
        <f>IF($A46&gt;TODAY(),"",SUMIFS('Daily Log'!$D$4:$D$369,'Daily Log'!$A$4:$A$369,"&gt;="&amp;$A46,'Daily Log'!$A$4:$A$369,"&lt;="&amp;$A46+6))</f>
        <v/>
      </c>
      <c r="L46" s="46">
        <f>IFERROR(E46/J46,"")</f>
        <v/>
      </c>
      <c r="M46" s="46">
        <f>IFERROR(H46/E46*1000,"")</f>
        <v/>
      </c>
      <c r="N46" s="55" t="n"/>
    </row>
    <row r="47">
      <c r="A47" s="53">
        <f>A46+7</f>
        <v/>
      </c>
      <c r="B47" s="27" t="n"/>
      <c r="C47" s="54">
        <f>IF(OR(B47="",B46=""),"",B47-B46)</f>
        <v/>
      </c>
      <c r="D47" s="45">
        <f>IF(OR(B47="",B46=""),"",IFERROR((B47-B46)/B46,""))</f>
        <v/>
      </c>
      <c r="E47" s="27" t="n"/>
      <c r="F47" s="27" t="n"/>
      <c r="G47" s="27" t="n"/>
      <c r="H47" s="27" t="n"/>
      <c r="I47" s="27" t="n"/>
      <c r="J47" s="40">
        <f>IF($A47&gt;TODAY(),"",SUMIFS('Daily Log'!$C$4:$C$369,'Daily Log'!$A$4:$A$369,"&gt;="&amp;$A47,'Daily Log'!$A$4:$A$369,"&lt;="&amp;$A47+6))</f>
        <v/>
      </c>
      <c r="K47" s="40">
        <f>IF($A47&gt;TODAY(),"",SUMIFS('Daily Log'!$D$4:$D$369,'Daily Log'!$A$4:$A$369,"&gt;="&amp;$A47,'Daily Log'!$A$4:$A$369,"&lt;="&amp;$A47+6))</f>
        <v/>
      </c>
      <c r="L47" s="46">
        <f>IFERROR(E47/J47,"")</f>
        <v/>
      </c>
      <c r="M47" s="46">
        <f>IFERROR(H47/E47*1000,"")</f>
        <v/>
      </c>
      <c r="N47" s="55" t="n"/>
    </row>
    <row r="48">
      <c r="A48" s="53">
        <f>A47+7</f>
        <v/>
      </c>
      <c r="B48" s="27" t="n"/>
      <c r="C48" s="54">
        <f>IF(OR(B48="",B47=""),"",B48-B47)</f>
        <v/>
      </c>
      <c r="D48" s="45">
        <f>IF(OR(B48="",B47=""),"",IFERROR((B48-B47)/B47,""))</f>
        <v/>
      </c>
      <c r="E48" s="27" t="n"/>
      <c r="F48" s="27" t="n"/>
      <c r="G48" s="27" t="n"/>
      <c r="H48" s="27" t="n"/>
      <c r="I48" s="27" t="n"/>
      <c r="J48" s="40">
        <f>IF($A48&gt;TODAY(),"",SUMIFS('Daily Log'!$C$4:$C$369,'Daily Log'!$A$4:$A$369,"&gt;="&amp;$A48,'Daily Log'!$A$4:$A$369,"&lt;="&amp;$A48+6))</f>
        <v/>
      </c>
      <c r="K48" s="40">
        <f>IF($A48&gt;TODAY(),"",SUMIFS('Daily Log'!$D$4:$D$369,'Daily Log'!$A$4:$A$369,"&gt;="&amp;$A48,'Daily Log'!$A$4:$A$369,"&lt;="&amp;$A48+6))</f>
        <v/>
      </c>
      <c r="L48" s="46">
        <f>IFERROR(E48/J48,"")</f>
        <v/>
      </c>
      <c r="M48" s="46">
        <f>IFERROR(H48/E48*1000,"")</f>
        <v/>
      </c>
      <c r="N48" s="55" t="n"/>
    </row>
    <row r="49">
      <c r="A49" s="53">
        <f>A48+7</f>
        <v/>
      </c>
      <c r="B49" s="27" t="n"/>
      <c r="C49" s="54">
        <f>IF(OR(B49="",B48=""),"",B49-B48)</f>
        <v/>
      </c>
      <c r="D49" s="45">
        <f>IF(OR(B49="",B48=""),"",IFERROR((B49-B48)/B48,""))</f>
        <v/>
      </c>
      <c r="E49" s="27" t="n"/>
      <c r="F49" s="27" t="n"/>
      <c r="G49" s="27" t="n"/>
      <c r="H49" s="27" t="n"/>
      <c r="I49" s="27" t="n"/>
      <c r="J49" s="40">
        <f>IF($A49&gt;TODAY(),"",SUMIFS('Daily Log'!$C$4:$C$369,'Daily Log'!$A$4:$A$369,"&gt;="&amp;$A49,'Daily Log'!$A$4:$A$369,"&lt;="&amp;$A49+6))</f>
        <v/>
      </c>
      <c r="K49" s="40">
        <f>IF($A49&gt;TODAY(),"",SUMIFS('Daily Log'!$D$4:$D$369,'Daily Log'!$A$4:$A$369,"&gt;="&amp;$A49,'Daily Log'!$A$4:$A$369,"&lt;="&amp;$A49+6))</f>
        <v/>
      </c>
      <c r="L49" s="46">
        <f>IFERROR(E49/J49,"")</f>
        <v/>
      </c>
      <c r="M49" s="46">
        <f>IFERROR(H49/E49*1000,"")</f>
        <v/>
      </c>
      <c r="N49" s="55" t="n"/>
    </row>
    <row r="50">
      <c r="A50" s="53">
        <f>A49+7</f>
        <v/>
      </c>
      <c r="B50" s="27" t="n"/>
      <c r="C50" s="54">
        <f>IF(OR(B50="",B49=""),"",B50-B49)</f>
        <v/>
      </c>
      <c r="D50" s="45">
        <f>IF(OR(B50="",B49=""),"",IFERROR((B50-B49)/B49,""))</f>
        <v/>
      </c>
      <c r="E50" s="27" t="n"/>
      <c r="F50" s="27" t="n"/>
      <c r="G50" s="27" t="n"/>
      <c r="H50" s="27" t="n"/>
      <c r="I50" s="27" t="n"/>
      <c r="J50" s="40">
        <f>IF($A50&gt;TODAY(),"",SUMIFS('Daily Log'!$C$4:$C$369,'Daily Log'!$A$4:$A$369,"&gt;="&amp;$A50,'Daily Log'!$A$4:$A$369,"&lt;="&amp;$A50+6))</f>
        <v/>
      </c>
      <c r="K50" s="40">
        <f>IF($A50&gt;TODAY(),"",SUMIFS('Daily Log'!$D$4:$D$369,'Daily Log'!$A$4:$A$369,"&gt;="&amp;$A50,'Daily Log'!$A$4:$A$369,"&lt;="&amp;$A50+6))</f>
        <v/>
      </c>
      <c r="L50" s="46">
        <f>IFERROR(E50/J50,"")</f>
        <v/>
      </c>
      <c r="M50" s="46">
        <f>IFERROR(H50/E50*1000,"")</f>
        <v/>
      </c>
      <c r="N50" s="55" t="n"/>
    </row>
    <row r="51">
      <c r="A51" s="53">
        <f>A50+7</f>
        <v/>
      </c>
      <c r="B51" s="27" t="n"/>
      <c r="C51" s="54">
        <f>IF(OR(B51="",B50=""),"",B51-B50)</f>
        <v/>
      </c>
      <c r="D51" s="45">
        <f>IF(OR(B51="",B50=""),"",IFERROR((B51-B50)/B50,""))</f>
        <v/>
      </c>
      <c r="E51" s="27" t="n"/>
      <c r="F51" s="27" t="n"/>
      <c r="G51" s="27" t="n"/>
      <c r="H51" s="27" t="n"/>
      <c r="I51" s="27" t="n"/>
      <c r="J51" s="40">
        <f>IF($A51&gt;TODAY(),"",SUMIFS('Daily Log'!$C$4:$C$369,'Daily Log'!$A$4:$A$369,"&gt;="&amp;$A51,'Daily Log'!$A$4:$A$369,"&lt;="&amp;$A51+6))</f>
        <v/>
      </c>
      <c r="K51" s="40">
        <f>IF($A51&gt;TODAY(),"",SUMIFS('Daily Log'!$D$4:$D$369,'Daily Log'!$A$4:$A$369,"&gt;="&amp;$A51,'Daily Log'!$A$4:$A$369,"&lt;="&amp;$A51+6))</f>
        <v/>
      </c>
      <c r="L51" s="46">
        <f>IFERROR(E51/J51,"")</f>
        <v/>
      </c>
      <c r="M51" s="46">
        <f>IFERROR(H51/E51*1000,"")</f>
        <v/>
      </c>
      <c r="N51" s="55" t="n"/>
    </row>
    <row r="52">
      <c r="A52" s="53">
        <f>A51+7</f>
        <v/>
      </c>
      <c r="B52" s="27" t="n"/>
      <c r="C52" s="54">
        <f>IF(OR(B52="",B51=""),"",B52-B51)</f>
        <v/>
      </c>
      <c r="D52" s="45">
        <f>IF(OR(B52="",B51=""),"",IFERROR((B52-B51)/B51,""))</f>
        <v/>
      </c>
      <c r="E52" s="27" t="n"/>
      <c r="F52" s="27" t="n"/>
      <c r="G52" s="27" t="n"/>
      <c r="H52" s="27" t="n"/>
      <c r="I52" s="27" t="n"/>
      <c r="J52" s="40">
        <f>IF($A52&gt;TODAY(),"",SUMIFS('Daily Log'!$C$4:$C$369,'Daily Log'!$A$4:$A$369,"&gt;="&amp;$A52,'Daily Log'!$A$4:$A$369,"&lt;="&amp;$A52+6))</f>
        <v/>
      </c>
      <c r="K52" s="40">
        <f>IF($A52&gt;TODAY(),"",SUMIFS('Daily Log'!$D$4:$D$369,'Daily Log'!$A$4:$A$369,"&gt;="&amp;$A52,'Daily Log'!$A$4:$A$369,"&lt;="&amp;$A52+6))</f>
        <v/>
      </c>
      <c r="L52" s="46">
        <f>IFERROR(E52/J52,"")</f>
        <v/>
      </c>
      <c r="M52" s="46">
        <f>IFERROR(H52/E52*1000,"")</f>
        <v/>
      </c>
      <c r="N52" s="55" t="n"/>
    </row>
    <row r="53">
      <c r="A53" s="53">
        <f>A52+7</f>
        <v/>
      </c>
      <c r="B53" s="27" t="n"/>
      <c r="C53" s="54">
        <f>IF(OR(B53="",B52=""),"",B53-B52)</f>
        <v/>
      </c>
      <c r="D53" s="45">
        <f>IF(OR(B53="",B52=""),"",IFERROR((B53-B52)/B52,""))</f>
        <v/>
      </c>
      <c r="E53" s="27" t="n"/>
      <c r="F53" s="27" t="n"/>
      <c r="G53" s="27" t="n"/>
      <c r="H53" s="27" t="n"/>
      <c r="I53" s="27" t="n"/>
      <c r="J53" s="40">
        <f>IF($A53&gt;TODAY(),"",SUMIFS('Daily Log'!$C$4:$C$369,'Daily Log'!$A$4:$A$369,"&gt;="&amp;$A53,'Daily Log'!$A$4:$A$369,"&lt;="&amp;$A53+6))</f>
        <v/>
      </c>
      <c r="K53" s="40">
        <f>IF($A53&gt;TODAY(),"",SUMIFS('Daily Log'!$D$4:$D$369,'Daily Log'!$A$4:$A$369,"&gt;="&amp;$A53,'Daily Log'!$A$4:$A$369,"&lt;="&amp;$A53+6))</f>
        <v/>
      </c>
      <c r="L53" s="46">
        <f>IFERROR(E53/J53,"")</f>
        <v/>
      </c>
      <c r="M53" s="46">
        <f>IFERROR(H53/E53*1000,"")</f>
        <v/>
      </c>
      <c r="N53" s="55" t="n"/>
    </row>
    <row r="54">
      <c r="A54" s="53">
        <f>A53+7</f>
        <v/>
      </c>
      <c r="B54" s="27" t="n"/>
      <c r="C54" s="54">
        <f>IF(OR(B54="",B53=""),"",B54-B53)</f>
        <v/>
      </c>
      <c r="D54" s="45">
        <f>IF(OR(B54="",B53=""),"",IFERROR((B54-B53)/B53,""))</f>
        <v/>
      </c>
      <c r="E54" s="27" t="n"/>
      <c r="F54" s="27" t="n"/>
      <c r="G54" s="27" t="n"/>
      <c r="H54" s="27" t="n"/>
      <c r="I54" s="27" t="n"/>
      <c r="J54" s="40">
        <f>IF($A54&gt;TODAY(),"",SUMIFS('Daily Log'!$C$4:$C$369,'Daily Log'!$A$4:$A$369,"&gt;="&amp;$A54,'Daily Log'!$A$4:$A$369,"&lt;="&amp;$A54+6))</f>
        <v/>
      </c>
      <c r="K54" s="40">
        <f>IF($A54&gt;TODAY(),"",SUMIFS('Daily Log'!$D$4:$D$369,'Daily Log'!$A$4:$A$369,"&gt;="&amp;$A54,'Daily Log'!$A$4:$A$369,"&lt;="&amp;$A54+6))</f>
        <v/>
      </c>
      <c r="L54" s="46">
        <f>IFERROR(E54/J54,"")</f>
        <v/>
      </c>
      <c r="M54" s="46">
        <f>IFERROR(H54/E54*1000,"")</f>
        <v/>
      </c>
      <c r="N54" s="55" t="n"/>
    </row>
    <row r="55">
      <c r="A55" s="53">
        <f>A54+7</f>
        <v/>
      </c>
      <c r="B55" s="27" t="n"/>
      <c r="C55" s="54">
        <f>IF(OR(B55="",B54=""),"",B55-B54)</f>
        <v/>
      </c>
      <c r="D55" s="45">
        <f>IF(OR(B55="",B54=""),"",IFERROR((B55-B54)/B54,""))</f>
        <v/>
      </c>
      <c r="E55" s="27" t="n"/>
      <c r="F55" s="27" t="n"/>
      <c r="G55" s="27" t="n"/>
      <c r="H55" s="27" t="n"/>
      <c r="I55" s="27" t="n"/>
      <c r="J55" s="40">
        <f>IF($A55&gt;TODAY(),"",SUMIFS('Daily Log'!$C$4:$C$369,'Daily Log'!$A$4:$A$369,"&gt;="&amp;$A55,'Daily Log'!$A$4:$A$369,"&lt;="&amp;$A55+6))</f>
        <v/>
      </c>
      <c r="K55" s="40">
        <f>IF($A55&gt;TODAY(),"",SUMIFS('Daily Log'!$D$4:$D$369,'Daily Log'!$A$4:$A$369,"&gt;="&amp;$A55,'Daily Log'!$A$4:$A$369,"&lt;="&amp;$A55+6))</f>
        <v/>
      </c>
      <c r="L55" s="46">
        <f>IFERROR(E55/J55,"")</f>
        <v/>
      </c>
      <c r="M55" s="46">
        <f>IFERROR(H55/E55*1000,"")</f>
        <v/>
      </c>
      <c r="N55" s="55" t="n"/>
    </row>
    <row r="56">
      <c r="A56" s="53">
        <f>A55+7</f>
        <v/>
      </c>
      <c r="B56" s="27" t="n"/>
      <c r="C56" s="54">
        <f>IF(OR(B56="",B55=""),"",B56-B55)</f>
        <v/>
      </c>
      <c r="D56" s="45">
        <f>IF(OR(B56="",B55=""),"",IFERROR((B56-B55)/B55,""))</f>
        <v/>
      </c>
      <c r="E56" s="27" t="n"/>
      <c r="F56" s="27" t="n"/>
      <c r="G56" s="27" t="n"/>
      <c r="H56" s="27" t="n"/>
      <c r="I56" s="27" t="n"/>
      <c r="J56" s="40">
        <f>IF($A56&gt;TODAY(),"",SUMIFS('Daily Log'!$C$4:$C$369,'Daily Log'!$A$4:$A$369,"&gt;="&amp;$A56,'Daily Log'!$A$4:$A$369,"&lt;="&amp;$A56+6))</f>
        <v/>
      </c>
      <c r="K56" s="40">
        <f>IF($A56&gt;TODAY(),"",SUMIFS('Daily Log'!$D$4:$D$369,'Daily Log'!$A$4:$A$369,"&gt;="&amp;$A56,'Daily Log'!$A$4:$A$369,"&lt;="&amp;$A56+6))</f>
        <v/>
      </c>
      <c r="L56" s="46">
        <f>IFERROR(E56/J56,"")</f>
        <v/>
      </c>
      <c r="M56" s="46">
        <f>IFERROR(H56/E56*1000,"")</f>
        <v/>
      </c>
      <c r="N56" s="55" t="n"/>
    </row>
    <row r="57">
      <c r="A57" s="53">
        <f>A56+7</f>
        <v/>
      </c>
      <c r="B57" s="27" t="n"/>
      <c r="C57" s="54">
        <f>IF(OR(B57="",B56=""),"",B57-B56)</f>
        <v/>
      </c>
      <c r="D57" s="45">
        <f>IF(OR(B57="",B56=""),"",IFERROR((B57-B56)/B56,""))</f>
        <v/>
      </c>
      <c r="E57" s="27" t="n"/>
      <c r="F57" s="27" t="n"/>
      <c r="G57" s="27" t="n"/>
      <c r="H57" s="27" t="n"/>
      <c r="I57" s="27" t="n"/>
      <c r="J57" s="40">
        <f>IF($A57&gt;TODAY(),"",SUMIFS('Daily Log'!$C$4:$C$369,'Daily Log'!$A$4:$A$369,"&gt;="&amp;$A57,'Daily Log'!$A$4:$A$369,"&lt;="&amp;$A57+6))</f>
        <v/>
      </c>
      <c r="K57" s="40">
        <f>IF($A57&gt;TODAY(),"",SUMIFS('Daily Log'!$D$4:$D$369,'Daily Log'!$A$4:$A$369,"&gt;="&amp;$A57,'Daily Log'!$A$4:$A$369,"&lt;="&amp;$A57+6))</f>
        <v/>
      </c>
      <c r="L57" s="46">
        <f>IFERROR(E57/J57,"")</f>
        <v/>
      </c>
      <c r="M57" s="46">
        <f>IFERROR(H57/E57*1000,"")</f>
        <v/>
      </c>
      <c r="N57" s="55" t="n"/>
    </row>
    <row r="58">
      <c r="A58" s="53">
        <f>A57+7</f>
        <v/>
      </c>
      <c r="B58" s="27" t="n"/>
      <c r="C58" s="54">
        <f>IF(OR(B58="",B57=""),"",B58-B57)</f>
        <v/>
      </c>
      <c r="D58" s="45">
        <f>IF(OR(B58="",B57=""),"",IFERROR((B58-B57)/B57,""))</f>
        <v/>
      </c>
      <c r="E58" s="27" t="n"/>
      <c r="F58" s="27" t="n"/>
      <c r="G58" s="27" t="n"/>
      <c r="H58" s="27" t="n"/>
      <c r="I58" s="27" t="n"/>
      <c r="J58" s="40">
        <f>IF($A58&gt;TODAY(),"",SUMIFS('Daily Log'!$C$4:$C$369,'Daily Log'!$A$4:$A$369,"&gt;="&amp;$A58,'Daily Log'!$A$4:$A$369,"&lt;="&amp;$A58+6))</f>
        <v/>
      </c>
      <c r="K58" s="40">
        <f>IF($A58&gt;TODAY(),"",SUMIFS('Daily Log'!$D$4:$D$369,'Daily Log'!$A$4:$A$369,"&gt;="&amp;$A58,'Daily Log'!$A$4:$A$369,"&lt;="&amp;$A58+6))</f>
        <v/>
      </c>
      <c r="L58" s="46">
        <f>IFERROR(E58/J58,"")</f>
        <v/>
      </c>
      <c r="M58" s="46">
        <f>IFERROR(H58/E58*1000,"")</f>
        <v/>
      </c>
      <c r="N58" s="55" t="n"/>
    </row>
    <row r="59">
      <c r="A59" s="53">
        <f>A58+7</f>
        <v/>
      </c>
      <c r="B59" s="27" t="n"/>
      <c r="C59" s="54">
        <f>IF(OR(B59="",B58=""),"",B59-B58)</f>
        <v/>
      </c>
      <c r="D59" s="45">
        <f>IF(OR(B59="",B58=""),"",IFERROR((B59-B58)/B58,""))</f>
        <v/>
      </c>
      <c r="E59" s="27" t="n"/>
      <c r="F59" s="27" t="n"/>
      <c r="G59" s="27" t="n"/>
      <c r="H59" s="27" t="n"/>
      <c r="I59" s="27" t="n"/>
      <c r="J59" s="40">
        <f>IF($A59&gt;TODAY(),"",SUMIFS('Daily Log'!$C$4:$C$369,'Daily Log'!$A$4:$A$369,"&gt;="&amp;$A59,'Daily Log'!$A$4:$A$369,"&lt;="&amp;$A59+6))</f>
        <v/>
      </c>
      <c r="K59" s="40">
        <f>IF($A59&gt;TODAY(),"",SUMIFS('Daily Log'!$D$4:$D$369,'Daily Log'!$A$4:$A$369,"&gt;="&amp;$A59,'Daily Log'!$A$4:$A$369,"&lt;="&amp;$A59+6))</f>
        <v/>
      </c>
      <c r="L59" s="46">
        <f>IFERROR(E59/J59,"")</f>
        <v/>
      </c>
      <c r="M59" s="46">
        <f>IFERROR(H59/E59*1000,"")</f>
        <v/>
      </c>
      <c r="N59" s="55" t="n"/>
    </row>
    <row r="60">
      <c r="A60" s="53">
        <f>A59+7</f>
        <v/>
      </c>
      <c r="B60" s="27" t="n"/>
      <c r="C60" s="54">
        <f>IF(OR(B60="",B59=""),"",B60-B59)</f>
        <v/>
      </c>
      <c r="D60" s="45">
        <f>IF(OR(B60="",B59=""),"",IFERROR((B60-B59)/B59,""))</f>
        <v/>
      </c>
      <c r="E60" s="27" t="n"/>
      <c r="F60" s="27" t="n"/>
      <c r="G60" s="27" t="n"/>
      <c r="H60" s="27" t="n"/>
      <c r="I60" s="27" t="n"/>
      <c r="J60" s="40">
        <f>IF($A60&gt;TODAY(),"",SUMIFS('Daily Log'!$C$4:$C$369,'Daily Log'!$A$4:$A$369,"&gt;="&amp;$A60,'Daily Log'!$A$4:$A$369,"&lt;="&amp;$A60+6))</f>
        <v/>
      </c>
      <c r="K60" s="40">
        <f>IF($A60&gt;TODAY(),"",SUMIFS('Daily Log'!$D$4:$D$369,'Daily Log'!$A$4:$A$369,"&gt;="&amp;$A60,'Daily Log'!$A$4:$A$369,"&lt;="&amp;$A60+6))</f>
        <v/>
      </c>
      <c r="L60" s="46">
        <f>IFERROR(E60/J60,"")</f>
        <v/>
      </c>
      <c r="M60" s="46">
        <f>IFERROR(H60/E60*1000,"")</f>
        <v/>
      </c>
      <c r="N60" s="55" t="n"/>
    </row>
    <row r="61">
      <c r="A61" s="53">
        <f>A60+7</f>
        <v/>
      </c>
      <c r="B61" s="27" t="n"/>
      <c r="C61" s="54">
        <f>IF(OR(B61="",B60=""),"",B61-B60)</f>
        <v/>
      </c>
      <c r="D61" s="45">
        <f>IF(OR(B61="",B60=""),"",IFERROR((B61-B60)/B60,""))</f>
        <v/>
      </c>
      <c r="E61" s="27" t="n"/>
      <c r="F61" s="27" t="n"/>
      <c r="G61" s="27" t="n"/>
      <c r="H61" s="27" t="n"/>
      <c r="I61" s="27" t="n"/>
      <c r="J61" s="40">
        <f>IF($A61&gt;TODAY(),"",SUMIFS('Daily Log'!$C$4:$C$369,'Daily Log'!$A$4:$A$369,"&gt;="&amp;$A61,'Daily Log'!$A$4:$A$369,"&lt;="&amp;$A61+6))</f>
        <v/>
      </c>
      <c r="K61" s="40">
        <f>IF($A61&gt;TODAY(),"",SUMIFS('Daily Log'!$D$4:$D$369,'Daily Log'!$A$4:$A$369,"&gt;="&amp;$A61,'Daily Log'!$A$4:$A$369,"&lt;="&amp;$A61+6))</f>
        <v/>
      </c>
      <c r="L61" s="46">
        <f>IFERROR(E61/J61,"")</f>
        <v/>
      </c>
      <c r="M61" s="46">
        <f>IFERROR(H61/E61*1000,"")</f>
        <v/>
      </c>
      <c r="N61" s="55" t="n"/>
    </row>
    <row r="62">
      <c r="A62" s="53">
        <f>A61+7</f>
        <v/>
      </c>
      <c r="B62" s="27" t="n"/>
      <c r="C62" s="54">
        <f>IF(OR(B62="",B61=""),"",B62-B61)</f>
        <v/>
      </c>
      <c r="D62" s="45">
        <f>IF(OR(B62="",B61=""),"",IFERROR((B62-B61)/B61,""))</f>
        <v/>
      </c>
      <c r="E62" s="27" t="n"/>
      <c r="F62" s="27" t="n"/>
      <c r="G62" s="27" t="n"/>
      <c r="H62" s="27" t="n"/>
      <c r="I62" s="27" t="n"/>
      <c r="J62" s="40">
        <f>IF($A62&gt;TODAY(),"",SUMIFS('Daily Log'!$C$4:$C$369,'Daily Log'!$A$4:$A$369,"&gt;="&amp;$A62,'Daily Log'!$A$4:$A$369,"&lt;="&amp;$A62+6))</f>
        <v/>
      </c>
      <c r="K62" s="40">
        <f>IF($A62&gt;TODAY(),"",SUMIFS('Daily Log'!$D$4:$D$369,'Daily Log'!$A$4:$A$369,"&gt;="&amp;$A62,'Daily Log'!$A$4:$A$369,"&lt;="&amp;$A62+6))</f>
        <v/>
      </c>
      <c r="L62" s="46">
        <f>IFERROR(E62/J62,"")</f>
        <v/>
      </c>
      <c r="M62" s="46">
        <f>IFERROR(H62/E62*1000,"")</f>
        <v/>
      </c>
      <c r="N62" s="55" t="n"/>
    </row>
    <row r="63">
      <c r="A63" s="53">
        <f>A62+7</f>
        <v/>
      </c>
      <c r="B63" s="27" t="n"/>
      <c r="C63" s="54">
        <f>IF(OR(B63="",B62=""),"",B63-B62)</f>
        <v/>
      </c>
      <c r="D63" s="45">
        <f>IF(OR(B63="",B62=""),"",IFERROR((B63-B62)/B62,""))</f>
        <v/>
      </c>
      <c r="E63" s="27" t="n"/>
      <c r="F63" s="27" t="n"/>
      <c r="G63" s="27" t="n"/>
      <c r="H63" s="27" t="n"/>
      <c r="I63" s="27" t="n"/>
      <c r="J63" s="40">
        <f>IF($A63&gt;TODAY(),"",SUMIFS('Daily Log'!$C$4:$C$369,'Daily Log'!$A$4:$A$369,"&gt;="&amp;$A63,'Daily Log'!$A$4:$A$369,"&lt;="&amp;$A63+6))</f>
        <v/>
      </c>
      <c r="K63" s="40">
        <f>IF($A63&gt;TODAY(),"",SUMIFS('Daily Log'!$D$4:$D$369,'Daily Log'!$A$4:$A$369,"&gt;="&amp;$A63,'Daily Log'!$A$4:$A$369,"&lt;="&amp;$A63+6))</f>
        <v/>
      </c>
      <c r="L63" s="46">
        <f>IFERROR(E63/J63,"")</f>
        <v/>
      </c>
      <c r="M63" s="46">
        <f>IFERROR(H63/E63*1000,"")</f>
        <v/>
      </c>
      <c r="N63" s="55" t="n"/>
    </row>
    <row r="64">
      <c r="A64" s="53">
        <f>A63+7</f>
        <v/>
      </c>
      <c r="B64" s="27" t="n"/>
      <c r="C64" s="54">
        <f>IF(OR(B64="",B63=""),"",B64-B63)</f>
        <v/>
      </c>
      <c r="D64" s="45">
        <f>IF(OR(B64="",B63=""),"",IFERROR((B64-B63)/B63,""))</f>
        <v/>
      </c>
      <c r="E64" s="27" t="n"/>
      <c r="F64" s="27" t="n"/>
      <c r="G64" s="27" t="n"/>
      <c r="H64" s="27" t="n"/>
      <c r="I64" s="27" t="n"/>
      <c r="J64" s="40">
        <f>IF($A64&gt;TODAY(),"",SUMIFS('Daily Log'!$C$4:$C$369,'Daily Log'!$A$4:$A$369,"&gt;="&amp;$A64,'Daily Log'!$A$4:$A$369,"&lt;="&amp;$A64+6))</f>
        <v/>
      </c>
      <c r="K64" s="40">
        <f>IF($A64&gt;TODAY(),"",SUMIFS('Daily Log'!$D$4:$D$369,'Daily Log'!$A$4:$A$369,"&gt;="&amp;$A64,'Daily Log'!$A$4:$A$369,"&lt;="&amp;$A64+6))</f>
        <v/>
      </c>
      <c r="L64" s="46">
        <f>IFERROR(E64/J64,"")</f>
        <v/>
      </c>
      <c r="M64" s="46">
        <f>IFERROR(H64/E64*1000,"")</f>
        <v/>
      </c>
      <c r="N64" s="55" t="n"/>
    </row>
    <row r="65">
      <c r="A65" s="53">
        <f>A64+7</f>
        <v/>
      </c>
      <c r="B65" s="27" t="n"/>
      <c r="C65" s="54">
        <f>IF(OR(B65="",B64=""),"",B65-B64)</f>
        <v/>
      </c>
      <c r="D65" s="45">
        <f>IF(OR(B65="",B64=""),"",IFERROR((B65-B64)/B64,""))</f>
        <v/>
      </c>
      <c r="E65" s="27" t="n"/>
      <c r="F65" s="27" t="n"/>
      <c r="G65" s="27" t="n"/>
      <c r="H65" s="27" t="n"/>
      <c r="I65" s="27" t="n"/>
      <c r="J65" s="40">
        <f>IF($A65&gt;TODAY(),"",SUMIFS('Daily Log'!$C$4:$C$369,'Daily Log'!$A$4:$A$369,"&gt;="&amp;$A65,'Daily Log'!$A$4:$A$369,"&lt;="&amp;$A65+6))</f>
        <v/>
      </c>
      <c r="K65" s="40">
        <f>IF($A65&gt;TODAY(),"",SUMIFS('Daily Log'!$D$4:$D$369,'Daily Log'!$A$4:$A$369,"&gt;="&amp;$A65,'Daily Log'!$A$4:$A$369,"&lt;="&amp;$A65+6))</f>
        <v/>
      </c>
      <c r="L65" s="46">
        <f>IFERROR(E65/J65,"")</f>
        <v/>
      </c>
      <c r="M65" s="46">
        <f>IFERROR(H65/E65*1000,"")</f>
        <v/>
      </c>
      <c r="N65" s="55" t="n"/>
    </row>
    <row r="66">
      <c r="A66" s="53">
        <f>A65+7</f>
        <v/>
      </c>
      <c r="B66" s="27" t="n"/>
      <c r="C66" s="54">
        <f>IF(OR(B66="",B65=""),"",B66-B65)</f>
        <v/>
      </c>
      <c r="D66" s="45">
        <f>IF(OR(B66="",B65=""),"",IFERROR((B66-B65)/B65,""))</f>
        <v/>
      </c>
      <c r="E66" s="27" t="n"/>
      <c r="F66" s="27" t="n"/>
      <c r="G66" s="27" t="n"/>
      <c r="H66" s="27" t="n"/>
      <c r="I66" s="27" t="n"/>
      <c r="J66" s="40">
        <f>IF($A66&gt;TODAY(),"",SUMIFS('Daily Log'!$C$4:$C$369,'Daily Log'!$A$4:$A$369,"&gt;="&amp;$A66,'Daily Log'!$A$4:$A$369,"&lt;="&amp;$A66+6))</f>
        <v/>
      </c>
      <c r="K66" s="40">
        <f>IF($A66&gt;TODAY(),"",SUMIFS('Daily Log'!$D$4:$D$369,'Daily Log'!$A$4:$A$369,"&gt;="&amp;$A66,'Daily Log'!$A$4:$A$369,"&lt;="&amp;$A66+6))</f>
        <v/>
      </c>
      <c r="L66" s="46">
        <f>IFERROR(E66/J66,"")</f>
        <v/>
      </c>
      <c r="M66" s="46">
        <f>IFERROR(H66/E66*1000,"")</f>
        <v/>
      </c>
      <c r="N66" s="55" t="n"/>
    </row>
    <row r="67">
      <c r="A67" s="53">
        <f>A66+7</f>
        <v/>
      </c>
      <c r="B67" s="27" t="n"/>
      <c r="C67" s="54">
        <f>IF(OR(B67="",B66=""),"",B67-B66)</f>
        <v/>
      </c>
      <c r="D67" s="45">
        <f>IF(OR(B67="",B66=""),"",IFERROR((B67-B66)/B66,""))</f>
        <v/>
      </c>
      <c r="E67" s="27" t="n"/>
      <c r="F67" s="27" t="n"/>
      <c r="G67" s="27" t="n"/>
      <c r="H67" s="27" t="n"/>
      <c r="I67" s="27" t="n"/>
      <c r="J67" s="40">
        <f>IF($A67&gt;TODAY(),"",SUMIFS('Daily Log'!$C$4:$C$369,'Daily Log'!$A$4:$A$369,"&gt;="&amp;$A67,'Daily Log'!$A$4:$A$369,"&lt;="&amp;$A67+6))</f>
        <v/>
      </c>
      <c r="K67" s="40">
        <f>IF($A67&gt;TODAY(),"",SUMIFS('Daily Log'!$D$4:$D$369,'Daily Log'!$A$4:$A$369,"&gt;="&amp;$A67,'Daily Log'!$A$4:$A$369,"&lt;="&amp;$A67+6))</f>
        <v/>
      </c>
      <c r="L67" s="46">
        <f>IFERROR(E67/J67,"")</f>
        <v/>
      </c>
      <c r="M67" s="46">
        <f>IFERROR(H67/E67*1000,"")</f>
        <v/>
      </c>
      <c r="N67" s="55" t="n"/>
    </row>
    <row r="68">
      <c r="A68" s="53">
        <f>A67+7</f>
        <v/>
      </c>
      <c r="B68" s="27" t="n"/>
      <c r="C68" s="54">
        <f>IF(OR(B68="",B67=""),"",B68-B67)</f>
        <v/>
      </c>
      <c r="D68" s="45">
        <f>IF(OR(B68="",B67=""),"",IFERROR((B68-B67)/B67,""))</f>
        <v/>
      </c>
      <c r="E68" s="27" t="n"/>
      <c r="F68" s="27" t="n"/>
      <c r="G68" s="27" t="n"/>
      <c r="H68" s="27" t="n"/>
      <c r="I68" s="27" t="n"/>
      <c r="J68" s="40">
        <f>IF($A68&gt;TODAY(),"",SUMIFS('Daily Log'!$C$4:$C$369,'Daily Log'!$A$4:$A$369,"&gt;="&amp;$A68,'Daily Log'!$A$4:$A$369,"&lt;="&amp;$A68+6))</f>
        <v/>
      </c>
      <c r="K68" s="40">
        <f>IF($A68&gt;TODAY(),"",SUMIFS('Daily Log'!$D$4:$D$369,'Daily Log'!$A$4:$A$369,"&gt;="&amp;$A68,'Daily Log'!$A$4:$A$369,"&lt;="&amp;$A68+6))</f>
        <v/>
      </c>
      <c r="L68" s="46">
        <f>IFERROR(E68/J68,"")</f>
        <v/>
      </c>
      <c r="M68" s="46">
        <f>IFERROR(H68/E68*1000,"")</f>
        <v/>
      </c>
      <c r="N68" s="55" t="n"/>
    </row>
    <row r="69">
      <c r="A69" s="53">
        <f>A68+7</f>
        <v/>
      </c>
      <c r="B69" s="27" t="n"/>
      <c r="C69" s="54">
        <f>IF(OR(B69="",B68=""),"",B69-B68)</f>
        <v/>
      </c>
      <c r="D69" s="45">
        <f>IF(OR(B69="",B68=""),"",IFERROR((B69-B68)/B68,""))</f>
        <v/>
      </c>
      <c r="E69" s="27" t="n"/>
      <c r="F69" s="27" t="n"/>
      <c r="G69" s="27" t="n"/>
      <c r="H69" s="27" t="n"/>
      <c r="I69" s="27" t="n"/>
      <c r="J69" s="40">
        <f>IF($A69&gt;TODAY(),"",SUMIFS('Daily Log'!$C$4:$C$369,'Daily Log'!$A$4:$A$369,"&gt;="&amp;$A69,'Daily Log'!$A$4:$A$369,"&lt;="&amp;$A69+6))</f>
        <v/>
      </c>
      <c r="K69" s="40">
        <f>IF($A69&gt;TODAY(),"",SUMIFS('Daily Log'!$D$4:$D$369,'Daily Log'!$A$4:$A$369,"&gt;="&amp;$A69,'Daily Log'!$A$4:$A$369,"&lt;="&amp;$A69+6))</f>
        <v/>
      </c>
      <c r="L69" s="46">
        <f>IFERROR(E69/J69,"")</f>
        <v/>
      </c>
      <c r="M69" s="46">
        <f>IFERROR(H69/E69*1000,"")</f>
        <v/>
      </c>
      <c r="N69" s="55" t="n"/>
    </row>
    <row r="70">
      <c r="A70" s="53">
        <f>A69+7</f>
        <v/>
      </c>
      <c r="B70" s="27" t="n"/>
      <c r="C70" s="54">
        <f>IF(OR(B70="",B69=""),"",B70-B69)</f>
        <v/>
      </c>
      <c r="D70" s="45">
        <f>IF(OR(B70="",B69=""),"",IFERROR((B70-B69)/B69,""))</f>
        <v/>
      </c>
      <c r="E70" s="27" t="n"/>
      <c r="F70" s="27" t="n"/>
      <c r="G70" s="27" t="n"/>
      <c r="H70" s="27" t="n"/>
      <c r="I70" s="27" t="n"/>
      <c r="J70" s="40">
        <f>IF($A70&gt;TODAY(),"",SUMIFS('Daily Log'!$C$4:$C$369,'Daily Log'!$A$4:$A$369,"&gt;="&amp;$A70,'Daily Log'!$A$4:$A$369,"&lt;="&amp;$A70+6))</f>
        <v/>
      </c>
      <c r="K70" s="40">
        <f>IF($A70&gt;TODAY(),"",SUMIFS('Daily Log'!$D$4:$D$369,'Daily Log'!$A$4:$A$369,"&gt;="&amp;$A70,'Daily Log'!$A$4:$A$369,"&lt;="&amp;$A70+6))</f>
        <v/>
      </c>
      <c r="L70" s="46">
        <f>IFERROR(E70/J70,"")</f>
        <v/>
      </c>
      <c r="M70" s="46">
        <f>IFERROR(H70/E70*1000,"")</f>
        <v/>
      </c>
      <c r="N70" s="55" t="n"/>
    </row>
    <row r="71">
      <c r="A71" s="53">
        <f>A70+7</f>
        <v/>
      </c>
      <c r="B71" s="27" t="n"/>
      <c r="C71" s="54">
        <f>IF(OR(B71="",B70=""),"",B71-B70)</f>
        <v/>
      </c>
      <c r="D71" s="45">
        <f>IF(OR(B71="",B70=""),"",IFERROR((B71-B70)/B70,""))</f>
        <v/>
      </c>
      <c r="E71" s="27" t="n"/>
      <c r="F71" s="27" t="n"/>
      <c r="G71" s="27" t="n"/>
      <c r="H71" s="27" t="n"/>
      <c r="I71" s="27" t="n"/>
      <c r="J71" s="40">
        <f>IF($A71&gt;TODAY(),"",SUMIFS('Daily Log'!$C$4:$C$369,'Daily Log'!$A$4:$A$369,"&gt;="&amp;$A71,'Daily Log'!$A$4:$A$369,"&lt;="&amp;$A71+6))</f>
        <v/>
      </c>
      <c r="K71" s="40">
        <f>IF($A71&gt;TODAY(),"",SUMIFS('Daily Log'!$D$4:$D$369,'Daily Log'!$A$4:$A$369,"&gt;="&amp;$A71,'Daily Log'!$A$4:$A$369,"&lt;="&amp;$A71+6))</f>
        <v/>
      </c>
      <c r="L71" s="46">
        <f>IFERROR(E71/J71,"")</f>
        <v/>
      </c>
      <c r="M71" s="46">
        <f>IFERROR(H71/E71*1000,"")</f>
        <v/>
      </c>
      <c r="N71" s="55" t="n"/>
    </row>
    <row r="72">
      <c r="A72" s="53">
        <f>A71+7</f>
        <v/>
      </c>
      <c r="B72" s="27" t="n"/>
      <c r="C72" s="54">
        <f>IF(OR(B72="",B71=""),"",B72-B71)</f>
        <v/>
      </c>
      <c r="D72" s="45">
        <f>IF(OR(B72="",B71=""),"",IFERROR((B72-B71)/B71,""))</f>
        <v/>
      </c>
      <c r="E72" s="27" t="n"/>
      <c r="F72" s="27" t="n"/>
      <c r="G72" s="27" t="n"/>
      <c r="H72" s="27" t="n"/>
      <c r="I72" s="27" t="n"/>
      <c r="J72" s="40">
        <f>IF($A72&gt;TODAY(),"",SUMIFS('Daily Log'!$C$4:$C$369,'Daily Log'!$A$4:$A$369,"&gt;="&amp;$A72,'Daily Log'!$A$4:$A$369,"&lt;="&amp;$A72+6))</f>
        <v/>
      </c>
      <c r="K72" s="40">
        <f>IF($A72&gt;TODAY(),"",SUMIFS('Daily Log'!$D$4:$D$369,'Daily Log'!$A$4:$A$369,"&gt;="&amp;$A72,'Daily Log'!$A$4:$A$369,"&lt;="&amp;$A72+6))</f>
        <v/>
      </c>
      <c r="L72" s="46">
        <f>IFERROR(E72/J72,"")</f>
        <v/>
      </c>
      <c r="M72" s="46">
        <f>IFERROR(H72/E72*1000,"")</f>
        <v/>
      </c>
      <c r="N72" s="55" t="n"/>
    </row>
  </sheetData>
  <mergeCells count="9">
    <mergeCell ref="A18:N18"/>
    <mergeCell ref="A7:H7"/>
    <mergeCell ref="A4:N4"/>
    <mergeCell ref="A2:N2"/>
    <mergeCell ref="A10:E16"/>
    <mergeCell ref="G10:K16"/>
    <mergeCell ref="A5:H5"/>
    <mergeCell ref="A6:H6"/>
    <mergeCell ref="A1:N1"/>
  </mergeCells>
  <conditionalFormatting sqref="C20:D72">
    <cfRule type="expression" priority="1" dxfId="2" stopIfTrue="0">
      <formula>AND($C20&lt;&gt;"",$C20&gt;0)</formula>
    </cfRule>
    <cfRule type="expression" priority="2" dxfId="3" stopIfTrue="0">
      <formula>AND($C20&lt;&gt;"",$C20&lt;0)</formula>
    </cfRule>
  </conditionalFormatting>
  <dataValidations count="1">
    <dataValidation sqref="B20:B72 E20:E72 F20:F72 G20:G72 H20:H72 I20:I72" showDropDown="0" showInputMessage="0" showErrorMessage="1" allowBlank="1" errorTitle="Whole numbers only" error="Enter a whole number of 0 or more." type="whole" operator="greaterThanOrEqual">
      <formula1>0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1B1916"/>
    <outlinePr summaryBelow="1" summaryRight="1"/>
    <pageSetUpPr/>
  </sheetPr>
  <dimension ref="A1:R1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8" customWidth="1" min="13" max="13"/>
    <col width="11" customWidth="1" min="14" max="14"/>
    <col width="11" customWidth="1" min="15" max="15"/>
    <col width="8" customWidth="1" min="16" max="16"/>
    <col width="8" customWidth="1" min="17" max="17"/>
    <col width="8" customWidth="1" min="18" max="18"/>
  </cols>
  <sheetData>
    <row r="1" ht="30" customHeight="1">
      <c r="A1" s="1" t="inlineStr">
        <is>
          <t>WEEKLY ROLLUP — your last 13 weeks</t>
        </is>
      </c>
    </row>
    <row r="2" ht="18" customHeight="1">
      <c r="A2" s="2" t="inlineStr">
        <is>
          <t>All automatic. This is what the dashboard charts read from. Nothing to fill in here.</t>
        </is>
      </c>
    </row>
    <row r="3" ht="32" customHeight="1">
      <c r="A3" s="8" t="inlineStr">
        <is>
          <t>Week Starting</t>
        </is>
      </c>
      <c r="B3" s="8" t="inlineStr">
        <is>
          <t>Week</t>
        </is>
      </c>
      <c r="C3" s="8" t="inlineStr">
        <is>
          <t>Days
Logged</t>
        </is>
      </c>
      <c r="D3" s="8" t="inlineStr">
        <is>
          <t>Reels /
Posts</t>
        </is>
      </c>
      <c r="E3" s="8" t="inlineStr">
        <is>
          <t>Stories</t>
        </is>
      </c>
      <c r="F3" s="8" t="inlineStr">
        <is>
          <t>Opener
DMs</t>
        </is>
      </c>
      <c r="G3" s="8" t="inlineStr">
        <is>
          <t>Follow-Up
DMs</t>
        </is>
      </c>
      <c r="H3" s="8" t="inlineStr">
        <is>
          <t>Total DMs
Sent</t>
        </is>
      </c>
      <c r="I3" s="8" t="inlineStr">
        <is>
          <t>Replies</t>
        </is>
      </c>
      <c r="J3" s="8" t="inlineStr">
        <is>
          <t>Calls
Pitched</t>
        </is>
      </c>
      <c r="K3" s="8" t="inlineStr">
        <is>
          <t>Calls
Booked</t>
        </is>
      </c>
      <c r="L3" s="8" t="inlineStr">
        <is>
          <t>Calls
Showed</t>
        </is>
      </c>
      <c r="M3" s="8" t="inlineStr">
        <is>
          <t>Closes</t>
        </is>
      </c>
      <c r="N3" s="8" t="inlineStr">
        <is>
          <t>Cash
Collected</t>
        </is>
      </c>
      <c r="O3" s="8" t="inlineStr">
        <is>
          <t>Revenue</t>
        </is>
      </c>
      <c r="P3" s="8" t="inlineStr">
        <is>
          <t>Reply
Rate</t>
        </is>
      </c>
      <c r="Q3" s="8" t="inlineStr">
        <is>
          <t>Book
Rate</t>
        </is>
      </c>
      <c r="R3" s="8" t="inlineStr">
        <is>
          <t>Close
Rate</t>
        </is>
      </c>
    </row>
    <row r="4">
      <c r="A4" s="56">
        <f>TODAY()-WEEKDAY(TODAY(),2)+1-84</f>
        <v/>
      </c>
      <c r="B4" s="57">
        <f>IF(A4="","",TEXT(A4,"d mmm"))</f>
        <v/>
      </c>
      <c r="C4" s="40">
        <f>IF($A4&lt;Setup!$C$9,"",SUMIFS('Daily Log'!$Q$4:$Q$369,'Daily Log'!$A$4:$A$369,"&gt;="&amp;$A4,'Daily Log'!$A$4:$A$369,"&lt;="&amp;$A4+6))</f>
        <v/>
      </c>
      <c r="D4" s="40">
        <f>IF($A4&lt;Setup!$C$9,"",SUMIFS('Daily Log'!$C$4:$C$369,'Daily Log'!$A$4:$A$369,"&gt;="&amp;$A4,'Daily Log'!$A$4:$A$369,"&lt;="&amp;$A4+6))</f>
        <v/>
      </c>
      <c r="E4" s="40">
        <f>IF($A4&lt;Setup!$C$9,"",SUMIFS('Daily Log'!$D$4:$D$369,'Daily Log'!$A$4:$A$369,"&gt;="&amp;$A4,'Daily Log'!$A$4:$A$369,"&lt;="&amp;$A4+6))</f>
        <v/>
      </c>
      <c r="F4" s="40">
        <f>IF($A4&lt;Setup!$C$9,"",SUMIFS('Daily Log'!$E$4:$E$369,'Daily Log'!$A$4:$A$369,"&gt;="&amp;$A4,'Daily Log'!$A$4:$A$369,"&lt;="&amp;$A4+6))</f>
        <v/>
      </c>
      <c r="G4" s="40">
        <f>IF($A4&lt;Setup!$C$9,"",SUMIFS('Daily Log'!$F$4:$F$369,'Daily Log'!$A$4:$A$369,"&gt;="&amp;$A4,'Daily Log'!$A$4:$A$369,"&lt;="&amp;$A4+6))</f>
        <v/>
      </c>
      <c r="H4" s="40">
        <f>IF($A4&lt;Setup!$C$9,"",IFERROR(F4+G4,""))</f>
        <v/>
      </c>
      <c r="I4" s="40">
        <f>IF($A4&lt;Setup!$C$9,"",SUMIFS('Daily Log'!$G$4:$G$369,'Daily Log'!$A$4:$A$369,"&gt;="&amp;$A4,'Daily Log'!$A$4:$A$369,"&lt;="&amp;$A4+6))</f>
        <v/>
      </c>
      <c r="J4" s="40">
        <f>IF($A4&lt;Setup!$C$9,"",SUMIFS('Daily Log'!$H$4:$H$369,'Daily Log'!$A$4:$A$369,"&gt;="&amp;$A4,'Daily Log'!$A$4:$A$369,"&lt;="&amp;$A4+6))</f>
        <v/>
      </c>
      <c r="K4" s="40">
        <f>IF($A4&lt;Setup!$C$9,"",SUMIFS('Daily Log'!$I$4:$I$369,'Daily Log'!$A$4:$A$369,"&gt;="&amp;$A4,'Daily Log'!$A$4:$A$369,"&lt;="&amp;$A4+6))</f>
        <v/>
      </c>
      <c r="L4" s="40">
        <f>IF($A4&lt;Setup!$C$9,"",SUMIFS('Daily Log'!$J$4:$J$369,'Daily Log'!$A$4:$A$369,"&gt;="&amp;$A4,'Daily Log'!$A$4:$A$369,"&lt;="&amp;$A4+6))</f>
        <v/>
      </c>
      <c r="M4" s="40">
        <f>IF($A4&lt;Setup!$C$9,"",SUMIFS('Daily Log'!$K$4:$K$369,'Daily Log'!$A$4:$A$369,"&gt;="&amp;$A4,'Daily Log'!$A$4:$A$369,"&lt;="&amp;$A4+6))</f>
        <v/>
      </c>
      <c r="N4" s="44">
        <f>IF($A4&lt;Setup!$C$9,"",SUMIFS('Daily Log'!$L$4:$L$369,'Daily Log'!$A$4:$A$369,"&gt;="&amp;$A4,'Daily Log'!$A$4:$A$369,"&lt;="&amp;$A4+6))</f>
        <v/>
      </c>
      <c r="O4" s="44">
        <f>IF($A4&lt;Setup!$C$9,"",SUMIFS('Daily Log'!$M$4:$M$369,'Daily Log'!$A$4:$A$369,"&gt;="&amp;$A4,'Daily Log'!$A$4:$A$369,"&lt;="&amp;$A4+6))</f>
        <v/>
      </c>
      <c r="P4" s="45">
        <f>IFERROR(I4/H4,"")</f>
        <v/>
      </c>
      <c r="Q4" s="45">
        <f>IFERROR(K4/J4,"")</f>
        <v/>
      </c>
      <c r="R4" s="45">
        <f>IFERROR(M4/L4,"")</f>
        <v/>
      </c>
    </row>
    <row r="5">
      <c r="A5" s="56">
        <f>A4+7</f>
        <v/>
      </c>
      <c r="B5" s="57">
        <f>IF(A5="","",TEXT(A5,"d mmm"))</f>
        <v/>
      </c>
      <c r="C5" s="40">
        <f>IF($A5&lt;Setup!$C$9,"",SUMIFS('Daily Log'!$Q$4:$Q$369,'Daily Log'!$A$4:$A$369,"&gt;="&amp;$A5,'Daily Log'!$A$4:$A$369,"&lt;="&amp;$A5+6))</f>
        <v/>
      </c>
      <c r="D5" s="40">
        <f>IF($A5&lt;Setup!$C$9,"",SUMIFS('Daily Log'!$C$4:$C$369,'Daily Log'!$A$4:$A$369,"&gt;="&amp;$A5,'Daily Log'!$A$4:$A$369,"&lt;="&amp;$A5+6))</f>
        <v/>
      </c>
      <c r="E5" s="40">
        <f>IF($A5&lt;Setup!$C$9,"",SUMIFS('Daily Log'!$D$4:$D$369,'Daily Log'!$A$4:$A$369,"&gt;="&amp;$A5,'Daily Log'!$A$4:$A$369,"&lt;="&amp;$A5+6))</f>
        <v/>
      </c>
      <c r="F5" s="40">
        <f>IF($A5&lt;Setup!$C$9,"",SUMIFS('Daily Log'!$E$4:$E$369,'Daily Log'!$A$4:$A$369,"&gt;="&amp;$A5,'Daily Log'!$A$4:$A$369,"&lt;="&amp;$A5+6))</f>
        <v/>
      </c>
      <c r="G5" s="40">
        <f>IF($A5&lt;Setup!$C$9,"",SUMIFS('Daily Log'!$F$4:$F$369,'Daily Log'!$A$4:$A$369,"&gt;="&amp;$A5,'Daily Log'!$A$4:$A$369,"&lt;="&amp;$A5+6))</f>
        <v/>
      </c>
      <c r="H5" s="40">
        <f>IF($A5&lt;Setup!$C$9,"",IFERROR(F5+G5,""))</f>
        <v/>
      </c>
      <c r="I5" s="40">
        <f>IF($A5&lt;Setup!$C$9,"",SUMIFS('Daily Log'!$G$4:$G$369,'Daily Log'!$A$4:$A$369,"&gt;="&amp;$A5,'Daily Log'!$A$4:$A$369,"&lt;="&amp;$A5+6))</f>
        <v/>
      </c>
      <c r="J5" s="40">
        <f>IF($A5&lt;Setup!$C$9,"",SUMIFS('Daily Log'!$H$4:$H$369,'Daily Log'!$A$4:$A$369,"&gt;="&amp;$A5,'Daily Log'!$A$4:$A$369,"&lt;="&amp;$A5+6))</f>
        <v/>
      </c>
      <c r="K5" s="40">
        <f>IF($A5&lt;Setup!$C$9,"",SUMIFS('Daily Log'!$I$4:$I$369,'Daily Log'!$A$4:$A$369,"&gt;="&amp;$A5,'Daily Log'!$A$4:$A$369,"&lt;="&amp;$A5+6))</f>
        <v/>
      </c>
      <c r="L5" s="40">
        <f>IF($A5&lt;Setup!$C$9,"",SUMIFS('Daily Log'!$J$4:$J$369,'Daily Log'!$A$4:$A$369,"&gt;="&amp;$A5,'Daily Log'!$A$4:$A$369,"&lt;="&amp;$A5+6))</f>
        <v/>
      </c>
      <c r="M5" s="40">
        <f>IF($A5&lt;Setup!$C$9,"",SUMIFS('Daily Log'!$K$4:$K$369,'Daily Log'!$A$4:$A$369,"&gt;="&amp;$A5,'Daily Log'!$A$4:$A$369,"&lt;="&amp;$A5+6))</f>
        <v/>
      </c>
      <c r="N5" s="44">
        <f>IF($A5&lt;Setup!$C$9,"",SUMIFS('Daily Log'!$L$4:$L$369,'Daily Log'!$A$4:$A$369,"&gt;="&amp;$A5,'Daily Log'!$A$4:$A$369,"&lt;="&amp;$A5+6))</f>
        <v/>
      </c>
      <c r="O5" s="44">
        <f>IF($A5&lt;Setup!$C$9,"",SUMIFS('Daily Log'!$M$4:$M$369,'Daily Log'!$A$4:$A$369,"&gt;="&amp;$A5,'Daily Log'!$A$4:$A$369,"&lt;="&amp;$A5+6))</f>
        <v/>
      </c>
      <c r="P5" s="45">
        <f>IFERROR(I5/H5,"")</f>
        <v/>
      </c>
      <c r="Q5" s="45">
        <f>IFERROR(K5/J5,"")</f>
        <v/>
      </c>
      <c r="R5" s="45">
        <f>IFERROR(M5/L5,"")</f>
        <v/>
      </c>
    </row>
    <row r="6">
      <c r="A6" s="56">
        <f>A5+7</f>
        <v/>
      </c>
      <c r="B6" s="57">
        <f>IF(A6="","",TEXT(A6,"d mmm"))</f>
        <v/>
      </c>
      <c r="C6" s="40">
        <f>IF($A6&lt;Setup!$C$9,"",SUMIFS('Daily Log'!$Q$4:$Q$369,'Daily Log'!$A$4:$A$369,"&gt;="&amp;$A6,'Daily Log'!$A$4:$A$369,"&lt;="&amp;$A6+6))</f>
        <v/>
      </c>
      <c r="D6" s="40">
        <f>IF($A6&lt;Setup!$C$9,"",SUMIFS('Daily Log'!$C$4:$C$369,'Daily Log'!$A$4:$A$369,"&gt;="&amp;$A6,'Daily Log'!$A$4:$A$369,"&lt;="&amp;$A6+6))</f>
        <v/>
      </c>
      <c r="E6" s="40">
        <f>IF($A6&lt;Setup!$C$9,"",SUMIFS('Daily Log'!$D$4:$D$369,'Daily Log'!$A$4:$A$369,"&gt;="&amp;$A6,'Daily Log'!$A$4:$A$369,"&lt;="&amp;$A6+6))</f>
        <v/>
      </c>
      <c r="F6" s="40">
        <f>IF($A6&lt;Setup!$C$9,"",SUMIFS('Daily Log'!$E$4:$E$369,'Daily Log'!$A$4:$A$369,"&gt;="&amp;$A6,'Daily Log'!$A$4:$A$369,"&lt;="&amp;$A6+6))</f>
        <v/>
      </c>
      <c r="G6" s="40">
        <f>IF($A6&lt;Setup!$C$9,"",SUMIFS('Daily Log'!$F$4:$F$369,'Daily Log'!$A$4:$A$369,"&gt;="&amp;$A6,'Daily Log'!$A$4:$A$369,"&lt;="&amp;$A6+6))</f>
        <v/>
      </c>
      <c r="H6" s="40">
        <f>IF($A6&lt;Setup!$C$9,"",IFERROR(F6+G6,""))</f>
        <v/>
      </c>
      <c r="I6" s="40">
        <f>IF($A6&lt;Setup!$C$9,"",SUMIFS('Daily Log'!$G$4:$G$369,'Daily Log'!$A$4:$A$369,"&gt;="&amp;$A6,'Daily Log'!$A$4:$A$369,"&lt;="&amp;$A6+6))</f>
        <v/>
      </c>
      <c r="J6" s="40">
        <f>IF($A6&lt;Setup!$C$9,"",SUMIFS('Daily Log'!$H$4:$H$369,'Daily Log'!$A$4:$A$369,"&gt;="&amp;$A6,'Daily Log'!$A$4:$A$369,"&lt;="&amp;$A6+6))</f>
        <v/>
      </c>
      <c r="K6" s="40">
        <f>IF($A6&lt;Setup!$C$9,"",SUMIFS('Daily Log'!$I$4:$I$369,'Daily Log'!$A$4:$A$369,"&gt;="&amp;$A6,'Daily Log'!$A$4:$A$369,"&lt;="&amp;$A6+6))</f>
        <v/>
      </c>
      <c r="L6" s="40">
        <f>IF($A6&lt;Setup!$C$9,"",SUMIFS('Daily Log'!$J$4:$J$369,'Daily Log'!$A$4:$A$369,"&gt;="&amp;$A6,'Daily Log'!$A$4:$A$369,"&lt;="&amp;$A6+6))</f>
        <v/>
      </c>
      <c r="M6" s="40">
        <f>IF($A6&lt;Setup!$C$9,"",SUMIFS('Daily Log'!$K$4:$K$369,'Daily Log'!$A$4:$A$369,"&gt;="&amp;$A6,'Daily Log'!$A$4:$A$369,"&lt;="&amp;$A6+6))</f>
        <v/>
      </c>
      <c r="N6" s="44">
        <f>IF($A6&lt;Setup!$C$9,"",SUMIFS('Daily Log'!$L$4:$L$369,'Daily Log'!$A$4:$A$369,"&gt;="&amp;$A6,'Daily Log'!$A$4:$A$369,"&lt;="&amp;$A6+6))</f>
        <v/>
      </c>
      <c r="O6" s="44">
        <f>IF($A6&lt;Setup!$C$9,"",SUMIFS('Daily Log'!$M$4:$M$369,'Daily Log'!$A$4:$A$369,"&gt;="&amp;$A6,'Daily Log'!$A$4:$A$369,"&lt;="&amp;$A6+6))</f>
        <v/>
      </c>
      <c r="P6" s="45">
        <f>IFERROR(I6/H6,"")</f>
        <v/>
      </c>
      <c r="Q6" s="45">
        <f>IFERROR(K6/J6,"")</f>
        <v/>
      </c>
      <c r="R6" s="45">
        <f>IFERROR(M6/L6,"")</f>
        <v/>
      </c>
    </row>
    <row r="7">
      <c r="A7" s="56">
        <f>A6+7</f>
        <v/>
      </c>
      <c r="B7" s="57">
        <f>IF(A7="","",TEXT(A7,"d mmm"))</f>
        <v/>
      </c>
      <c r="C7" s="40">
        <f>IF($A7&lt;Setup!$C$9,"",SUMIFS('Daily Log'!$Q$4:$Q$369,'Daily Log'!$A$4:$A$369,"&gt;="&amp;$A7,'Daily Log'!$A$4:$A$369,"&lt;="&amp;$A7+6))</f>
        <v/>
      </c>
      <c r="D7" s="40">
        <f>IF($A7&lt;Setup!$C$9,"",SUMIFS('Daily Log'!$C$4:$C$369,'Daily Log'!$A$4:$A$369,"&gt;="&amp;$A7,'Daily Log'!$A$4:$A$369,"&lt;="&amp;$A7+6))</f>
        <v/>
      </c>
      <c r="E7" s="40">
        <f>IF($A7&lt;Setup!$C$9,"",SUMIFS('Daily Log'!$D$4:$D$369,'Daily Log'!$A$4:$A$369,"&gt;="&amp;$A7,'Daily Log'!$A$4:$A$369,"&lt;="&amp;$A7+6))</f>
        <v/>
      </c>
      <c r="F7" s="40">
        <f>IF($A7&lt;Setup!$C$9,"",SUMIFS('Daily Log'!$E$4:$E$369,'Daily Log'!$A$4:$A$369,"&gt;="&amp;$A7,'Daily Log'!$A$4:$A$369,"&lt;="&amp;$A7+6))</f>
        <v/>
      </c>
      <c r="G7" s="40">
        <f>IF($A7&lt;Setup!$C$9,"",SUMIFS('Daily Log'!$F$4:$F$369,'Daily Log'!$A$4:$A$369,"&gt;="&amp;$A7,'Daily Log'!$A$4:$A$369,"&lt;="&amp;$A7+6))</f>
        <v/>
      </c>
      <c r="H7" s="40">
        <f>IF($A7&lt;Setup!$C$9,"",IFERROR(F7+G7,""))</f>
        <v/>
      </c>
      <c r="I7" s="40">
        <f>IF($A7&lt;Setup!$C$9,"",SUMIFS('Daily Log'!$G$4:$G$369,'Daily Log'!$A$4:$A$369,"&gt;="&amp;$A7,'Daily Log'!$A$4:$A$369,"&lt;="&amp;$A7+6))</f>
        <v/>
      </c>
      <c r="J7" s="40">
        <f>IF($A7&lt;Setup!$C$9,"",SUMIFS('Daily Log'!$H$4:$H$369,'Daily Log'!$A$4:$A$369,"&gt;="&amp;$A7,'Daily Log'!$A$4:$A$369,"&lt;="&amp;$A7+6))</f>
        <v/>
      </c>
      <c r="K7" s="40">
        <f>IF($A7&lt;Setup!$C$9,"",SUMIFS('Daily Log'!$I$4:$I$369,'Daily Log'!$A$4:$A$369,"&gt;="&amp;$A7,'Daily Log'!$A$4:$A$369,"&lt;="&amp;$A7+6))</f>
        <v/>
      </c>
      <c r="L7" s="40">
        <f>IF($A7&lt;Setup!$C$9,"",SUMIFS('Daily Log'!$J$4:$J$369,'Daily Log'!$A$4:$A$369,"&gt;="&amp;$A7,'Daily Log'!$A$4:$A$369,"&lt;="&amp;$A7+6))</f>
        <v/>
      </c>
      <c r="M7" s="40">
        <f>IF($A7&lt;Setup!$C$9,"",SUMIFS('Daily Log'!$K$4:$K$369,'Daily Log'!$A$4:$A$369,"&gt;="&amp;$A7,'Daily Log'!$A$4:$A$369,"&lt;="&amp;$A7+6))</f>
        <v/>
      </c>
      <c r="N7" s="44">
        <f>IF($A7&lt;Setup!$C$9,"",SUMIFS('Daily Log'!$L$4:$L$369,'Daily Log'!$A$4:$A$369,"&gt;="&amp;$A7,'Daily Log'!$A$4:$A$369,"&lt;="&amp;$A7+6))</f>
        <v/>
      </c>
      <c r="O7" s="44">
        <f>IF($A7&lt;Setup!$C$9,"",SUMIFS('Daily Log'!$M$4:$M$369,'Daily Log'!$A$4:$A$369,"&gt;="&amp;$A7,'Daily Log'!$A$4:$A$369,"&lt;="&amp;$A7+6))</f>
        <v/>
      </c>
      <c r="P7" s="45">
        <f>IFERROR(I7/H7,"")</f>
        <v/>
      </c>
      <c r="Q7" s="45">
        <f>IFERROR(K7/J7,"")</f>
        <v/>
      </c>
      <c r="R7" s="45">
        <f>IFERROR(M7/L7,"")</f>
        <v/>
      </c>
    </row>
    <row r="8">
      <c r="A8" s="56">
        <f>A7+7</f>
        <v/>
      </c>
      <c r="B8" s="57">
        <f>IF(A8="","",TEXT(A8,"d mmm"))</f>
        <v/>
      </c>
      <c r="C8" s="40">
        <f>IF($A8&lt;Setup!$C$9,"",SUMIFS('Daily Log'!$Q$4:$Q$369,'Daily Log'!$A$4:$A$369,"&gt;="&amp;$A8,'Daily Log'!$A$4:$A$369,"&lt;="&amp;$A8+6))</f>
        <v/>
      </c>
      <c r="D8" s="40">
        <f>IF($A8&lt;Setup!$C$9,"",SUMIFS('Daily Log'!$C$4:$C$369,'Daily Log'!$A$4:$A$369,"&gt;="&amp;$A8,'Daily Log'!$A$4:$A$369,"&lt;="&amp;$A8+6))</f>
        <v/>
      </c>
      <c r="E8" s="40">
        <f>IF($A8&lt;Setup!$C$9,"",SUMIFS('Daily Log'!$D$4:$D$369,'Daily Log'!$A$4:$A$369,"&gt;="&amp;$A8,'Daily Log'!$A$4:$A$369,"&lt;="&amp;$A8+6))</f>
        <v/>
      </c>
      <c r="F8" s="40">
        <f>IF($A8&lt;Setup!$C$9,"",SUMIFS('Daily Log'!$E$4:$E$369,'Daily Log'!$A$4:$A$369,"&gt;="&amp;$A8,'Daily Log'!$A$4:$A$369,"&lt;="&amp;$A8+6))</f>
        <v/>
      </c>
      <c r="G8" s="40">
        <f>IF($A8&lt;Setup!$C$9,"",SUMIFS('Daily Log'!$F$4:$F$369,'Daily Log'!$A$4:$A$369,"&gt;="&amp;$A8,'Daily Log'!$A$4:$A$369,"&lt;="&amp;$A8+6))</f>
        <v/>
      </c>
      <c r="H8" s="40">
        <f>IF($A8&lt;Setup!$C$9,"",IFERROR(F8+G8,""))</f>
        <v/>
      </c>
      <c r="I8" s="40">
        <f>IF($A8&lt;Setup!$C$9,"",SUMIFS('Daily Log'!$G$4:$G$369,'Daily Log'!$A$4:$A$369,"&gt;="&amp;$A8,'Daily Log'!$A$4:$A$369,"&lt;="&amp;$A8+6))</f>
        <v/>
      </c>
      <c r="J8" s="40">
        <f>IF($A8&lt;Setup!$C$9,"",SUMIFS('Daily Log'!$H$4:$H$369,'Daily Log'!$A$4:$A$369,"&gt;="&amp;$A8,'Daily Log'!$A$4:$A$369,"&lt;="&amp;$A8+6))</f>
        <v/>
      </c>
      <c r="K8" s="40">
        <f>IF($A8&lt;Setup!$C$9,"",SUMIFS('Daily Log'!$I$4:$I$369,'Daily Log'!$A$4:$A$369,"&gt;="&amp;$A8,'Daily Log'!$A$4:$A$369,"&lt;="&amp;$A8+6))</f>
        <v/>
      </c>
      <c r="L8" s="40">
        <f>IF($A8&lt;Setup!$C$9,"",SUMIFS('Daily Log'!$J$4:$J$369,'Daily Log'!$A$4:$A$369,"&gt;="&amp;$A8,'Daily Log'!$A$4:$A$369,"&lt;="&amp;$A8+6))</f>
        <v/>
      </c>
      <c r="M8" s="40">
        <f>IF($A8&lt;Setup!$C$9,"",SUMIFS('Daily Log'!$K$4:$K$369,'Daily Log'!$A$4:$A$369,"&gt;="&amp;$A8,'Daily Log'!$A$4:$A$369,"&lt;="&amp;$A8+6))</f>
        <v/>
      </c>
      <c r="N8" s="44">
        <f>IF($A8&lt;Setup!$C$9,"",SUMIFS('Daily Log'!$L$4:$L$369,'Daily Log'!$A$4:$A$369,"&gt;="&amp;$A8,'Daily Log'!$A$4:$A$369,"&lt;="&amp;$A8+6))</f>
        <v/>
      </c>
      <c r="O8" s="44">
        <f>IF($A8&lt;Setup!$C$9,"",SUMIFS('Daily Log'!$M$4:$M$369,'Daily Log'!$A$4:$A$369,"&gt;="&amp;$A8,'Daily Log'!$A$4:$A$369,"&lt;="&amp;$A8+6))</f>
        <v/>
      </c>
      <c r="P8" s="45">
        <f>IFERROR(I8/H8,"")</f>
        <v/>
      </c>
      <c r="Q8" s="45">
        <f>IFERROR(K8/J8,"")</f>
        <v/>
      </c>
      <c r="R8" s="45">
        <f>IFERROR(M8/L8,"")</f>
        <v/>
      </c>
    </row>
    <row r="9">
      <c r="A9" s="56">
        <f>A8+7</f>
        <v/>
      </c>
      <c r="B9" s="57">
        <f>IF(A9="","",TEXT(A9,"d mmm"))</f>
        <v/>
      </c>
      <c r="C9" s="40">
        <f>IF($A9&lt;Setup!$C$9,"",SUMIFS('Daily Log'!$Q$4:$Q$369,'Daily Log'!$A$4:$A$369,"&gt;="&amp;$A9,'Daily Log'!$A$4:$A$369,"&lt;="&amp;$A9+6))</f>
        <v/>
      </c>
      <c r="D9" s="40">
        <f>IF($A9&lt;Setup!$C$9,"",SUMIFS('Daily Log'!$C$4:$C$369,'Daily Log'!$A$4:$A$369,"&gt;="&amp;$A9,'Daily Log'!$A$4:$A$369,"&lt;="&amp;$A9+6))</f>
        <v/>
      </c>
      <c r="E9" s="40">
        <f>IF($A9&lt;Setup!$C$9,"",SUMIFS('Daily Log'!$D$4:$D$369,'Daily Log'!$A$4:$A$369,"&gt;="&amp;$A9,'Daily Log'!$A$4:$A$369,"&lt;="&amp;$A9+6))</f>
        <v/>
      </c>
      <c r="F9" s="40">
        <f>IF($A9&lt;Setup!$C$9,"",SUMIFS('Daily Log'!$E$4:$E$369,'Daily Log'!$A$4:$A$369,"&gt;="&amp;$A9,'Daily Log'!$A$4:$A$369,"&lt;="&amp;$A9+6))</f>
        <v/>
      </c>
      <c r="G9" s="40">
        <f>IF($A9&lt;Setup!$C$9,"",SUMIFS('Daily Log'!$F$4:$F$369,'Daily Log'!$A$4:$A$369,"&gt;="&amp;$A9,'Daily Log'!$A$4:$A$369,"&lt;="&amp;$A9+6))</f>
        <v/>
      </c>
      <c r="H9" s="40">
        <f>IF($A9&lt;Setup!$C$9,"",IFERROR(F9+G9,""))</f>
        <v/>
      </c>
      <c r="I9" s="40">
        <f>IF($A9&lt;Setup!$C$9,"",SUMIFS('Daily Log'!$G$4:$G$369,'Daily Log'!$A$4:$A$369,"&gt;="&amp;$A9,'Daily Log'!$A$4:$A$369,"&lt;="&amp;$A9+6))</f>
        <v/>
      </c>
      <c r="J9" s="40">
        <f>IF($A9&lt;Setup!$C$9,"",SUMIFS('Daily Log'!$H$4:$H$369,'Daily Log'!$A$4:$A$369,"&gt;="&amp;$A9,'Daily Log'!$A$4:$A$369,"&lt;="&amp;$A9+6))</f>
        <v/>
      </c>
      <c r="K9" s="40">
        <f>IF($A9&lt;Setup!$C$9,"",SUMIFS('Daily Log'!$I$4:$I$369,'Daily Log'!$A$4:$A$369,"&gt;="&amp;$A9,'Daily Log'!$A$4:$A$369,"&lt;="&amp;$A9+6))</f>
        <v/>
      </c>
      <c r="L9" s="40">
        <f>IF($A9&lt;Setup!$C$9,"",SUMIFS('Daily Log'!$J$4:$J$369,'Daily Log'!$A$4:$A$369,"&gt;="&amp;$A9,'Daily Log'!$A$4:$A$369,"&lt;="&amp;$A9+6))</f>
        <v/>
      </c>
      <c r="M9" s="40">
        <f>IF($A9&lt;Setup!$C$9,"",SUMIFS('Daily Log'!$K$4:$K$369,'Daily Log'!$A$4:$A$369,"&gt;="&amp;$A9,'Daily Log'!$A$4:$A$369,"&lt;="&amp;$A9+6))</f>
        <v/>
      </c>
      <c r="N9" s="44">
        <f>IF($A9&lt;Setup!$C$9,"",SUMIFS('Daily Log'!$L$4:$L$369,'Daily Log'!$A$4:$A$369,"&gt;="&amp;$A9,'Daily Log'!$A$4:$A$369,"&lt;="&amp;$A9+6))</f>
        <v/>
      </c>
      <c r="O9" s="44">
        <f>IF($A9&lt;Setup!$C$9,"",SUMIFS('Daily Log'!$M$4:$M$369,'Daily Log'!$A$4:$A$369,"&gt;="&amp;$A9,'Daily Log'!$A$4:$A$369,"&lt;="&amp;$A9+6))</f>
        <v/>
      </c>
      <c r="P9" s="45">
        <f>IFERROR(I9/H9,"")</f>
        <v/>
      </c>
      <c r="Q9" s="45">
        <f>IFERROR(K9/J9,"")</f>
        <v/>
      </c>
      <c r="R9" s="45">
        <f>IFERROR(M9/L9,"")</f>
        <v/>
      </c>
    </row>
    <row r="10">
      <c r="A10" s="56">
        <f>A9+7</f>
        <v/>
      </c>
      <c r="B10" s="57">
        <f>IF(A10="","",TEXT(A10,"d mmm"))</f>
        <v/>
      </c>
      <c r="C10" s="40">
        <f>IF($A10&lt;Setup!$C$9,"",SUMIFS('Daily Log'!$Q$4:$Q$369,'Daily Log'!$A$4:$A$369,"&gt;="&amp;$A10,'Daily Log'!$A$4:$A$369,"&lt;="&amp;$A10+6))</f>
        <v/>
      </c>
      <c r="D10" s="40">
        <f>IF($A10&lt;Setup!$C$9,"",SUMIFS('Daily Log'!$C$4:$C$369,'Daily Log'!$A$4:$A$369,"&gt;="&amp;$A10,'Daily Log'!$A$4:$A$369,"&lt;="&amp;$A10+6))</f>
        <v/>
      </c>
      <c r="E10" s="40">
        <f>IF($A10&lt;Setup!$C$9,"",SUMIFS('Daily Log'!$D$4:$D$369,'Daily Log'!$A$4:$A$369,"&gt;="&amp;$A10,'Daily Log'!$A$4:$A$369,"&lt;="&amp;$A10+6))</f>
        <v/>
      </c>
      <c r="F10" s="40">
        <f>IF($A10&lt;Setup!$C$9,"",SUMIFS('Daily Log'!$E$4:$E$369,'Daily Log'!$A$4:$A$369,"&gt;="&amp;$A10,'Daily Log'!$A$4:$A$369,"&lt;="&amp;$A10+6))</f>
        <v/>
      </c>
      <c r="G10" s="40">
        <f>IF($A10&lt;Setup!$C$9,"",SUMIFS('Daily Log'!$F$4:$F$369,'Daily Log'!$A$4:$A$369,"&gt;="&amp;$A10,'Daily Log'!$A$4:$A$369,"&lt;="&amp;$A10+6))</f>
        <v/>
      </c>
      <c r="H10" s="40">
        <f>IF($A10&lt;Setup!$C$9,"",IFERROR(F10+G10,""))</f>
        <v/>
      </c>
      <c r="I10" s="40">
        <f>IF($A10&lt;Setup!$C$9,"",SUMIFS('Daily Log'!$G$4:$G$369,'Daily Log'!$A$4:$A$369,"&gt;="&amp;$A10,'Daily Log'!$A$4:$A$369,"&lt;="&amp;$A10+6))</f>
        <v/>
      </c>
      <c r="J10" s="40">
        <f>IF($A10&lt;Setup!$C$9,"",SUMIFS('Daily Log'!$H$4:$H$369,'Daily Log'!$A$4:$A$369,"&gt;="&amp;$A10,'Daily Log'!$A$4:$A$369,"&lt;="&amp;$A10+6))</f>
        <v/>
      </c>
      <c r="K10" s="40">
        <f>IF($A10&lt;Setup!$C$9,"",SUMIFS('Daily Log'!$I$4:$I$369,'Daily Log'!$A$4:$A$369,"&gt;="&amp;$A10,'Daily Log'!$A$4:$A$369,"&lt;="&amp;$A10+6))</f>
        <v/>
      </c>
      <c r="L10" s="40">
        <f>IF($A10&lt;Setup!$C$9,"",SUMIFS('Daily Log'!$J$4:$J$369,'Daily Log'!$A$4:$A$369,"&gt;="&amp;$A10,'Daily Log'!$A$4:$A$369,"&lt;="&amp;$A10+6))</f>
        <v/>
      </c>
      <c r="M10" s="40">
        <f>IF($A10&lt;Setup!$C$9,"",SUMIFS('Daily Log'!$K$4:$K$369,'Daily Log'!$A$4:$A$369,"&gt;="&amp;$A10,'Daily Log'!$A$4:$A$369,"&lt;="&amp;$A10+6))</f>
        <v/>
      </c>
      <c r="N10" s="44">
        <f>IF($A10&lt;Setup!$C$9,"",SUMIFS('Daily Log'!$L$4:$L$369,'Daily Log'!$A$4:$A$369,"&gt;="&amp;$A10,'Daily Log'!$A$4:$A$369,"&lt;="&amp;$A10+6))</f>
        <v/>
      </c>
      <c r="O10" s="44">
        <f>IF($A10&lt;Setup!$C$9,"",SUMIFS('Daily Log'!$M$4:$M$369,'Daily Log'!$A$4:$A$369,"&gt;="&amp;$A10,'Daily Log'!$A$4:$A$369,"&lt;="&amp;$A10+6))</f>
        <v/>
      </c>
      <c r="P10" s="45">
        <f>IFERROR(I10/H10,"")</f>
        <v/>
      </c>
      <c r="Q10" s="45">
        <f>IFERROR(K10/J10,"")</f>
        <v/>
      </c>
      <c r="R10" s="45">
        <f>IFERROR(M10/L10,"")</f>
        <v/>
      </c>
    </row>
    <row r="11">
      <c r="A11" s="56">
        <f>A10+7</f>
        <v/>
      </c>
      <c r="B11" s="57">
        <f>IF(A11="","",TEXT(A11,"d mmm"))</f>
        <v/>
      </c>
      <c r="C11" s="40">
        <f>IF($A11&lt;Setup!$C$9,"",SUMIFS('Daily Log'!$Q$4:$Q$369,'Daily Log'!$A$4:$A$369,"&gt;="&amp;$A11,'Daily Log'!$A$4:$A$369,"&lt;="&amp;$A11+6))</f>
        <v/>
      </c>
      <c r="D11" s="40">
        <f>IF($A11&lt;Setup!$C$9,"",SUMIFS('Daily Log'!$C$4:$C$369,'Daily Log'!$A$4:$A$369,"&gt;="&amp;$A11,'Daily Log'!$A$4:$A$369,"&lt;="&amp;$A11+6))</f>
        <v/>
      </c>
      <c r="E11" s="40">
        <f>IF($A11&lt;Setup!$C$9,"",SUMIFS('Daily Log'!$D$4:$D$369,'Daily Log'!$A$4:$A$369,"&gt;="&amp;$A11,'Daily Log'!$A$4:$A$369,"&lt;="&amp;$A11+6))</f>
        <v/>
      </c>
      <c r="F11" s="40">
        <f>IF($A11&lt;Setup!$C$9,"",SUMIFS('Daily Log'!$E$4:$E$369,'Daily Log'!$A$4:$A$369,"&gt;="&amp;$A11,'Daily Log'!$A$4:$A$369,"&lt;="&amp;$A11+6))</f>
        <v/>
      </c>
      <c r="G11" s="40">
        <f>IF($A11&lt;Setup!$C$9,"",SUMIFS('Daily Log'!$F$4:$F$369,'Daily Log'!$A$4:$A$369,"&gt;="&amp;$A11,'Daily Log'!$A$4:$A$369,"&lt;="&amp;$A11+6))</f>
        <v/>
      </c>
      <c r="H11" s="40">
        <f>IF($A11&lt;Setup!$C$9,"",IFERROR(F11+G11,""))</f>
        <v/>
      </c>
      <c r="I11" s="40">
        <f>IF($A11&lt;Setup!$C$9,"",SUMIFS('Daily Log'!$G$4:$G$369,'Daily Log'!$A$4:$A$369,"&gt;="&amp;$A11,'Daily Log'!$A$4:$A$369,"&lt;="&amp;$A11+6))</f>
        <v/>
      </c>
      <c r="J11" s="40">
        <f>IF($A11&lt;Setup!$C$9,"",SUMIFS('Daily Log'!$H$4:$H$369,'Daily Log'!$A$4:$A$369,"&gt;="&amp;$A11,'Daily Log'!$A$4:$A$369,"&lt;="&amp;$A11+6))</f>
        <v/>
      </c>
      <c r="K11" s="40">
        <f>IF($A11&lt;Setup!$C$9,"",SUMIFS('Daily Log'!$I$4:$I$369,'Daily Log'!$A$4:$A$369,"&gt;="&amp;$A11,'Daily Log'!$A$4:$A$369,"&lt;="&amp;$A11+6))</f>
        <v/>
      </c>
      <c r="L11" s="40">
        <f>IF($A11&lt;Setup!$C$9,"",SUMIFS('Daily Log'!$J$4:$J$369,'Daily Log'!$A$4:$A$369,"&gt;="&amp;$A11,'Daily Log'!$A$4:$A$369,"&lt;="&amp;$A11+6))</f>
        <v/>
      </c>
      <c r="M11" s="40">
        <f>IF($A11&lt;Setup!$C$9,"",SUMIFS('Daily Log'!$K$4:$K$369,'Daily Log'!$A$4:$A$369,"&gt;="&amp;$A11,'Daily Log'!$A$4:$A$369,"&lt;="&amp;$A11+6))</f>
        <v/>
      </c>
      <c r="N11" s="44">
        <f>IF($A11&lt;Setup!$C$9,"",SUMIFS('Daily Log'!$L$4:$L$369,'Daily Log'!$A$4:$A$369,"&gt;="&amp;$A11,'Daily Log'!$A$4:$A$369,"&lt;="&amp;$A11+6))</f>
        <v/>
      </c>
      <c r="O11" s="44">
        <f>IF($A11&lt;Setup!$C$9,"",SUMIFS('Daily Log'!$M$4:$M$369,'Daily Log'!$A$4:$A$369,"&gt;="&amp;$A11,'Daily Log'!$A$4:$A$369,"&lt;="&amp;$A11+6))</f>
        <v/>
      </c>
      <c r="P11" s="45">
        <f>IFERROR(I11/H11,"")</f>
        <v/>
      </c>
      <c r="Q11" s="45">
        <f>IFERROR(K11/J11,"")</f>
        <v/>
      </c>
      <c r="R11" s="45">
        <f>IFERROR(M11/L11,"")</f>
        <v/>
      </c>
    </row>
    <row r="12">
      <c r="A12" s="56">
        <f>A11+7</f>
        <v/>
      </c>
      <c r="B12" s="57">
        <f>IF(A12="","",TEXT(A12,"d mmm"))</f>
        <v/>
      </c>
      <c r="C12" s="40">
        <f>IF($A12&lt;Setup!$C$9,"",SUMIFS('Daily Log'!$Q$4:$Q$369,'Daily Log'!$A$4:$A$369,"&gt;="&amp;$A12,'Daily Log'!$A$4:$A$369,"&lt;="&amp;$A12+6))</f>
        <v/>
      </c>
      <c r="D12" s="40">
        <f>IF($A12&lt;Setup!$C$9,"",SUMIFS('Daily Log'!$C$4:$C$369,'Daily Log'!$A$4:$A$369,"&gt;="&amp;$A12,'Daily Log'!$A$4:$A$369,"&lt;="&amp;$A12+6))</f>
        <v/>
      </c>
      <c r="E12" s="40">
        <f>IF($A12&lt;Setup!$C$9,"",SUMIFS('Daily Log'!$D$4:$D$369,'Daily Log'!$A$4:$A$369,"&gt;="&amp;$A12,'Daily Log'!$A$4:$A$369,"&lt;="&amp;$A12+6))</f>
        <v/>
      </c>
      <c r="F12" s="40">
        <f>IF($A12&lt;Setup!$C$9,"",SUMIFS('Daily Log'!$E$4:$E$369,'Daily Log'!$A$4:$A$369,"&gt;="&amp;$A12,'Daily Log'!$A$4:$A$369,"&lt;="&amp;$A12+6))</f>
        <v/>
      </c>
      <c r="G12" s="40">
        <f>IF($A12&lt;Setup!$C$9,"",SUMIFS('Daily Log'!$F$4:$F$369,'Daily Log'!$A$4:$A$369,"&gt;="&amp;$A12,'Daily Log'!$A$4:$A$369,"&lt;="&amp;$A12+6))</f>
        <v/>
      </c>
      <c r="H12" s="40">
        <f>IF($A12&lt;Setup!$C$9,"",IFERROR(F12+G12,""))</f>
        <v/>
      </c>
      <c r="I12" s="40">
        <f>IF($A12&lt;Setup!$C$9,"",SUMIFS('Daily Log'!$G$4:$G$369,'Daily Log'!$A$4:$A$369,"&gt;="&amp;$A12,'Daily Log'!$A$4:$A$369,"&lt;="&amp;$A12+6))</f>
        <v/>
      </c>
      <c r="J12" s="40">
        <f>IF($A12&lt;Setup!$C$9,"",SUMIFS('Daily Log'!$H$4:$H$369,'Daily Log'!$A$4:$A$369,"&gt;="&amp;$A12,'Daily Log'!$A$4:$A$369,"&lt;="&amp;$A12+6))</f>
        <v/>
      </c>
      <c r="K12" s="40">
        <f>IF($A12&lt;Setup!$C$9,"",SUMIFS('Daily Log'!$I$4:$I$369,'Daily Log'!$A$4:$A$369,"&gt;="&amp;$A12,'Daily Log'!$A$4:$A$369,"&lt;="&amp;$A12+6))</f>
        <v/>
      </c>
      <c r="L12" s="40">
        <f>IF($A12&lt;Setup!$C$9,"",SUMIFS('Daily Log'!$J$4:$J$369,'Daily Log'!$A$4:$A$369,"&gt;="&amp;$A12,'Daily Log'!$A$4:$A$369,"&lt;="&amp;$A12+6))</f>
        <v/>
      </c>
      <c r="M12" s="40">
        <f>IF($A12&lt;Setup!$C$9,"",SUMIFS('Daily Log'!$K$4:$K$369,'Daily Log'!$A$4:$A$369,"&gt;="&amp;$A12,'Daily Log'!$A$4:$A$369,"&lt;="&amp;$A12+6))</f>
        <v/>
      </c>
      <c r="N12" s="44">
        <f>IF($A12&lt;Setup!$C$9,"",SUMIFS('Daily Log'!$L$4:$L$369,'Daily Log'!$A$4:$A$369,"&gt;="&amp;$A12,'Daily Log'!$A$4:$A$369,"&lt;="&amp;$A12+6))</f>
        <v/>
      </c>
      <c r="O12" s="44">
        <f>IF($A12&lt;Setup!$C$9,"",SUMIFS('Daily Log'!$M$4:$M$369,'Daily Log'!$A$4:$A$369,"&gt;="&amp;$A12,'Daily Log'!$A$4:$A$369,"&lt;="&amp;$A12+6))</f>
        <v/>
      </c>
      <c r="P12" s="45">
        <f>IFERROR(I12/H12,"")</f>
        <v/>
      </c>
      <c r="Q12" s="45">
        <f>IFERROR(K12/J12,"")</f>
        <v/>
      </c>
      <c r="R12" s="45">
        <f>IFERROR(M12/L12,"")</f>
        <v/>
      </c>
    </row>
    <row r="13">
      <c r="A13" s="56">
        <f>A12+7</f>
        <v/>
      </c>
      <c r="B13" s="57">
        <f>IF(A13="","",TEXT(A13,"d mmm"))</f>
        <v/>
      </c>
      <c r="C13" s="40">
        <f>IF($A13&lt;Setup!$C$9,"",SUMIFS('Daily Log'!$Q$4:$Q$369,'Daily Log'!$A$4:$A$369,"&gt;="&amp;$A13,'Daily Log'!$A$4:$A$369,"&lt;="&amp;$A13+6))</f>
        <v/>
      </c>
      <c r="D13" s="40">
        <f>IF($A13&lt;Setup!$C$9,"",SUMIFS('Daily Log'!$C$4:$C$369,'Daily Log'!$A$4:$A$369,"&gt;="&amp;$A13,'Daily Log'!$A$4:$A$369,"&lt;="&amp;$A13+6))</f>
        <v/>
      </c>
      <c r="E13" s="40">
        <f>IF($A13&lt;Setup!$C$9,"",SUMIFS('Daily Log'!$D$4:$D$369,'Daily Log'!$A$4:$A$369,"&gt;="&amp;$A13,'Daily Log'!$A$4:$A$369,"&lt;="&amp;$A13+6))</f>
        <v/>
      </c>
      <c r="F13" s="40">
        <f>IF($A13&lt;Setup!$C$9,"",SUMIFS('Daily Log'!$E$4:$E$369,'Daily Log'!$A$4:$A$369,"&gt;="&amp;$A13,'Daily Log'!$A$4:$A$369,"&lt;="&amp;$A13+6))</f>
        <v/>
      </c>
      <c r="G13" s="40">
        <f>IF($A13&lt;Setup!$C$9,"",SUMIFS('Daily Log'!$F$4:$F$369,'Daily Log'!$A$4:$A$369,"&gt;="&amp;$A13,'Daily Log'!$A$4:$A$369,"&lt;="&amp;$A13+6))</f>
        <v/>
      </c>
      <c r="H13" s="40">
        <f>IF($A13&lt;Setup!$C$9,"",IFERROR(F13+G13,""))</f>
        <v/>
      </c>
      <c r="I13" s="40">
        <f>IF($A13&lt;Setup!$C$9,"",SUMIFS('Daily Log'!$G$4:$G$369,'Daily Log'!$A$4:$A$369,"&gt;="&amp;$A13,'Daily Log'!$A$4:$A$369,"&lt;="&amp;$A13+6))</f>
        <v/>
      </c>
      <c r="J13" s="40">
        <f>IF($A13&lt;Setup!$C$9,"",SUMIFS('Daily Log'!$H$4:$H$369,'Daily Log'!$A$4:$A$369,"&gt;="&amp;$A13,'Daily Log'!$A$4:$A$369,"&lt;="&amp;$A13+6))</f>
        <v/>
      </c>
      <c r="K13" s="40">
        <f>IF($A13&lt;Setup!$C$9,"",SUMIFS('Daily Log'!$I$4:$I$369,'Daily Log'!$A$4:$A$369,"&gt;="&amp;$A13,'Daily Log'!$A$4:$A$369,"&lt;="&amp;$A13+6))</f>
        <v/>
      </c>
      <c r="L13" s="40">
        <f>IF($A13&lt;Setup!$C$9,"",SUMIFS('Daily Log'!$J$4:$J$369,'Daily Log'!$A$4:$A$369,"&gt;="&amp;$A13,'Daily Log'!$A$4:$A$369,"&lt;="&amp;$A13+6))</f>
        <v/>
      </c>
      <c r="M13" s="40">
        <f>IF($A13&lt;Setup!$C$9,"",SUMIFS('Daily Log'!$K$4:$K$369,'Daily Log'!$A$4:$A$369,"&gt;="&amp;$A13,'Daily Log'!$A$4:$A$369,"&lt;="&amp;$A13+6))</f>
        <v/>
      </c>
      <c r="N13" s="44">
        <f>IF($A13&lt;Setup!$C$9,"",SUMIFS('Daily Log'!$L$4:$L$369,'Daily Log'!$A$4:$A$369,"&gt;="&amp;$A13,'Daily Log'!$A$4:$A$369,"&lt;="&amp;$A13+6))</f>
        <v/>
      </c>
      <c r="O13" s="44">
        <f>IF($A13&lt;Setup!$C$9,"",SUMIFS('Daily Log'!$M$4:$M$369,'Daily Log'!$A$4:$A$369,"&gt;="&amp;$A13,'Daily Log'!$A$4:$A$369,"&lt;="&amp;$A13+6))</f>
        <v/>
      </c>
      <c r="P13" s="45">
        <f>IFERROR(I13/H13,"")</f>
        <v/>
      </c>
      <c r="Q13" s="45">
        <f>IFERROR(K13/J13,"")</f>
        <v/>
      </c>
      <c r="R13" s="45">
        <f>IFERROR(M13/L13,"")</f>
        <v/>
      </c>
    </row>
    <row r="14">
      <c r="A14" s="56">
        <f>A13+7</f>
        <v/>
      </c>
      <c r="B14" s="57">
        <f>IF(A14="","",TEXT(A14,"d mmm"))</f>
        <v/>
      </c>
      <c r="C14" s="40">
        <f>IF($A14&lt;Setup!$C$9,"",SUMIFS('Daily Log'!$Q$4:$Q$369,'Daily Log'!$A$4:$A$369,"&gt;="&amp;$A14,'Daily Log'!$A$4:$A$369,"&lt;="&amp;$A14+6))</f>
        <v/>
      </c>
      <c r="D14" s="40">
        <f>IF($A14&lt;Setup!$C$9,"",SUMIFS('Daily Log'!$C$4:$C$369,'Daily Log'!$A$4:$A$369,"&gt;="&amp;$A14,'Daily Log'!$A$4:$A$369,"&lt;="&amp;$A14+6))</f>
        <v/>
      </c>
      <c r="E14" s="40">
        <f>IF($A14&lt;Setup!$C$9,"",SUMIFS('Daily Log'!$D$4:$D$369,'Daily Log'!$A$4:$A$369,"&gt;="&amp;$A14,'Daily Log'!$A$4:$A$369,"&lt;="&amp;$A14+6))</f>
        <v/>
      </c>
      <c r="F14" s="40">
        <f>IF($A14&lt;Setup!$C$9,"",SUMIFS('Daily Log'!$E$4:$E$369,'Daily Log'!$A$4:$A$369,"&gt;="&amp;$A14,'Daily Log'!$A$4:$A$369,"&lt;="&amp;$A14+6))</f>
        <v/>
      </c>
      <c r="G14" s="40">
        <f>IF($A14&lt;Setup!$C$9,"",SUMIFS('Daily Log'!$F$4:$F$369,'Daily Log'!$A$4:$A$369,"&gt;="&amp;$A14,'Daily Log'!$A$4:$A$369,"&lt;="&amp;$A14+6))</f>
        <v/>
      </c>
      <c r="H14" s="40">
        <f>IF($A14&lt;Setup!$C$9,"",IFERROR(F14+G14,""))</f>
        <v/>
      </c>
      <c r="I14" s="40">
        <f>IF($A14&lt;Setup!$C$9,"",SUMIFS('Daily Log'!$G$4:$G$369,'Daily Log'!$A$4:$A$369,"&gt;="&amp;$A14,'Daily Log'!$A$4:$A$369,"&lt;="&amp;$A14+6))</f>
        <v/>
      </c>
      <c r="J14" s="40">
        <f>IF($A14&lt;Setup!$C$9,"",SUMIFS('Daily Log'!$H$4:$H$369,'Daily Log'!$A$4:$A$369,"&gt;="&amp;$A14,'Daily Log'!$A$4:$A$369,"&lt;="&amp;$A14+6))</f>
        <v/>
      </c>
      <c r="K14" s="40">
        <f>IF($A14&lt;Setup!$C$9,"",SUMIFS('Daily Log'!$I$4:$I$369,'Daily Log'!$A$4:$A$369,"&gt;="&amp;$A14,'Daily Log'!$A$4:$A$369,"&lt;="&amp;$A14+6))</f>
        <v/>
      </c>
      <c r="L14" s="40">
        <f>IF($A14&lt;Setup!$C$9,"",SUMIFS('Daily Log'!$J$4:$J$369,'Daily Log'!$A$4:$A$369,"&gt;="&amp;$A14,'Daily Log'!$A$4:$A$369,"&lt;="&amp;$A14+6))</f>
        <v/>
      </c>
      <c r="M14" s="40">
        <f>IF($A14&lt;Setup!$C$9,"",SUMIFS('Daily Log'!$K$4:$K$369,'Daily Log'!$A$4:$A$369,"&gt;="&amp;$A14,'Daily Log'!$A$4:$A$369,"&lt;="&amp;$A14+6))</f>
        <v/>
      </c>
      <c r="N14" s="44">
        <f>IF($A14&lt;Setup!$C$9,"",SUMIFS('Daily Log'!$L$4:$L$369,'Daily Log'!$A$4:$A$369,"&gt;="&amp;$A14,'Daily Log'!$A$4:$A$369,"&lt;="&amp;$A14+6))</f>
        <v/>
      </c>
      <c r="O14" s="44">
        <f>IF($A14&lt;Setup!$C$9,"",SUMIFS('Daily Log'!$M$4:$M$369,'Daily Log'!$A$4:$A$369,"&gt;="&amp;$A14,'Daily Log'!$A$4:$A$369,"&lt;="&amp;$A14+6))</f>
        <v/>
      </c>
      <c r="P14" s="45">
        <f>IFERROR(I14/H14,"")</f>
        <v/>
      </c>
      <c r="Q14" s="45">
        <f>IFERROR(K14/J14,"")</f>
        <v/>
      </c>
      <c r="R14" s="45">
        <f>IFERROR(M14/L14,"")</f>
        <v/>
      </c>
    </row>
    <row r="15">
      <c r="A15" s="56">
        <f>A14+7</f>
        <v/>
      </c>
      <c r="B15" s="57">
        <f>IF(A15="","",TEXT(A15,"d mmm"))</f>
        <v/>
      </c>
      <c r="C15" s="40">
        <f>IF($A15&lt;Setup!$C$9,"",SUMIFS('Daily Log'!$Q$4:$Q$369,'Daily Log'!$A$4:$A$369,"&gt;="&amp;$A15,'Daily Log'!$A$4:$A$369,"&lt;="&amp;$A15+6))</f>
        <v/>
      </c>
      <c r="D15" s="40">
        <f>IF($A15&lt;Setup!$C$9,"",SUMIFS('Daily Log'!$C$4:$C$369,'Daily Log'!$A$4:$A$369,"&gt;="&amp;$A15,'Daily Log'!$A$4:$A$369,"&lt;="&amp;$A15+6))</f>
        <v/>
      </c>
      <c r="E15" s="40">
        <f>IF($A15&lt;Setup!$C$9,"",SUMIFS('Daily Log'!$D$4:$D$369,'Daily Log'!$A$4:$A$369,"&gt;="&amp;$A15,'Daily Log'!$A$4:$A$369,"&lt;="&amp;$A15+6))</f>
        <v/>
      </c>
      <c r="F15" s="40">
        <f>IF($A15&lt;Setup!$C$9,"",SUMIFS('Daily Log'!$E$4:$E$369,'Daily Log'!$A$4:$A$369,"&gt;="&amp;$A15,'Daily Log'!$A$4:$A$369,"&lt;="&amp;$A15+6))</f>
        <v/>
      </c>
      <c r="G15" s="40">
        <f>IF($A15&lt;Setup!$C$9,"",SUMIFS('Daily Log'!$F$4:$F$369,'Daily Log'!$A$4:$A$369,"&gt;="&amp;$A15,'Daily Log'!$A$4:$A$369,"&lt;="&amp;$A15+6))</f>
        <v/>
      </c>
      <c r="H15" s="40">
        <f>IF($A15&lt;Setup!$C$9,"",IFERROR(F15+G15,""))</f>
        <v/>
      </c>
      <c r="I15" s="40">
        <f>IF($A15&lt;Setup!$C$9,"",SUMIFS('Daily Log'!$G$4:$G$369,'Daily Log'!$A$4:$A$369,"&gt;="&amp;$A15,'Daily Log'!$A$4:$A$369,"&lt;="&amp;$A15+6))</f>
        <v/>
      </c>
      <c r="J15" s="40">
        <f>IF($A15&lt;Setup!$C$9,"",SUMIFS('Daily Log'!$H$4:$H$369,'Daily Log'!$A$4:$A$369,"&gt;="&amp;$A15,'Daily Log'!$A$4:$A$369,"&lt;="&amp;$A15+6))</f>
        <v/>
      </c>
      <c r="K15" s="40">
        <f>IF($A15&lt;Setup!$C$9,"",SUMIFS('Daily Log'!$I$4:$I$369,'Daily Log'!$A$4:$A$369,"&gt;="&amp;$A15,'Daily Log'!$A$4:$A$369,"&lt;="&amp;$A15+6))</f>
        <v/>
      </c>
      <c r="L15" s="40">
        <f>IF($A15&lt;Setup!$C$9,"",SUMIFS('Daily Log'!$J$4:$J$369,'Daily Log'!$A$4:$A$369,"&gt;="&amp;$A15,'Daily Log'!$A$4:$A$369,"&lt;="&amp;$A15+6))</f>
        <v/>
      </c>
      <c r="M15" s="40">
        <f>IF($A15&lt;Setup!$C$9,"",SUMIFS('Daily Log'!$K$4:$K$369,'Daily Log'!$A$4:$A$369,"&gt;="&amp;$A15,'Daily Log'!$A$4:$A$369,"&lt;="&amp;$A15+6))</f>
        <v/>
      </c>
      <c r="N15" s="44">
        <f>IF($A15&lt;Setup!$C$9,"",SUMIFS('Daily Log'!$L$4:$L$369,'Daily Log'!$A$4:$A$369,"&gt;="&amp;$A15,'Daily Log'!$A$4:$A$369,"&lt;="&amp;$A15+6))</f>
        <v/>
      </c>
      <c r="O15" s="44">
        <f>IF($A15&lt;Setup!$C$9,"",SUMIFS('Daily Log'!$M$4:$M$369,'Daily Log'!$A$4:$A$369,"&gt;="&amp;$A15,'Daily Log'!$A$4:$A$369,"&lt;="&amp;$A15+6))</f>
        <v/>
      </c>
      <c r="P15" s="45">
        <f>IFERROR(I15/H15,"")</f>
        <v/>
      </c>
      <c r="Q15" s="45">
        <f>IFERROR(K15/J15,"")</f>
        <v/>
      </c>
      <c r="R15" s="45">
        <f>IFERROR(M15/L15,"")</f>
        <v/>
      </c>
    </row>
    <row r="16">
      <c r="A16" s="56">
        <f>A15+7</f>
        <v/>
      </c>
      <c r="B16" s="57">
        <f>IF(A16="","",TEXT(A16,"d mmm"))</f>
        <v/>
      </c>
      <c r="C16" s="40">
        <f>IF($A16&lt;Setup!$C$9,"",SUMIFS('Daily Log'!$Q$4:$Q$369,'Daily Log'!$A$4:$A$369,"&gt;="&amp;$A16,'Daily Log'!$A$4:$A$369,"&lt;="&amp;$A16+6))</f>
        <v/>
      </c>
      <c r="D16" s="40">
        <f>IF($A16&lt;Setup!$C$9,"",SUMIFS('Daily Log'!$C$4:$C$369,'Daily Log'!$A$4:$A$369,"&gt;="&amp;$A16,'Daily Log'!$A$4:$A$369,"&lt;="&amp;$A16+6))</f>
        <v/>
      </c>
      <c r="E16" s="40">
        <f>IF($A16&lt;Setup!$C$9,"",SUMIFS('Daily Log'!$D$4:$D$369,'Daily Log'!$A$4:$A$369,"&gt;="&amp;$A16,'Daily Log'!$A$4:$A$369,"&lt;="&amp;$A16+6))</f>
        <v/>
      </c>
      <c r="F16" s="40">
        <f>IF($A16&lt;Setup!$C$9,"",SUMIFS('Daily Log'!$E$4:$E$369,'Daily Log'!$A$4:$A$369,"&gt;="&amp;$A16,'Daily Log'!$A$4:$A$369,"&lt;="&amp;$A16+6))</f>
        <v/>
      </c>
      <c r="G16" s="40">
        <f>IF($A16&lt;Setup!$C$9,"",SUMIFS('Daily Log'!$F$4:$F$369,'Daily Log'!$A$4:$A$369,"&gt;="&amp;$A16,'Daily Log'!$A$4:$A$369,"&lt;="&amp;$A16+6))</f>
        <v/>
      </c>
      <c r="H16" s="40">
        <f>IF($A16&lt;Setup!$C$9,"",IFERROR(F16+G16,""))</f>
        <v/>
      </c>
      <c r="I16" s="40">
        <f>IF($A16&lt;Setup!$C$9,"",SUMIFS('Daily Log'!$G$4:$G$369,'Daily Log'!$A$4:$A$369,"&gt;="&amp;$A16,'Daily Log'!$A$4:$A$369,"&lt;="&amp;$A16+6))</f>
        <v/>
      </c>
      <c r="J16" s="40">
        <f>IF($A16&lt;Setup!$C$9,"",SUMIFS('Daily Log'!$H$4:$H$369,'Daily Log'!$A$4:$A$369,"&gt;="&amp;$A16,'Daily Log'!$A$4:$A$369,"&lt;="&amp;$A16+6))</f>
        <v/>
      </c>
      <c r="K16" s="40">
        <f>IF($A16&lt;Setup!$C$9,"",SUMIFS('Daily Log'!$I$4:$I$369,'Daily Log'!$A$4:$A$369,"&gt;="&amp;$A16,'Daily Log'!$A$4:$A$369,"&lt;="&amp;$A16+6))</f>
        <v/>
      </c>
      <c r="L16" s="40">
        <f>IF($A16&lt;Setup!$C$9,"",SUMIFS('Daily Log'!$J$4:$J$369,'Daily Log'!$A$4:$A$369,"&gt;="&amp;$A16,'Daily Log'!$A$4:$A$369,"&lt;="&amp;$A16+6))</f>
        <v/>
      </c>
      <c r="M16" s="40">
        <f>IF($A16&lt;Setup!$C$9,"",SUMIFS('Daily Log'!$K$4:$K$369,'Daily Log'!$A$4:$A$369,"&gt;="&amp;$A16,'Daily Log'!$A$4:$A$369,"&lt;="&amp;$A16+6))</f>
        <v/>
      </c>
      <c r="N16" s="44">
        <f>IF($A16&lt;Setup!$C$9,"",SUMIFS('Daily Log'!$L$4:$L$369,'Daily Log'!$A$4:$A$369,"&gt;="&amp;$A16,'Daily Log'!$A$4:$A$369,"&lt;="&amp;$A16+6))</f>
        <v/>
      </c>
      <c r="O16" s="44">
        <f>IF($A16&lt;Setup!$C$9,"",SUMIFS('Daily Log'!$M$4:$M$369,'Daily Log'!$A$4:$A$369,"&gt;="&amp;$A16,'Daily Log'!$A$4:$A$369,"&lt;="&amp;$A16+6))</f>
        <v/>
      </c>
      <c r="P16" s="45">
        <f>IFERROR(I16/H16,"")</f>
        <v/>
      </c>
      <c r="Q16" s="45">
        <f>IFERROR(K16/J16,"")</f>
        <v/>
      </c>
      <c r="R16" s="45">
        <f>IFERROR(M16/L16,"")</f>
        <v/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2026-09-16T16:54:04Z</dcterms:created>
  <dcterms:modified xsi:type="dcterms:W3CDTF">2026-09-16T16:54:05Z</dcterms:modified>
</cp:coreProperties>
</file>